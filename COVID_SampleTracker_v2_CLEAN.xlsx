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Summary" sheetId="2" state="visible" r:id="rId2"/>
    <sheet xmlns:r="http://schemas.openxmlformats.org/officeDocument/2006/relationships" name="Program_Metrics" sheetId="3" state="visible" r:id="rId3"/>
    <sheet xmlns:r="http://schemas.openxmlformats.org/officeDocument/2006/relationships" name="Lineage_by_Run_v4.1.3" sheetId="4" state="visible" r:id="rId4"/>
    <sheet xmlns:r="http://schemas.openxmlformats.org/officeDocument/2006/relationships" name="Lineage_by_Run_v4.3" sheetId="5" state="visible" r:id="rId5"/>
    <sheet xmlns:r="http://schemas.openxmlformats.org/officeDocument/2006/relationships" name="EB_Report" sheetId="6" state="visible" r:id="rId6"/>
    <sheet xmlns:r="http://schemas.openxmlformats.org/officeDocument/2006/relationships" name="Sample_Registry" sheetId="7" state="visible" r:id="rId7"/>
    <sheet xmlns:r="http://schemas.openxmlformats.org/officeDocument/2006/relationships" name="Samples_No_Lineage" sheetId="8" state="visible" r:id="rId8"/>
    <sheet xmlns:r="http://schemas.openxmlformats.org/officeDocument/2006/relationships" name="Patient_Metadata" sheetId="9" state="visible" r:id="rId9"/>
    <sheet xmlns:r="http://schemas.openxmlformats.org/officeDocument/2006/relationships" name="Data_Issues" sheetId="10" state="visible" r:id="rId10"/>
    <sheet xmlns:r="http://schemas.openxmlformats.org/officeDocument/2006/relationships" name="Change_Log" sheetId="11" state="visible" r:id="rId11"/>
  </sheets>
  <definedNames>
    <definedName name="_xlnm._FilterDatabase" localSheetId="1" hidden="1">'Run_Summary'!$A$1:$P$86</definedName>
    <definedName name="_xlnm._FilterDatabase" localSheetId="5" hidden="1">'EB_Report'!$A$1:$AC$149</definedName>
    <definedName name="_xlnm._FilterDatabase" localSheetId="6" hidden="1">'Sample_Registry'!$A$1:$G$3511</definedName>
    <definedName name="_xlnm._FilterDatabase" localSheetId="8" hidden="1">'Patient_Metadata'!$A$1:$P$395</definedName>
    <definedName name="_xlnm._FilterDatabase" localSheetId="9" hidden="1">'Data_Issues'!$A$3:$G$30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yyyy-mm-dd h:mm:ss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C00000"/>
      <sz val="11"/>
    </font>
    <font>
      <name val="Arial"/>
      <i val="1"/>
      <sz val="9"/>
    </font>
    <font>
      <name val="Arial"/>
      <b val="1"/>
      <color rgb="001F3864"/>
      <sz val="16"/>
    </font>
    <font>
      <name val="Arial"/>
      <i val="1"/>
      <sz val="10"/>
    </font>
    <font>
      <name val="Arial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FFE0B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1" fillId="0" borderId="1" pivotButton="0" quotePrefix="0" xfId="0"/>
    <xf numFmtId="166" fontId="1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165" fontId="1" fillId="2" borderId="1" pivotButton="0" quotePrefix="0" xfId="0"/>
    <xf numFmtId="166" fontId="1" fillId="2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4" borderId="0" pivotButton="0" quotePrefix="0" xfId="0"/>
    <xf numFmtId="0" fontId="1" fillId="0" borderId="0" pivotButton="0" quotePrefix="0" xfId="0"/>
    <xf numFmtId="166" fontId="1" fillId="0" borderId="0" pivotButton="0" quotePrefix="0" xfId="0"/>
    <xf numFmtId="0" fontId="1" fillId="0" borderId="1" applyAlignment="1" pivotButton="0" quotePrefix="0" xfId="0">
      <alignment horizontal="left"/>
    </xf>
    <xf numFmtId="0" fontId="5" fillId="0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5" fontId="1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2" fontId="1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top"/>
    </xf>
    <xf numFmtId="0" fontId="1" fillId="6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1" fillId="8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SARS-CoV-2 Genomic Surveillance Tracker - Western Visayas</t>
        </is>
      </c>
    </row>
    <row r="2">
      <c r="A2" s="2" t="inlineStr">
        <is>
          <t>Cleaned and reorganised from COVID_SampleTracker_CLEANED.xlsx on 12 August 2026. The original file was not modified.</t>
        </is>
      </c>
    </row>
    <row r="4">
      <c r="A4" t="inlineStr"/>
      <c r="B4" t="inlineStr"/>
    </row>
    <row r="5">
      <c r="A5" s="3" t="inlineStr">
        <is>
          <t>SHEET GUIDE</t>
        </is>
      </c>
      <c r="B5" t="inlineStr"/>
    </row>
    <row r="6">
      <c r="A6" s="4" t="inlineStr">
        <is>
          <t>Run_Summary</t>
        </is>
      </c>
      <c r="B6" s="5" t="inlineStr">
        <is>
          <t>One row per sequencing run: dates, instrument, sample counts and upload status. The operational master table.</t>
        </is>
      </c>
    </row>
    <row r="7">
      <c r="A7" s="4" t="inlineStr">
        <is>
          <t>Program_Metrics</t>
        </is>
      </c>
      <c r="B7" s="5" t="inlineStr">
        <is>
          <t>Surveillance coverage against reported cases, plus samples sequenced per year (calculated live from Run_Summary).</t>
        </is>
      </c>
    </row>
    <row r="8">
      <c r="A8" s="4" t="inlineStr">
        <is>
          <t>Lineage_by_Run_v4.1.3</t>
        </is>
      </c>
      <c r="B8" s="5" t="inlineStr">
        <is>
          <t>Run x Pango lineage count matrix - the current lineage table.</t>
        </is>
      </c>
    </row>
    <row r="9">
      <c r="A9" s="4" t="inlineStr">
        <is>
          <t>Lineage_by_Run_v4.3</t>
        </is>
      </c>
      <c r="B9" s="5" t="inlineStr">
        <is>
          <t>The same matrix under Pango 4.3. Superseded; kept for traceability.</t>
        </is>
      </c>
    </row>
    <row r="10">
      <c r="A10" s="4" t="inlineStr">
        <is>
          <t>EB_Report</t>
        </is>
      </c>
      <c r="B10" s="5" t="inlineStr">
        <is>
          <t>Lineage counts by run, grouped into surveillance categories (Omicron-other, hybrid VOI, hybrid VUM, others, unassigned).</t>
        </is>
      </c>
    </row>
    <row r="11">
      <c r="A11" s="4" t="inlineStr">
        <is>
          <t>Sample_Registry</t>
        </is>
      </c>
      <c r="B11" s="5" t="inlineStr">
        <is>
          <t>One row per sequenced specimen: strain ID, accession, UIC code, run and whether a lineage was assigned.</t>
        </is>
      </c>
    </row>
    <row r="12">
      <c r="A12" s="4" t="inlineStr">
        <is>
          <t>Samples_No_Lineage</t>
        </is>
      </c>
      <c r="B12" s="5" t="inlineStr">
        <is>
          <t>Specimens that failed lineage assignment.</t>
        </is>
      </c>
    </row>
    <row r="13">
      <c r="A13" s="4" t="inlineStr">
        <is>
          <t>Patient_Metadata</t>
        </is>
      </c>
      <c r="B13" s="5" t="inlineStr">
        <is>
          <t>Demographics, collecting institution, selection criteria and Ct values for the subset of specimens with linked records.</t>
        </is>
      </c>
    </row>
    <row r="14">
      <c r="A14" s="4" t="inlineStr">
        <is>
          <t>Data_Issues</t>
        </is>
      </c>
      <c r="B14" s="5" t="inlineStr">
        <is>
          <t>Everything that needs a human decision, ranked by severity. Start here.</t>
        </is>
      </c>
    </row>
    <row r="15">
      <c r="A15" s="4" t="inlineStr">
        <is>
          <t>Change_Log</t>
        </is>
      </c>
      <c r="B15" s="5" t="inlineStr">
        <is>
          <t>Every change this rebuild made.</t>
        </is>
      </c>
    </row>
    <row r="16">
      <c r="A16" t="inlineStr"/>
      <c r="B16" t="inlineStr"/>
    </row>
    <row r="17">
      <c r="A17" s="3" t="inlineStr">
        <is>
          <t>THE FOUR THINGS THAT WERE MOST WRONG</t>
        </is>
      </c>
      <c r="B17" t="inlineStr"/>
    </row>
    <row r="18">
      <c r="A18" s="4" t="inlineStr">
        <is>
          <t>1. Truncated totals</t>
        </is>
      </c>
      <c r="B18" s="5" t="inlineStr">
        <is>
          <t>Four separate SUM formulas had fallen behind the data they were meant to cover. They understated EB_Report by 411 samples and dropped 761 samples from the per-run lineage totals. All totals are now formulas that span the whole table.</t>
        </is>
      </c>
    </row>
    <row r="19">
      <c r="A19" s="4" t="inlineStr">
        <is>
          <t>2. Corrupted dates</t>
        </is>
      </c>
      <c r="B19" s="5" t="inlineStr">
        <is>
          <t>Run dates were stored as a mixture of text and serial values, and 47 had their day and month transposed by a dd/mm vs mm/dd locale mismatch. All are now real dates; the few that could not be resolved are flagged.</t>
        </is>
      </c>
    </row>
    <row r="20">
      <c r="A20" s="4" t="inlineStr">
        <is>
          <t>3. Split categories</t>
        </is>
      </c>
      <c r="B20" s="5" t="inlineStr">
        <is>
          <t>Duplicate lineage columns and rows, stray whitespace in names, and mixed capitalisation in institutions and selection criteria meant the same thing was counted under several labels. These are merged.</t>
        </is>
      </c>
    </row>
    <row r="21">
      <c r="A21" s="4" t="inlineStr">
        <is>
          <t>4. Fragile layout</t>
        </is>
      </c>
      <c r="B21" s="5" t="inlineStr">
        <is>
          <t>Summary statistics sat loose inside the data grid and section subtotals depended on hard-coded row ranges. Both are gone: data areas are now uninterrupted tables and subtotals key off an explicit Category column.</t>
        </is>
      </c>
    </row>
    <row r="22">
      <c r="A22" t="inlineStr"/>
      <c r="B22" t="inlineStr"/>
    </row>
    <row r="23">
      <c r="A23" s="3" t="inlineStr">
        <is>
          <t>CONVENTIONS</t>
        </is>
      </c>
      <c r="B23" t="inlineStr"/>
    </row>
    <row r="24">
      <c r="A24" s="4" t="inlineStr">
        <is>
          <t>Dates</t>
        </is>
      </c>
      <c r="B24" s="5" t="inlineStr">
        <is>
          <t>Real Excel dates shown as dd-mmm-yyyy, so the day and month can never be read the wrong way round.</t>
        </is>
      </c>
    </row>
    <row r="25">
      <c r="A25" s="4" t="inlineStr">
        <is>
          <t>Totals</t>
        </is>
      </c>
      <c r="B25" s="5" t="inlineStr">
        <is>
          <t>Always formulas over the full data range - never typed-in numbers.</t>
        </is>
      </c>
    </row>
    <row r="26">
      <c r="A26" s="4" t="inlineStr">
        <is>
          <t>Highlighting</t>
        </is>
      </c>
      <c r="B26" s="5" t="inlineStr">
        <is>
          <t>A shaded row means Review_Flag is populated on that row.</t>
        </is>
      </c>
    </row>
    <row r="27">
      <c r="A27" s="4" t="inlineStr">
        <is>
          <t>Identifiers</t>
        </is>
      </c>
      <c r="B27" s="5" t="inlineStr">
        <is>
          <t>Strain IDs, PGC codes and accession numbers were never renumbered. Accessions were only stripped of stray spaces and case differences.</t>
        </is>
      </c>
    </row>
    <row r="28">
      <c r="A28" s="4" t="inlineStr">
        <is>
          <t>Adding a run</t>
        </is>
      </c>
      <c r="B28" s="5" t="inlineStr">
        <is>
          <t>Insert the row above the TOTAL row in Run_Summary; every formula and the Program_Metrics year totals will pick it up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P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19" customWidth="1" min="4" max="4"/>
    <col width="15" customWidth="1" min="5" max="5"/>
    <col width="13" customWidth="1" min="6" max="6"/>
    <col width="35" customWidth="1" min="7" max="7"/>
    <col width="19" customWidth="1" min="8" max="8"/>
    <col width="18" customWidth="1" min="9" max="9"/>
    <col width="24" customWidth="1" min="10" max="10"/>
    <col width="22" customWidth="1" min="11" max="11"/>
    <col width="22" customWidth="1" min="12" max="12"/>
    <col width="22" customWidth="1" min="13" max="13"/>
    <col width="22" customWidth="1" min="14" max="14"/>
    <col width="26" customWidth="1" min="15" max="15"/>
    <col width="42" customWidth="1" min="16" max="16"/>
  </cols>
  <sheetData>
    <row r="1">
      <c r="A1" s="6" t="inlineStr">
        <is>
          <t>Run_Number</t>
        </is>
      </c>
      <c r="B1" s="6" t="inlineStr">
        <is>
          <t>Run_ID</t>
        </is>
      </c>
      <c r="C1" s="6" t="inlineStr">
        <is>
          <t>Sequencer</t>
        </is>
      </c>
      <c r="D1" s="6" t="inlineStr">
        <is>
          <t>Extraction_Number</t>
        </is>
      </c>
      <c r="E1" s="6" t="inlineStr">
        <is>
          <t>Date_Received</t>
        </is>
      </c>
      <c r="F1" s="6" t="inlineStr">
        <is>
          <t>Date_Loaded</t>
        </is>
      </c>
      <c r="G1" s="6" t="inlineStr">
        <is>
          <t>Turnaround_Days</t>
        </is>
      </c>
      <c r="H1" s="6" t="inlineStr">
        <is>
          <t>Samples_Sequenced</t>
        </is>
      </c>
      <c r="I1" s="6" t="inlineStr">
        <is>
          <t>Lineage_Assigned</t>
        </is>
      </c>
      <c r="J1" s="6" t="inlineStr">
        <is>
          <t>Lineage_Unassigned</t>
        </is>
      </c>
      <c r="K1" s="6" t="inlineStr">
        <is>
          <t>Pct_Assigned</t>
        </is>
      </c>
      <c r="L1" s="6" t="inlineStr">
        <is>
          <t>Pct_Unassigned</t>
        </is>
      </c>
      <c r="M1" s="6" t="inlineStr">
        <is>
          <t>Uploaded_GISAID</t>
        </is>
      </c>
      <c r="N1" s="6" t="inlineStr">
        <is>
          <t>Uploaded_ISLAP</t>
        </is>
      </c>
      <c r="O1" s="6" t="inlineStr">
        <is>
          <t>Comments</t>
        </is>
      </c>
      <c r="P1" s="6" t="inlineStr">
        <is>
          <t>Review_Flag</t>
        </is>
      </c>
    </row>
    <row r="2">
      <c r="A2" s="7" t="n">
        <v>1</v>
      </c>
      <c r="B2" s="8" t="inlineStr">
        <is>
          <t>NS_001</t>
        </is>
      </c>
      <c r="C2" s="8" t="inlineStr">
        <is>
          <t>NextSeq1000</t>
        </is>
      </c>
      <c r="D2" s="8" t="inlineStr">
        <is>
          <t>1</t>
        </is>
      </c>
      <c r="E2" s="9" t="n"/>
      <c r="F2" s="9" t="n">
        <v>44588</v>
      </c>
      <c r="G2" s="7">
        <f>IF(OR(E2="",F2=""),"",F2-E2)</f>
        <v/>
      </c>
      <c r="H2" s="7" t="n">
        <v>93</v>
      </c>
      <c r="I2" s="7" t="n">
        <v>90</v>
      </c>
      <c r="J2" s="7">
        <f>IF(H2="","",H2-I2)</f>
        <v/>
      </c>
      <c r="K2" s="10">
        <f>IFERROR(I2/H2,"")</f>
        <v/>
      </c>
      <c r="L2" s="10">
        <f>IFERROR(J2/H2,"")</f>
        <v/>
      </c>
      <c r="M2" s="8" t="inlineStr">
        <is>
          <t>y</t>
        </is>
      </c>
      <c r="N2" s="8" t="inlineStr">
        <is>
          <t>y</t>
        </is>
      </c>
      <c r="O2" s="8" t="n"/>
      <c r="P2" s="8" t="n"/>
    </row>
    <row r="3">
      <c r="A3" s="7" t="n">
        <v>4</v>
      </c>
      <c r="B3" s="8" t="inlineStr">
        <is>
          <t>NS_004</t>
        </is>
      </c>
      <c r="C3" s="8" t="inlineStr">
        <is>
          <t>NextSeq1000</t>
        </is>
      </c>
      <c r="D3" s="8" t="inlineStr">
        <is>
          <t>2</t>
        </is>
      </c>
      <c r="E3" s="9" t="n">
        <v>44608</v>
      </c>
      <c r="F3" s="9" t="n">
        <v>44610</v>
      </c>
      <c r="G3" s="7">
        <f>IF(OR(E3="",F3=""),"",F3-E3)</f>
        <v/>
      </c>
      <c r="H3" s="7" t="n">
        <v>90</v>
      </c>
      <c r="I3" s="7" t="n">
        <v>88</v>
      </c>
      <c r="J3" s="7">
        <f>IF(H3="","",H3-I3)</f>
        <v/>
      </c>
      <c r="K3" s="10">
        <f>IFERROR(I3/H3,"")</f>
        <v/>
      </c>
      <c r="L3" s="10">
        <f>IFERROR(J3/H3,"")</f>
        <v/>
      </c>
      <c r="M3" s="8" t="inlineStr">
        <is>
          <t>y</t>
        </is>
      </c>
      <c r="N3" s="8" t="inlineStr">
        <is>
          <t>y</t>
        </is>
      </c>
      <c r="O3" s="8" t="n"/>
      <c r="P3" s="8" t="n"/>
    </row>
    <row r="4">
      <c r="A4" s="7" t="n">
        <v>5</v>
      </c>
      <c r="B4" s="8" t="inlineStr">
        <is>
          <t>NS_005</t>
        </is>
      </c>
      <c r="C4" s="8" t="inlineStr">
        <is>
          <t>NextSeq1000</t>
        </is>
      </c>
      <c r="D4" s="8" t="inlineStr">
        <is>
          <t>3</t>
        </is>
      </c>
      <c r="E4" s="9" t="n">
        <v>44615</v>
      </c>
      <c r="F4" s="9" t="n">
        <v>44617</v>
      </c>
      <c r="G4" s="7">
        <f>IF(OR(E4="",F4=""),"",F4-E4)</f>
        <v/>
      </c>
      <c r="H4" s="7" t="n">
        <v>80</v>
      </c>
      <c r="I4" s="7" t="n">
        <v>77</v>
      </c>
      <c r="J4" s="7">
        <f>IF(H4="","",H4-I4)</f>
        <v/>
      </c>
      <c r="K4" s="10">
        <f>IFERROR(I4/H4,"")</f>
        <v/>
      </c>
      <c r="L4" s="10">
        <f>IFERROR(J4/H4,"")</f>
        <v/>
      </c>
      <c r="M4" s="8" t="inlineStr">
        <is>
          <t>y</t>
        </is>
      </c>
      <c r="N4" s="8" t="inlineStr">
        <is>
          <t>y</t>
        </is>
      </c>
      <c r="O4" s="8" t="n"/>
      <c r="P4" s="8" t="n"/>
    </row>
    <row r="5">
      <c r="A5" s="7" t="n">
        <v>7</v>
      </c>
      <c r="B5" s="8" t="inlineStr">
        <is>
          <t>NS_007</t>
        </is>
      </c>
      <c r="C5" s="8" t="inlineStr">
        <is>
          <t>NextSeq1000</t>
        </is>
      </c>
      <c r="D5" s="8" t="inlineStr">
        <is>
          <t>4</t>
        </is>
      </c>
      <c r="E5" s="9" t="n">
        <v>44622</v>
      </c>
      <c r="F5" s="9" t="n">
        <v>44624</v>
      </c>
      <c r="G5" s="7">
        <f>IF(OR(E5="",F5=""),"",F5-E5)</f>
        <v/>
      </c>
      <c r="H5" s="7" t="n">
        <v>84</v>
      </c>
      <c r="I5" s="7" t="n">
        <v>69</v>
      </c>
      <c r="J5" s="7">
        <f>IF(H5="","",H5-I5)</f>
        <v/>
      </c>
      <c r="K5" s="10">
        <f>IFERROR(I5/H5,"")</f>
        <v/>
      </c>
      <c r="L5" s="10">
        <f>IFERROR(J5/H5,"")</f>
        <v/>
      </c>
      <c r="M5" s="8" t="inlineStr">
        <is>
          <t>y</t>
        </is>
      </c>
      <c r="N5" s="8" t="inlineStr">
        <is>
          <t>y</t>
        </is>
      </c>
      <c r="O5" s="8" t="n"/>
      <c r="P5" s="8" t="n"/>
    </row>
    <row r="6">
      <c r="A6" s="7" t="n">
        <v>8</v>
      </c>
      <c r="B6" s="8" t="inlineStr">
        <is>
          <t>NS_008</t>
        </is>
      </c>
      <c r="C6" s="8" t="inlineStr">
        <is>
          <t>NextSeq1000</t>
        </is>
      </c>
      <c r="D6" s="8" t="inlineStr">
        <is>
          <t>5</t>
        </is>
      </c>
      <c r="E6" s="9" t="n">
        <v>44629</v>
      </c>
      <c r="F6" s="9" t="n">
        <v>44631</v>
      </c>
      <c r="G6" s="7">
        <f>IF(OR(E6="",F6=""),"",F6-E6)</f>
        <v/>
      </c>
      <c r="H6" s="7" t="n">
        <v>26</v>
      </c>
      <c r="I6" s="7" t="n">
        <v>23</v>
      </c>
      <c r="J6" s="7">
        <f>IF(H6="","",H6-I6)</f>
        <v/>
      </c>
      <c r="K6" s="10">
        <f>IFERROR(I6/H6,"")</f>
        <v/>
      </c>
      <c r="L6" s="10">
        <f>IFERROR(J6/H6,"")</f>
        <v/>
      </c>
      <c r="M6" s="8" t="inlineStr">
        <is>
          <t>y</t>
        </is>
      </c>
      <c r="N6" s="8" t="inlineStr">
        <is>
          <t>y</t>
        </is>
      </c>
      <c r="O6" s="8" t="n"/>
      <c r="P6" s="8" t="n"/>
    </row>
    <row r="7">
      <c r="A7" s="7" t="n">
        <v>9</v>
      </c>
      <c r="B7" s="8" t="inlineStr">
        <is>
          <t>NS_009</t>
        </is>
      </c>
      <c r="C7" s="8" t="inlineStr">
        <is>
          <t>NextSeq1000</t>
        </is>
      </c>
      <c r="D7" s="8" t="inlineStr">
        <is>
          <t>6</t>
        </is>
      </c>
      <c r="E7" s="9" t="n">
        <v>44636</v>
      </c>
      <c r="F7" s="9" t="n">
        <v>44637</v>
      </c>
      <c r="G7" s="7">
        <f>IF(OR(E7="",F7=""),"",F7-E7)</f>
        <v/>
      </c>
      <c r="H7" s="7" t="n">
        <v>18</v>
      </c>
      <c r="I7" s="7" t="n">
        <v>13</v>
      </c>
      <c r="J7" s="7">
        <f>IF(H7="","",H7-I7)</f>
        <v/>
      </c>
      <c r="K7" s="10">
        <f>IFERROR(I7/H7,"")</f>
        <v/>
      </c>
      <c r="L7" s="10">
        <f>IFERROR(J7/H7,"")</f>
        <v/>
      </c>
      <c r="M7" s="8" t="inlineStr">
        <is>
          <t>y</t>
        </is>
      </c>
      <c r="N7" s="8" t="inlineStr">
        <is>
          <t>y</t>
        </is>
      </c>
      <c r="O7" s="8" t="n"/>
      <c r="P7" s="8" t="n"/>
    </row>
    <row r="8">
      <c r="A8" s="7" t="n">
        <v>10</v>
      </c>
      <c r="B8" s="8" t="inlineStr">
        <is>
          <t>NS_0010</t>
        </is>
      </c>
      <c r="C8" s="8" t="inlineStr">
        <is>
          <t>NextSeq1000</t>
        </is>
      </c>
      <c r="D8" s="8" t="inlineStr">
        <is>
          <t>7</t>
        </is>
      </c>
      <c r="E8" s="9" t="n">
        <v>44643</v>
      </c>
      <c r="F8" s="9" t="n">
        <v>44645</v>
      </c>
      <c r="G8" s="7">
        <f>IF(OR(E8="",F8=""),"",F8-E8)</f>
        <v/>
      </c>
      <c r="H8" s="7" t="n">
        <v>12</v>
      </c>
      <c r="I8" s="7" t="n">
        <v>9</v>
      </c>
      <c r="J8" s="7">
        <f>IF(H8="","",H8-I8)</f>
        <v/>
      </c>
      <c r="K8" s="10">
        <f>IFERROR(I8/H8,"")</f>
        <v/>
      </c>
      <c r="L8" s="10">
        <f>IFERROR(J8/H8,"")</f>
        <v/>
      </c>
      <c r="M8" s="8" t="inlineStr">
        <is>
          <t>y</t>
        </is>
      </c>
      <c r="N8" s="8" t="inlineStr">
        <is>
          <t>y</t>
        </is>
      </c>
      <c r="O8" s="8" t="n"/>
      <c r="P8" s="8" t="n"/>
    </row>
    <row r="9">
      <c r="A9" s="7" t="n">
        <v>11</v>
      </c>
      <c r="B9" s="8" t="inlineStr">
        <is>
          <t>NS_0011</t>
        </is>
      </c>
      <c r="C9" s="8" t="inlineStr">
        <is>
          <t>NextSeq1000</t>
        </is>
      </c>
      <c r="D9" s="8" t="inlineStr">
        <is>
          <t>8, 9</t>
        </is>
      </c>
      <c r="E9" s="9" t="n">
        <v>44650</v>
      </c>
      <c r="F9" s="9" t="n">
        <v>44659</v>
      </c>
      <c r="G9" s="7">
        <f>IF(OR(E9="",F9=""),"",F9-E9)</f>
        <v/>
      </c>
      <c r="H9" s="7" t="n">
        <v>15</v>
      </c>
      <c r="I9" s="7" t="n">
        <v>13</v>
      </c>
      <c r="J9" s="7">
        <f>IF(H9="","",H9-I9)</f>
        <v/>
      </c>
      <c r="K9" s="10">
        <f>IFERROR(I9/H9,"")</f>
        <v/>
      </c>
      <c r="L9" s="10">
        <f>IFERROR(J9/H9,"")</f>
        <v/>
      </c>
      <c r="M9" s="8" t="inlineStr">
        <is>
          <t>y</t>
        </is>
      </c>
      <c r="N9" s="8" t="inlineStr">
        <is>
          <t>y</t>
        </is>
      </c>
      <c r="O9" s="8" t="n"/>
      <c r="P9" s="8" t="n"/>
    </row>
    <row r="10">
      <c r="A10" s="7" t="n">
        <v>12</v>
      </c>
      <c r="B10" s="8" t="inlineStr">
        <is>
          <t>IS_0011</t>
        </is>
      </c>
      <c r="C10" s="8" t="inlineStr">
        <is>
          <t>iSeq100</t>
        </is>
      </c>
      <c r="D10" s="8" t="inlineStr">
        <is>
          <t>10</t>
        </is>
      </c>
      <c r="E10" s="9" t="n">
        <v>44672</v>
      </c>
      <c r="F10" s="9" t="n">
        <v>44673</v>
      </c>
      <c r="G10" s="7">
        <f>IF(OR(E10="",F10=""),"",F10-E10)</f>
        <v/>
      </c>
      <c r="H10" s="7" t="n">
        <v>6</v>
      </c>
      <c r="I10" s="7" t="n">
        <v>5</v>
      </c>
      <c r="J10" s="7">
        <f>IF(H10="","",H10-I10)</f>
        <v/>
      </c>
      <c r="K10" s="10">
        <f>IFERROR(I10/H10,"")</f>
        <v/>
      </c>
      <c r="L10" s="10">
        <f>IFERROR(J10/H10,"")</f>
        <v/>
      </c>
      <c r="M10" s="8" t="inlineStr">
        <is>
          <t>y</t>
        </is>
      </c>
      <c r="N10" s="8" t="inlineStr">
        <is>
          <t>y</t>
        </is>
      </c>
      <c r="O10" s="8" t="n"/>
      <c r="P10" s="8" t="n"/>
    </row>
    <row r="11">
      <c r="A11" s="7" t="n">
        <v>13</v>
      </c>
      <c r="B11" s="8" t="inlineStr">
        <is>
          <t>IS_0012</t>
        </is>
      </c>
      <c r="C11" s="8" t="inlineStr">
        <is>
          <t>iSeq100</t>
        </is>
      </c>
      <c r="D11" s="8" t="inlineStr">
        <is>
          <t>11</t>
        </is>
      </c>
      <c r="E11" s="9" t="n">
        <v>44679</v>
      </c>
      <c r="F11" s="9" t="n">
        <v>44680</v>
      </c>
      <c r="G11" s="7">
        <f>IF(OR(E11="",F11=""),"",F11-E11)</f>
        <v/>
      </c>
      <c r="H11" s="7" t="n">
        <v>9</v>
      </c>
      <c r="I11" s="7" t="n">
        <v>9</v>
      </c>
      <c r="J11" s="7">
        <f>IF(H11="","",H11-I11)</f>
        <v/>
      </c>
      <c r="K11" s="10">
        <f>IFERROR(I11/H11,"")</f>
        <v/>
      </c>
      <c r="L11" s="10">
        <f>IFERROR(J11/H11,"")</f>
        <v/>
      </c>
      <c r="M11" s="8" t="inlineStr">
        <is>
          <t>y</t>
        </is>
      </c>
      <c r="N11" s="8" t="inlineStr">
        <is>
          <t>y</t>
        </is>
      </c>
      <c r="O11" s="8" t="n"/>
      <c r="P11" s="8" t="n"/>
    </row>
    <row r="12">
      <c r="A12" s="7" t="n">
        <v>14</v>
      </c>
      <c r="B12" s="8" t="inlineStr">
        <is>
          <t>IS_0013</t>
        </is>
      </c>
      <c r="C12" s="8" t="inlineStr">
        <is>
          <t>iSeq100</t>
        </is>
      </c>
      <c r="D12" s="8" t="inlineStr">
        <is>
          <t>12</t>
        </is>
      </c>
      <c r="E12" s="9" t="n">
        <v>44693</v>
      </c>
      <c r="F12" s="9" t="n">
        <v>44694</v>
      </c>
      <c r="G12" s="7">
        <f>IF(OR(E12="",F12=""),"",F12-E12)</f>
        <v/>
      </c>
      <c r="H12" s="7" t="n">
        <v>7</v>
      </c>
      <c r="I12" s="7" t="n">
        <v>5</v>
      </c>
      <c r="J12" s="7">
        <f>IF(H12="","",H12-I12)</f>
        <v/>
      </c>
      <c r="K12" s="10">
        <f>IFERROR(I12/H12,"")</f>
        <v/>
      </c>
      <c r="L12" s="10">
        <f>IFERROR(J12/H12,"")</f>
        <v/>
      </c>
      <c r="M12" s="8" t="inlineStr">
        <is>
          <t>y</t>
        </is>
      </c>
      <c r="N12" s="8" t="inlineStr">
        <is>
          <t>y</t>
        </is>
      </c>
      <c r="O12" s="8" t="n"/>
      <c r="P12" s="8" t="n"/>
    </row>
    <row r="13">
      <c r="A13" s="7" t="n">
        <v>16</v>
      </c>
      <c r="B13" s="8" t="inlineStr">
        <is>
          <t>IS_0015</t>
        </is>
      </c>
      <c r="C13" s="8" t="inlineStr">
        <is>
          <t>iSeq100</t>
        </is>
      </c>
      <c r="D13" s="8" t="inlineStr">
        <is>
          <t>13</t>
        </is>
      </c>
      <c r="E13" s="9" t="n">
        <v>44700</v>
      </c>
      <c r="F13" s="9" t="n">
        <v>44706</v>
      </c>
      <c r="G13" s="7">
        <f>IF(OR(E13="",F13=""),"",F13-E13)</f>
        <v/>
      </c>
      <c r="H13" s="7" t="n">
        <v>10</v>
      </c>
      <c r="I13" s="7" t="n">
        <v>9</v>
      </c>
      <c r="J13" s="7">
        <f>IF(H13="","",H13-I13)</f>
        <v/>
      </c>
      <c r="K13" s="10">
        <f>IFERROR(I13/H13,"")</f>
        <v/>
      </c>
      <c r="L13" s="10">
        <f>IFERROR(J13/H13,"")</f>
        <v/>
      </c>
      <c r="M13" s="8" t="inlineStr">
        <is>
          <t>y</t>
        </is>
      </c>
      <c r="N13" s="8" t="inlineStr">
        <is>
          <t>y</t>
        </is>
      </c>
      <c r="O13" s="8" t="n"/>
      <c r="P13" s="8" t="n"/>
    </row>
    <row r="14">
      <c r="A14" s="7" t="n">
        <v>18</v>
      </c>
      <c r="B14" s="8" t="inlineStr">
        <is>
          <t>IS_0016</t>
        </is>
      </c>
      <c r="C14" s="8" t="inlineStr">
        <is>
          <t>iSeq100</t>
        </is>
      </c>
      <c r="D14" s="8" t="inlineStr">
        <is>
          <t>14</t>
        </is>
      </c>
      <c r="E14" s="9" t="n">
        <v>44721</v>
      </c>
      <c r="F14" s="9" t="n">
        <v>44722</v>
      </c>
      <c r="G14" s="7">
        <f>IF(OR(E14="",F14=""),"",F14-E14)</f>
        <v/>
      </c>
      <c r="H14" s="7" t="n">
        <v>13</v>
      </c>
      <c r="I14" s="7" t="n">
        <v>8</v>
      </c>
      <c r="J14" s="7">
        <f>IF(H14="","",H14-I14)</f>
        <v/>
      </c>
      <c r="K14" s="10">
        <f>IFERROR(I14/H14,"")</f>
        <v/>
      </c>
      <c r="L14" s="10">
        <f>IFERROR(J14/H14,"")</f>
        <v/>
      </c>
      <c r="M14" s="8" t="inlineStr">
        <is>
          <t>y</t>
        </is>
      </c>
      <c r="N14" s="8" t="inlineStr">
        <is>
          <t>y</t>
        </is>
      </c>
      <c r="O14" s="8" t="n"/>
      <c r="P14" s="8" t="n"/>
    </row>
    <row r="15">
      <c r="A15" s="7" t="n">
        <v>19</v>
      </c>
      <c r="B15" s="8" t="inlineStr">
        <is>
          <t>NS_0014</t>
        </is>
      </c>
      <c r="C15" s="8" t="inlineStr">
        <is>
          <t>NextSeq1000</t>
        </is>
      </c>
      <c r="D15" s="8" t="inlineStr">
        <is>
          <t>15</t>
        </is>
      </c>
      <c r="E15" s="9" t="n">
        <v>44728</v>
      </c>
      <c r="F15" s="9" t="n">
        <v>44729</v>
      </c>
      <c r="G15" s="7">
        <f>IF(OR(E15="",F15=""),"",F15-E15)</f>
        <v/>
      </c>
      <c r="H15" s="7" t="n">
        <v>41</v>
      </c>
      <c r="I15" s="7" t="n">
        <v>41</v>
      </c>
      <c r="J15" s="7">
        <f>IF(H15="","",H15-I15)</f>
        <v/>
      </c>
      <c r="K15" s="10">
        <f>IFERROR(I15/H15,"")</f>
        <v/>
      </c>
      <c r="L15" s="10">
        <f>IFERROR(J15/H15,"")</f>
        <v/>
      </c>
      <c r="M15" s="8" t="inlineStr">
        <is>
          <t>y</t>
        </is>
      </c>
      <c r="N15" s="8" t="inlineStr">
        <is>
          <t>y</t>
        </is>
      </c>
      <c r="O15" s="8" t="n"/>
      <c r="P15" s="8" t="n"/>
    </row>
    <row r="16">
      <c r="A16" s="7" t="n">
        <v>20</v>
      </c>
      <c r="B16" s="8" t="inlineStr">
        <is>
          <t>NS_0016</t>
        </is>
      </c>
      <c r="C16" s="8" t="inlineStr">
        <is>
          <t>NextSeq1000</t>
        </is>
      </c>
      <c r="D16" s="8" t="inlineStr">
        <is>
          <t>16</t>
        </is>
      </c>
      <c r="E16" s="9" t="n">
        <v>44735</v>
      </c>
      <c r="F16" s="9" t="n">
        <v>44736</v>
      </c>
      <c r="G16" s="7">
        <f>IF(OR(E16="",F16=""),"",F16-E16)</f>
        <v/>
      </c>
      <c r="H16" s="7" t="n">
        <v>57</v>
      </c>
      <c r="I16" s="7" t="n">
        <v>51</v>
      </c>
      <c r="J16" s="7">
        <f>IF(H16="","",H16-I16)</f>
        <v/>
      </c>
      <c r="K16" s="10">
        <f>IFERROR(I16/H16,"")</f>
        <v/>
      </c>
      <c r="L16" s="10">
        <f>IFERROR(J16/H16,"")</f>
        <v/>
      </c>
      <c r="M16" s="8" t="inlineStr">
        <is>
          <t>n</t>
        </is>
      </c>
      <c r="N16" s="8" t="inlineStr">
        <is>
          <t>y</t>
        </is>
      </c>
      <c r="O16" s="8" t="n"/>
      <c r="P16" s="8" t="n"/>
    </row>
    <row r="17">
      <c r="A17" s="7" t="n">
        <v>21</v>
      </c>
      <c r="B17" s="8" t="inlineStr">
        <is>
          <t>NS_0017</t>
        </is>
      </c>
      <c r="C17" s="8" t="inlineStr">
        <is>
          <t>NextSeq1000</t>
        </is>
      </c>
      <c r="D17" s="8" t="inlineStr">
        <is>
          <t>17</t>
        </is>
      </c>
      <c r="E17" s="9" t="n">
        <v>44742</v>
      </c>
      <c r="F17" s="9" t="n">
        <v>44743</v>
      </c>
      <c r="G17" s="7">
        <f>IF(OR(E17="",F17=""),"",F17-E17)</f>
        <v/>
      </c>
      <c r="H17" s="7" t="n">
        <v>129</v>
      </c>
      <c r="I17" s="7" t="n">
        <v>108</v>
      </c>
      <c r="J17" s="7">
        <f>IF(H17="","",H17-I17)</f>
        <v/>
      </c>
      <c r="K17" s="10">
        <f>IFERROR(I17/H17,"")</f>
        <v/>
      </c>
      <c r="L17" s="10">
        <f>IFERROR(J17/H17,"")</f>
        <v/>
      </c>
      <c r="M17" s="8" t="inlineStr">
        <is>
          <t>n</t>
        </is>
      </c>
      <c r="N17" s="8" t="inlineStr">
        <is>
          <t>y</t>
        </is>
      </c>
      <c r="O17" s="8" t="n"/>
      <c r="P17" s="8" t="n"/>
    </row>
    <row r="18">
      <c r="A18" s="7" t="n">
        <v>22</v>
      </c>
      <c r="B18" s="8" t="inlineStr">
        <is>
          <t>NS_0018</t>
        </is>
      </c>
      <c r="C18" s="8" t="inlineStr">
        <is>
          <t>NextSeq1000</t>
        </is>
      </c>
      <c r="D18" s="8" t="inlineStr">
        <is>
          <t>18</t>
        </is>
      </c>
      <c r="E18" s="9" t="n">
        <v>44749</v>
      </c>
      <c r="F18" s="9" t="n">
        <v>44750</v>
      </c>
      <c r="G18" s="7">
        <f>IF(OR(E18="",F18=""),"",F18-E18)</f>
        <v/>
      </c>
      <c r="H18" s="7" t="n">
        <v>152</v>
      </c>
      <c r="I18" s="7" t="n">
        <v>72</v>
      </c>
      <c r="J18" s="7">
        <f>IF(H18="","",H18-I18)</f>
        <v/>
      </c>
      <c r="K18" s="10">
        <f>IFERROR(I18/H18,"")</f>
        <v/>
      </c>
      <c r="L18" s="10">
        <f>IFERROR(J18/H18,"")</f>
        <v/>
      </c>
      <c r="M18" s="8" t="inlineStr">
        <is>
          <t>n</t>
        </is>
      </c>
      <c r="N18" s="8" t="inlineStr">
        <is>
          <t>y</t>
        </is>
      </c>
      <c r="O18" s="8" t="n"/>
      <c r="P18" s="8" t="n"/>
    </row>
    <row r="19">
      <c r="A19" s="7" t="n">
        <v>23</v>
      </c>
      <c r="B19" s="8" t="inlineStr">
        <is>
          <t>NS_0019</t>
        </is>
      </c>
      <c r="C19" s="8" t="inlineStr">
        <is>
          <t>NextSeq1000</t>
        </is>
      </c>
      <c r="D19" s="8" t="inlineStr">
        <is>
          <t>18</t>
        </is>
      </c>
      <c r="E19" s="9" t="n">
        <v>44749</v>
      </c>
      <c r="F19" s="9" t="n">
        <v>44755</v>
      </c>
      <c r="G19" s="7">
        <f>IF(OR(E19="",F19=""),"",F19-E19)</f>
        <v/>
      </c>
      <c r="H19" s="7" t="n">
        <v>80</v>
      </c>
      <c r="I19" s="7" t="n">
        <v>76</v>
      </c>
      <c r="J19" s="7">
        <f>IF(H19="","",H19-I19)</f>
        <v/>
      </c>
      <c r="K19" s="10">
        <f>IFERROR(I19/H19,"")</f>
        <v/>
      </c>
      <c r="L19" s="10">
        <f>IFERROR(J19/H19,"")</f>
        <v/>
      </c>
      <c r="M19" s="8" t="inlineStr">
        <is>
          <t>n</t>
        </is>
      </c>
      <c r="N19" s="8" t="inlineStr">
        <is>
          <t>y</t>
        </is>
      </c>
      <c r="O19" s="8" t="n"/>
      <c r="P19" s="8" t="n"/>
    </row>
    <row r="20">
      <c r="A20" s="7" t="n">
        <v>24</v>
      </c>
      <c r="B20" s="8" t="inlineStr">
        <is>
          <t>NS_0020</t>
        </is>
      </c>
      <c r="C20" s="8" t="inlineStr">
        <is>
          <t>NextSeq1000</t>
        </is>
      </c>
      <c r="D20" s="8" t="inlineStr">
        <is>
          <t>19</t>
        </is>
      </c>
      <c r="E20" s="9" t="n">
        <v>44756</v>
      </c>
      <c r="F20" s="9" t="n">
        <v>44757</v>
      </c>
      <c r="G20" s="7">
        <f>IF(OR(E20="",F20=""),"",F20-E20)</f>
        <v/>
      </c>
      <c r="H20" s="7" t="n">
        <v>257</v>
      </c>
      <c r="I20" s="7" t="n">
        <v>248</v>
      </c>
      <c r="J20" s="7">
        <f>IF(H20="","",H20-I20)</f>
        <v/>
      </c>
      <c r="K20" s="10">
        <f>IFERROR(I20/H20,"")</f>
        <v/>
      </c>
      <c r="L20" s="10">
        <f>IFERROR(J20/H20,"")</f>
        <v/>
      </c>
      <c r="M20" s="8" t="inlineStr">
        <is>
          <t>n</t>
        </is>
      </c>
      <c r="N20" s="8" t="inlineStr">
        <is>
          <t>y</t>
        </is>
      </c>
      <c r="O20" s="8" t="n"/>
      <c r="P20" s="8" t="n"/>
    </row>
    <row r="21">
      <c r="A21" s="7" t="n">
        <v>25</v>
      </c>
      <c r="B21" s="8" t="inlineStr">
        <is>
          <t>NS_0021</t>
        </is>
      </c>
      <c r="C21" s="8" t="inlineStr">
        <is>
          <t>NextSeq1000</t>
        </is>
      </c>
      <c r="D21" s="8" t="inlineStr">
        <is>
          <t>20</t>
        </is>
      </c>
      <c r="E21" s="9" t="n">
        <v>44763</v>
      </c>
      <c r="F21" s="9" t="n">
        <v>44764</v>
      </c>
      <c r="G21" s="7">
        <f>IF(OR(E21="",F21=""),"",F21-E21)</f>
        <v/>
      </c>
      <c r="H21" s="7" t="n">
        <v>263</v>
      </c>
      <c r="I21" s="7" t="n">
        <v>256</v>
      </c>
      <c r="J21" s="7">
        <f>IF(H21="","",H21-I21)</f>
        <v/>
      </c>
      <c r="K21" s="10">
        <f>IFERROR(I21/H21,"")</f>
        <v/>
      </c>
      <c r="L21" s="10">
        <f>IFERROR(J21/H21,"")</f>
        <v/>
      </c>
      <c r="M21" s="8" t="inlineStr">
        <is>
          <t>n</t>
        </is>
      </c>
      <c r="N21" s="8" t="inlineStr">
        <is>
          <t>y</t>
        </is>
      </c>
      <c r="O21" s="8" t="n"/>
      <c r="P21" s="8" t="n"/>
    </row>
    <row r="22">
      <c r="A22" s="7" t="n">
        <v>26</v>
      </c>
      <c r="B22" s="8" t="inlineStr">
        <is>
          <t>NS_0022</t>
        </is>
      </c>
      <c r="C22" s="8" t="inlineStr">
        <is>
          <t>NextSeq1000</t>
        </is>
      </c>
      <c r="D22" s="8" t="inlineStr">
        <is>
          <t>21</t>
        </is>
      </c>
      <c r="E22" s="9" t="n">
        <v>44770</v>
      </c>
      <c r="F22" s="9" t="n">
        <v>44771</v>
      </c>
      <c r="G22" s="7">
        <f>IF(OR(E22="",F22=""),"",F22-E22)</f>
        <v/>
      </c>
      <c r="H22" s="7" t="n">
        <v>322</v>
      </c>
      <c r="I22" s="7" t="n">
        <v>318</v>
      </c>
      <c r="J22" s="7">
        <f>IF(H22="","",H22-I22)</f>
        <v/>
      </c>
      <c r="K22" s="10">
        <f>IFERROR(I22/H22,"")</f>
        <v/>
      </c>
      <c r="L22" s="10">
        <f>IFERROR(J22/H22,"")</f>
        <v/>
      </c>
      <c r="M22" s="8" t="inlineStr">
        <is>
          <t>n</t>
        </is>
      </c>
      <c r="N22" s="8" t="inlineStr">
        <is>
          <t>y</t>
        </is>
      </c>
      <c r="O22" s="8" t="n"/>
      <c r="P22" s="8" t="n"/>
    </row>
    <row r="23">
      <c r="A23" s="7" t="n">
        <v>27</v>
      </c>
      <c r="B23" s="8" t="inlineStr">
        <is>
          <t>NS_0023</t>
        </is>
      </c>
      <c r="C23" s="8" t="inlineStr">
        <is>
          <t>NextSeq1000</t>
        </is>
      </c>
      <c r="D23" s="8" t="inlineStr">
        <is>
          <t>22</t>
        </is>
      </c>
      <c r="E23" s="9" t="n">
        <v>44777</v>
      </c>
      <c r="F23" s="9" t="n">
        <v>44778</v>
      </c>
      <c r="G23" s="7">
        <f>IF(OR(E23="",F23=""),"",F23-E23)</f>
        <v/>
      </c>
      <c r="H23" s="7" t="n">
        <v>278</v>
      </c>
      <c r="I23" s="7" t="n">
        <v>274</v>
      </c>
      <c r="J23" s="7">
        <f>IF(H23="","",H23-I23)</f>
        <v/>
      </c>
      <c r="K23" s="10">
        <f>IFERROR(I23/H23,"")</f>
        <v/>
      </c>
      <c r="L23" s="10">
        <f>IFERROR(J23/H23,"")</f>
        <v/>
      </c>
      <c r="M23" s="8" t="inlineStr">
        <is>
          <t>y</t>
        </is>
      </c>
      <c r="N23" s="8" t="inlineStr">
        <is>
          <t>y</t>
        </is>
      </c>
      <c r="O23" s="8" t="n"/>
      <c r="P23" s="8" t="n"/>
    </row>
    <row r="24">
      <c r="A24" s="7" t="n">
        <v>28</v>
      </c>
      <c r="B24" s="8" t="inlineStr">
        <is>
          <t>NS_0024</t>
        </is>
      </c>
      <c r="C24" s="8" t="inlineStr">
        <is>
          <t>NextSeq1000</t>
        </is>
      </c>
      <c r="D24" s="8" t="inlineStr">
        <is>
          <t>23</t>
        </is>
      </c>
      <c r="E24" s="9" t="n">
        <v>44784</v>
      </c>
      <c r="F24" s="9" t="n">
        <v>44785</v>
      </c>
      <c r="G24" s="7">
        <f>IF(OR(E24="",F24=""),"",F24-E24)</f>
        <v/>
      </c>
      <c r="H24" s="7" t="n">
        <v>351</v>
      </c>
      <c r="I24" s="7" t="n">
        <v>344</v>
      </c>
      <c r="J24" s="7">
        <f>IF(H24="","",H24-I24)</f>
        <v/>
      </c>
      <c r="K24" s="10">
        <f>IFERROR(I24/H24,"")</f>
        <v/>
      </c>
      <c r="L24" s="10">
        <f>IFERROR(J24/H24,"")</f>
        <v/>
      </c>
      <c r="M24" s="8" t="inlineStr">
        <is>
          <t>y</t>
        </is>
      </c>
      <c r="N24" s="8" t="inlineStr">
        <is>
          <t>y</t>
        </is>
      </c>
      <c r="O24" s="8" t="n"/>
      <c r="P24" s="8" t="n"/>
    </row>
    <row r="25">
      <c r="A25" s="7" t="n">
        <v>29</v>
      </c>
      <c r="B25" s="8" t="inlineStr">
        <is>
          <t>NS_0025</t>
        </is>
      </c>
      <c r="C25" s="8" t="inlineStr">
        <is>
          <t>NextSeq1000</t>
        </is>
      </c>
      <c r="D25" s="8" t="inlineStr">
        <is>
          <t>24</t>
        </is>
      </c>
      <c r="E25" s="9" t="n">
        <v>44791</v>
      </c>
      <c r="F25" s="9" t="n">
        <v>44792</v>
      </c>
      <c r="G25" s="7">
        <f>IF(OR(E25="",F25=""),"",F25-E25)</f>
        <v/>
      </c>
      <c r="H25" s="7" t="n">
        <v>308</v>
      </c>
      <c r="I25" s="7" t="n">
        <v>302</v>
      </c>
      <c r="J25" s="7">
        <f>IF(H25="","",H25-I25)</f>
        <v/>
      </c>
      <c r="K25" s="10">
        <f>IFERROR(I25/H25,"")</f>
        <v/>
      </c>
      <c r="L25" s="10">
        <f>IFERROR(J25/H25,"")</f>
        <v/>
      </c>
      <c r="M25" s="8" t="inlineStr">
        <is>
          <t>y</t>
        </is>
      </c>
      <c r="N25" s="8" t="inlineStr">
        <is>
          <t>y</t>
        </is>
      </c>
      <c r="O25" s="8" t="n"/>
      <c r="P25" s="8" t="n"/>
    </row>
    <row r="26">
      <c r="A26" s="7" t="n">
        <v>30</v>
      </c>
      <c r="B26" s="8" t="inlineStr">
        <is>
          <t>NS_0026</t>
        </is>
      </c>
      <c r="C26" s="8" t="inlineStr">
        <is>
          <t>NextSeq1000</t>
        </is>
      </c>
      <c r="D26" s="8" t="inlineStr">
        <is>
          <t>25</t>
        </is>
      </c>
      <c r="E26" s="9" t="n">
        <v>44798</v>
      </c>
      <c r="F26" s="9" t="n">
        <v>44799</v>
      </c>
      <c r="G26" s="7">
        <f>IF(OR(E26="",F26=""),"",F26-E26)</f>
        <v/>
      </c>
      <c r="H26" s="7" t="n">
        <v>229</v>
      </c>
      <c r="I26" s="7" t="n">
        <v>216</v>
      </c>
      <c r="J26" s="7">
        <f>IF(H26="","",H26-I26)</f>
        <v/>
      </c>
      <c r="K26" s="10">
        <f>IFERROR(I26/H26,"")</f>
        <v/>
      </c>
      <c r="L26" s="10">
        <f>IFERROR(J26/H26,"")</f>
        <v/>
      </c>
      <c r="M26" s="8" t="inlineStr">
        <is>
          <t>y</t>
        </is>
      </c>
      <c r="N26" s="8" t="inlineStr">
        <is>
          <t>y</t>
        </is>
      </c>
      <c r="O26" s="8" t="n"/>
      <c r="P26" s="8" t="n"/>
    </row>
    <row r="27">
      <c r="A27" s="7" t="n">
        <v>31</v>
      </c>
      <c r="B27" s="8" t="inlineStr">
        <is>
          <t>NS_0027</t>
        </is>
      </c>
      <c r="C27" s="8" t="inlineStr">
        <is>
          <t>NextSeq1000</t>
        </is>
      </c>
      <c r="D27" s="8" t="inlineStr">
        <is>
          <t>26</t>
        </is>
      </c>
      <c r="E27" s="9" t="n">
        <v>44805</v>
      </c>
      <c r="F27" s="9" t="n">
        <v>44806</v>
      </c>
      <c r="G27" s="7">
        <f>IF(OR(E27="",F27=""),"",F27-E27)</f>
        <v/>
      </c>
      <c r="H27" s="7" t="n">
        <v>231</v>
      </c>
      <c r="I27" s="7" t="n">
        <v>219</v>
      </c>
      <c r="J27" s="7">
        <f>IF(H27="","",H27-I27)</f>
        <v/>
      </c>
      <c r="K27" s="10">
        <f>IFERROR(I27/H27,"")</f>
        <v/>
      </c>
      <c r="L27" s="10">
        <f>IFERROR(J27/H27,"")</f>
        <v/>
      </c>
      <c r="M27" s="8" t="inlineStr">
        <is>
          <t>y</t>
        </is>
      </c>
      <c r="N27" s="8" t="inlineStr">
        <is>
          <t>y</t>
        </is>
      </c>
      <c r="O27" s="8" t="n"/>
      <c r="P27" s="8" t="n"/>
    </row>
    <row r="28">
      <c r="A28" s="7" t="n">
        <v>32</v>
      </c>
      <c r="B28" s="8" t="inlineStr">
        <is>
          <t>NS_0028</t>
        </is>
      </c>
      <c r="C28" s="8" t="inlineStr">
        <is>
          <t>NextSeq1000</t>
        </is>
      </c>
      <c r="D28" s="8" t="inlineStr">
        <is>
          <t>27</t>
        </is>
      </c>
      <c r="E28" s="9" t="n">
        <v>44812</v>
      </c>
      <c r="F28" s="9" t="n">
        <v>44813</v>
      </c>
      <c r="G28" s="7">
        <f>IF(OR(E28="",F28=""),"",F28-E28)</f>
        <v/>
      </c>
      <c r="H28" s="7" t="n">
        <v>134</v>
      </c>
      <c r="I28" s="7" t="n">
        <v>131</v>
      </c>
      <c r="J28" s="7">
        <f>IF(H28="","",H28-I28)</f>
        <v/>
      </c>
      <c r="K28" s="10">
        <f>IFERROR(I28/H28,"")</f>
        <v/>
      </c>
      <c r="L28" s="10">
        <f>IFERROR(J28/H28,"")</f>
        <v/>
      </c>
      <c r="M28" s="8" t="inlineStr">
        <is>
          <t>y</t>
        </is>
      </c>
      <c r="N28" s="8" t="inlineStr">
        <is>
          <t>y</t>
        </is>
      </c>
      <c r="O28" s="8" t="n"/>
      <c r="P28" s="8" t="n"/>
    </row>
    <row r="29">
      <c r="A29" s="7" t="n">
        <v>33</v>
      </c>
      <c r="B29" s="8" t="inlineStr">
        <is>
          <t>NS_0029</t>
        </is>
      </c>
      <c r="C29" s="8" t="inlineStr">
        <is>
          <t>NextSeq1000</t>
        </is>
      </c>
      <c r="D29" s="8" t="inlineStr">
        <is>
          <t>28</t>
        </is>
      </c>
      <c r="E29" s="9" t="n">
        <v>44819</v>
      </c>
      <c r="F29" s="9" t="n">
        <v>44820</v>
      </c>
      <c r="G29" s="7">
        <f>IF(OR(E29="",F29=""),"",F29-E29)</f>
        <v/>
      </c>
      <c r="H29" s="7" t="n">
        <v>112</v>
      </c>
      <c r="I29" s="7" t="n">
        <v>107</v>
      </c>
      <c r="J29" s="7">
        <f>IF(H29="","",H29-I29)</f>
        <v/>
      </c>
      <c r="K29" s="10">
        <f>IFERROR(I29/H29,"")</f>
        <v/>
      </c>
      <c r="L29" s="10">
        <f>IFERROR(J29/H29,"")</f>
        <v/>
      </c>
      <c r="M29" s="8" t="inlineStr">
        <is>
          <t>y</t>
        </is>
      </c>
      <c r="N29" s="8" t="inlineStr">
        <is>
          <t>y</t>
        </is>
      </c>
      <c r="O29" s="8" t="n"/>
      <c r="P29" s="8" t="n"/>
    </row>
    <row r="30">
      <c r="A30" s="7" t="n">
        <v>34</v>
      </c>
      <c r="B30" s="8" t="inlineStr">
        <is>
          <t>NS_0030</t>
        </is>
      </c>
      <c r="C30" s="8" t="inlineStr">
        <is>
          <t>NextSeq1000</t>
        </is>
      </c>
      <c r="D30" s="8" t="inlineStr">
        <is>
          <t>29</t>
        </is>
      </c>
      <c r="E30" s="9" t="n">
        <v>44826</v>
      </c>
      <c r="F30" s="9" t="n">
        <v>44827</v>
      </c>
      <c r="G30" s="7">
        <f>IF(OR(E30="",F30=""),"",F30-E30)</f>
        <v/>
      </c>
      <c r="H30" s="7" t="n">
        <v>101</v>
      </c>
      <c r="I30" s="7" t="n">
        <v>92</v>
      </c>
      <c r="J30" s="7">
        <f>IF(H30="","",H30-I30)</f>
        <v/>
      </c>
      <c r="K30" s="10">
        <f>IFERROR(I30/H30,"")</f>
        <v/>
      </c>
      <c r="L30" s="10">
        <f>IFERROR(J30/H30,"")</f>
        <v/>
      </c>
      <c r="M30" s="8" t="inlineStr">
        <is>
          <t>y</t>
        </is>
      </c>
      <c r="N30" s="8" t="inlineStr">
        <is>
          <t>y</t>
        </is>
      </c>
      <c r="O30" s="8" t="n"/>
      <c r="P30" s="8" t="n"/>
    </row>
    <row r="31">
      <c r="A31" s="7" t="n">
        <v>35</v>
      </c>
      <c r="B31" s="8" t="inlineStr">
        <is>
          <t>NS_0031</t>
        </is>
      </c>
      <c r="C31" s="8" t="inlineStr">
        <is>
          <t>NextSeq1000</t>
        </is>
      </c>
      <c r="D31" s="8" t="inlineStr">
        <is>
          <t>30</t>
        </is>
      </c>
      <c r="E31" s="9" t="n">
        <v>44833</v>
      </c>
      <c r="F31" s="9" t="n">
        <v>44834</v>
      </c>
      <c r="G31" s="7">
        <f>IF(OR(E31="",F31=""),"",F31-E31)</f>
        <v/>
      </c>
      <c r="H31" s="7" t="n">
        <v>70</v>
      </c>
      <c r="I31" s="7" t="n">
        <v>69</v>
      </c>
      <c r="J31" s="7">
        <f>IF(H31="","",H31-I31)</f>
        <v/>
      </c>
      <c r="K31" s="10">
        <f>IFERROR(I31/H31,"")</f>
        <v/>
      </c>
      <c r="L31" s="10">
        <f>IFERROR(J31/H31,"")</f>
        <v/>
      </c>
      <c r="M31" s="8" t="inlineStr">
        <is>
          <t>y</t>
        </is>
      </c>
      <c r="N31" s="8" t="inlineStr">
        <is>
          <t>y</t>
        </is>
      </c>
      <c r="O31" s="8" t="n"/>
      <c r="P31" s="8" t="n"/>
    </row>
    <row r="32">
      <c r="A32" s="7" t="n">
        <v>36</v>
      </c>
      <c r="B32" s="8" t="inlineStr">
        <is>
          <t>NS_0032</t>
        </is>
      </c>
      <c r="C32" s="8" t="inlineStr">
        <is>
          <t>NextSeq1000</t>
        </is>
      </c>
      <c r="D32" s="8" t="inlineStr">
        <is>
          <t>31</t>
        </is>
      </c>
      <c r="E32" s="9" t="n">
        <v>44840</v>
      </c>
      <c r="F32" s="9" t="n">
        <v>44841</v>
      </c>
      <c r="G32" s="7">
        <f>IF(OR(E32="",F32=""),"",F32-E32)</f>
        <v/>
      </c>
      <c r="H32" s="7" t="n">
        <v>78</v>
      </c>
      <c r="I32" s="7" t="n">
        <v>77</v>
      </c>
      <c r="J32" s="7">
        <f>IF(H32="","",H32-I32)</f>
        <v/>
      </c>
      <c r="K32" s="10">
        <f>IFERROR(I32/H32,"")</f>
        <v/>
      </c>
      <c r="L32" s="10">
        <f>IFERROR(J32/H32,"")</f>
        <v/>
      </c>
      <c r="M32" s="8" t="inlineStr">
        <is>
          <t>y</t>
        </is>
      </c>
      <c r="N32" s="8" t="inlineStr">
        <is>
          <t>y</t>
        </is>
      </c>
      <c r="O32" s="8" t="n"/>
      <c r="P32" s="8" t="n"/>
    </row>
    <row r="33">
      <c r="A33" s="7" t="n">
        <v>37</v>
      </c>
      <c r="B33" s="8" t="inlineStr">
        <is>
          <t>NS_0033</t>
        </is>
      </c>
      <c r="C33" s="8" t="inlineStr">
        <is>
          <t>NextSeq1000</t>
        </is>
      </c>
      <c r="D33" s="8" t="inlineStr">
        <is>
          <t>32</t>
        </is>
      </c>
      <c r="E33" s="9" t="n">
        <v>44847</v>
      </c>
      <c r="F33" s="9" t="n">
        <v>44848</v>
      </c>
      <c r="G33" s="7">
        <f>IF(OR(E33="",F33=""),"",F33-E33)</f>
        <v/>
      </c>
      <c r="H33" s="7" t="n">
        <v>151</v>
      </c>
      <c r="I33" s="7" t="n">
        <v>140</v>
      </c>
      <c r="J33" s="7">
        <f>IF(H33="","",H33-I33)</f>
        <v/>
      </c>
      <c r="K33" s="10">
        <f>IFERROR(I33/H33,"")</f>
        <v/>
      </c>
      <c r="L33" s="10">
        <f>IFERROR(J33/H33,"")</f>
        <v/>
      </c>
      <c r="M33" s="8" t="inlineStr">
        <is>
          <t>y</t>
        </is>
      </c>
      <c r="N33" s="8" t="inlineStr">
        <is>
          <t>y</t>
        </is>
      </c>
      <c r="O33" s="8" t="n"/>
      <c r="P33" s="8" t="n"/>
    </row>
    <row r="34">
      <c r="A34" s="7" t="n">
        <v>38</v>
      </c>
      <c r="B34" s="8" t="inlineStr">
        <is>
          <t>NS_0034</t>
        </is>
      </c>
      <c r="C34" s="8" t="inlineStr">
        <is>
          <t>NextSeq1000</t>
        </is>
      </c>
      <c r="D34" s="8" t="inlineStr">
        <is>
          <t>33</t>
        </is>
      </c>
      <c r="E34" s="9" t="n">
        <v>44854</v>
      </c>
      <c r="F34" s="9" t="n">
        <v>44855</v>
      </c>
      <c r="G34" s="7">
        <f>IF(OR(E34="",F34=""),"",F34-E34)</f>
        <v/>
      </c>
      <c r="H34" s="7" t="n">
        <v>224</v>
      </c>
      <c r="I34" s="7" t="n">
        <v>201</v>
      </c>
      <c r="J34" s="7">
        <f>IF(H34="","",H34-I34)</f>
        <v/>
      </c>
      <c r="K34" s="10">
        <f>IFERROR(I34/H34,"")</f>
        <v/>
      </c>
      <c r="L34" s="10">
        <f>IFERROR(J34/H34,"")</f>
        <v/>
      </c>
      <c r="M34" s="8" t="inlineStr">
        <is>
          <t>y</t>
        </is>
      </c>
      <c r="N34" s="8" t="inlineStr">
        <is>
          <t>y</t>
        </is>
      </c>
      <c r="O34" s="8" t="n"/>
      <c r="P34" s="8" t="n"/>
    </row>
    <row r="35">
      <c r="A35" s="7" t="n">
        <v>39</v>
      </c>
      <c r="B35" s="8" t="inlineStr">
        <is>
          <t>NS_0035</t>
        </is>
      </c>
      <c r="C35" s="8" t="inlineStr">
        <is>
          <t>NextSeq1000</t>
        </is>
      </c>
      <c r="D35" s="8" t="inlineStr">
        <is>
          <t>34</t>
        </is>
      </c>
      <c r="E35" s="9" t="n">
        <v>44861</v>
      </c>
      <c r="F35" s="9" t="n">
        <v>44862</v>
      </c>
      <c r="G35" s="7">
        <f>IF(OR(E35="",F35=""),"",F35-E35)</f>
        <v/>
      </c>
      <c r="H35" s="7" t="n">
        <v>240</v>
      </c>
      <c r="I35" s="7" t="n">
        <v>231</v>
      </c>
      <c r="J35" s="7">
        <f>IF(H35="","",H35-I35)</f>
        <v/>
      </c>
      <c r="K35" s="10">
        <f>IFERROR(I35/H35,"")</f>
        <v/>
      </c>
      <c r="L35" s="10">
        <f>IFERROR(J35/H35,"")</f>
        <v/>
      </c>
      <c r="M35" s="8" t="inlineStr">
        <is>
          <t>y</t>
        </is>
      </c>
      <c r="N35" s="8" t="inlineStr">
        <is>
          <t>y</t>
        </is>
      </c>
      <c r="O35" s="8" t="n"/>
      <c r="P35" s="8" t="n"/>
    </row>
    <row r="36">
      <c r="A36" s="7" t="n">
        <v>40</v>
      </c>
      <c r="B36" s="8" t="inlineStr">
        <is>
          <t>NS_0036</t>
        </is>
      </c>
      <c r="C36" s="8" t="inlineStr">
        <is>
          <t>NextSeq1000</t>
        </is>
      </c>
      <c r="D36" s="8" t="inlineStr">
        <is>
          <t>35</t>
        </is>
      </c>
      <c r="E36" s="9" t="n">
        <v>44868</v>
      </c>
      <c r="F36" s="9" t="n">
        <v>44869</v>
      </c>
      <c r="G36" s="7">
        <f>IF(OR(E36="",F36=""),"",F36-E36)</f>
        <v/>
      </c>
      <c r="H36" s="7" t="n">
        <v>128</v>
      </c>
      <c r="I36" s="7" t="n">
        <v>124</v>
      </c>
      <c r="J36" s="7">
        <f>IF(H36="","",H36-I36)</f>
        <v/>
      </c>
      <c r="K36" s="10">
        <f>IFERROR(I36/H36,"")</f>
        <v/>
      </c>
      <c r="L36" s="10">
        <f>IFERROR(J36/H36,"")</f>
        <v/>
      </c>
      <c r="M36" s="8" t="inlineStr">
        <is>
          <t>y</t>
        </is>
      </c>
      <c r="N36" s="8" t="inlineStr">
        <is>
          <t>y</t>
        </is>
      </c>
      <c r="O36" s="8" t="n"/>
      <c r="P36" s="8" t="n"/>
    </row>
    <row r="37">
      <c r="A37" s="7" t="n">
        <v>41</v>
      </c>
      <c r="B37" s="8" t="inlineStr">
        <is>
          <t>NS_0037</t>
        </is>
      </c>
      <c r="C37" s="8" t="inlineStr">
        <is>
          <t>NextSeq1000</t>
        </is>
      </c>
      <c r="D37" s="8" t="inlineStr">
        <is>
          <t>36</t>
        </is>
      </c>
      <c r="E37" s="9" t="n">
        <v>44875</v>
      </c>
      <c r="F37" s="9" t="n">
        <v>44876</v>
      </c>
      <c r="G37" s="7">
        <f>IF(OR(E37="",F37=""),"",F37-E37)</f>
        <v/>
      </c>
      <c r="H37" s="7" t="n">
        <v>196</v>
      </c>
      <c r="I37" s="7" t="n">
        <v>185</v>
      </c>
      <c r="J37" s="7">
        <f>IF(H37="","",H37-I37)</f>
        <v/>
      </c>
      <c r="K37" s="10">
        <f>IFERROR(I37/H37,"")</f>
        <v/>
      </c>
      <c r="L37" s="10">
        <f>IFERROR(J37/H37,"")</f>
        <v/>
      </c>
      <c r="M37" s="8" t="inlineStr">
        <is>
          <t>y</t>
        </is>
      </c>
      <c r="N37" s="8" t="inlineStr">
        <is>
          <t>y</t>
        </is>
      </c>
      <c r="O37" s="8" t="n"/>
      <c r="P37" s="8" t="n"/>
    </row>
    <row r="38">
      <c r="A38" s="7" t="n">
        <v>42</v>
      </c>
      <c r="B38" s="8" t="inlineStr">
        <is>
          <t>NS_0038</t>
        </is>
      </c>
      <c r="C38" s="8" t="inlineStr">
        <is>
          <t>NextSeq1000</t>
        </is>
      </c>
      <c r="D38" s="8" t="inlineStr">
        <is>
          <t>37</t>
        </is>
      </c>
      <c r="E38" s="9" t="n">
        <v>44882</v>
      </c>
      <c r="F38" s="9" t="n">
        <v>44883</v>
      </c>
      <c r="G38" s="7">
        <f>IF(OR(E38="",F38=""),"",F38-E38)</f>
        <v/>
      </c>
      <c r="H38" s="7" t="n">
        <v>192</v>
      </c>
      <c r="I38" s="7" t="n">
        <v>185</v>
      </c>
      <c r="J38" s="7">
        <f>IF(H38="","",H38-I38)</f>
        <v/>
      </c>
      <c r="K38" s="10">
        <f>IFERROR(I38/H38,"")</f>
        <v/>
      </c>
      <c r="L38" s="10">
        <f>IFERROR(J38/H38,"")</f>
        <v/>
      </c>
      <c r="M38" s="8" t="inlineStr">
        <is>
          <t>y</t>
        </is>
      </c>
      <c r="N38" s="8" t="inlineStr">
        <is>
          <t>y</t>
        </is>
      </c>
      <c r="O38" s="8" t="n"/>
      <c r="P38" s="8" t="n"/>
    </row>
    <row r="39">
      <c r="A39" s="7" t="n">
        <v>43</v>
      </c>
      <c r="B39" s="8" t="inlineStr">
        <is>
          <t>NS_0039</t>
        </is>
      </c>
      <c r="C39" s="8" t="inlineStr">
        <is>
          <t>NextSeq1000</t>
        </is>
      </c>
      <c r="D39" s="8" t="inlineStr">
        <is>
          <t>38</t>
        </is>
      </c>
      <c r="E39" s="9" t="n">
        <v>44889</v>
      </c>
      <c r="F39" s="9" t="n">
        <v>44890</v>
      </c>
      <c r="G39" s="7">
        <f>IF(OR(E39="",F39=""),"",F39-E39)</f>
        <v/>
      </c>
      <c r="H39" s="7" t="n">
        <v>78</v>
      </c>
      <c r="I39" s="7" t="n">
        <v>75</v>
      </c>
      <c r="J39" s="7">
        <f>IF(H39="","",H39-I39)</f>
        <v/>
      </c>
      <c r="K39" s="10">
        <f>IFERROR(I39/H39,"")</f>
        <v/>
      </c>
      <c r="L39" s="10">
        <f>IFERROR(J39/H39,"")</f>
        <v/>
      </c>
      <c r="M39" s="8" t="inlineStr">
        <is>
          <t>y</t>
        </is>
      </c>
      <c r="N39" s="8" t="inlineStr">
        <is>
          <t>y</t>
        </is>
      </c>
      <c r="O39" s="8" t="n"/>
      <c r="P39" s="8" t="n"/>
    </row>
    <row r="40">
      <c r="A40" s="7" t="n">
        <v>44</v>
      </c>
      <c r="B40" s="8" t="inlineStr">
        <is>
          <t>IS_0019, IS_0020, IS_0021</t>
        </is>
      </c>
      <c r="C40" s="8" t="inlineStr">
        <is>
          <t>iSeq100</t>
        </is>
      </c>
      <c r="D40" s="8" t="inlineStr">
        <is>
          <t>39</t>
        </is>
      </c>
      <c r="E40" s="9" t="n">
        <v>44896</v>
      </c>
      <c r="F40" s="9" t="n">
        <v>44897</v>
      </c>
      <c r="G40" s="7">
        <f>IF(OR(E40="",F40=""),"",F40-E40)</f>
        <v/>
      </c>
      <c r="H40" s="7" t="n">
        <v>62</v>
      </c>
      <c r="I40" s="7" t="n">
        <v>62</v>
      </c>
      <c r="J40" s="7">
        <f>IF(H40="","",H40-I40)</f>
        <v/>
      </c>
      <c r="K40" s="10">
        <f>IFERROR(I40/H40,"")</f>
        <v/>
      </c>
      <c r="L40" s="10">
        <f>IFERROR(J40/H40,"")</f>
        <v/>
      </c>
      <c r="M40" s="8" t="inlineStr">
        <is>
          <t>y</t>
        </is>
      </c>
      <c r="N40" s="8" t="inlineStr">
        <is>
          <t>y</t>
        </is>
      </c>
      <c r="O40" s="8" t="n"/>
      <c r="P40" s="8" t="n"/>
    </row>
    <row r="41">
      <c r="A41" s="7" t="n">
        <v>45</v>
      </c>
      <c r="B41" s="8" t="inlineStr">
        <is>
          <t>IS_0022</t>
        </is>
      </c>
      <c r="C41" s="8" t="inlineStr">
        <is>
          <t>iSeq100</t>
        </is>
      </c>
      <c r="D41" s="8" t="inlineStr">
        <is>
          <t>40</t>
        </is>
      </c>
      <c r="E41" s="9" t="n">
        <v>44902</v>
      </c>
      <c r="F41" s="9" t="n">
        <v>44904</v>
      </c>
      <c r="G41" s="7">
        <f>IF(OR(E41="",F41=""),"",F41-E41)</f>
        <v/>
      </c>
      <c r="H41" s="7" t="n">
        <v>76</v>
      </c>
      <c r="I41" s="7" t="n">
        <v>74</v>
      </c>
      <c r="J41" s="7">
        <f>IF(H41="","",H41-I41)</f>
        <v/>
      </c>
      <c r="K41" s="10">
        <f>IFERROR(I41/H41,"")</f>
        <v/>
      </c>
      <c r="L41" s="10">
        <f>IFERROR(J41/H41,"")</f>
        <v/>
      </c>
      <c r="M41" s="8" t="inlineStr">
        <is>
          <t>y</t>
        </is>
      </c>
      <c r="N41" s="8" t="inlineStr">
        <is>
          <t>y</t>
        </is>
      </c>
      <c r="O41" s="8" t="inlineStr">
        <is>
          <t>Please check if ISeq Run</t>
        </is>
      </c>
      <c r="P41" s="8" t="n"/>
    </row>
    <row r="42">
      <c r="A42" s="7" t="n">
        <v>46</v>
      </c>
      <c r="B42" s="8" t="inlineStr">
        <is>
          <t>IS_0023</t>
        </is>
      </c>
      <c r="C42" s="8" t="inlineStr">
        <is>
          <t>iSeq100</t>
        </is>
      </c>
      <c r="D42" s="8" t="inlineStr">
        <is>
          <t>41</t>
        </is>
      </c>
      <c r="E42" s="9" t="n">
        <v>44909</v>
      </c>
      <c r="F42" s="9" t="n">
        <v>44910</v>
      </c>
      <c r="G42" s="7">
        <f>IF(OR(E42="",F42=""),"",F42-E42)</f>
        <v/>
      </c>
      <c r="H42" s="7" t="n">
        <v>27</v>
      </c>
      <c r="I42" s="7" t="n">
        <v>26</v>
      </c>
      <c r="J42" s="7">
        <f>IF(H42="","",H42-I42)</f>
        <v/>
      </c>
      <c r="K42" s="10">
        <f>IFERROR(I42/H42,"")</f>
        <v/>
      </c>
      <c r="L42" s="10">
        <f>IFERROR(J42/H42,"")</f>
        <v/>
      </c>
      <c r="M42" s="8" t="inlineStr">
        <is>
          <t>y</t>
        </is>
      </c>
      <c r="N42" s="8" t="inlineStr">
        <is>
          <t>y</t>
        </is>
      </c>
      <c r="O42" s="8" t="n"/>
      <c r="P42" s="8" t="n"/>
    </row>
    <row r="43">
      <c r="A43" s="7" t="n">
        <v>47</v>
      </c>
      <c r="B43" s="8" t="inlineStr">
        <is>
          <t>NS_0040</t>
        </is>
      </c>
      <c r="C43" s="8" t="inlineStr">
        <is>
          <t>NextSeq1000</t>
        </is>
      </c>
      <c r="D43" s="8" t="inlineStr">
        <is>
          <t>42</t>
        </is>
      </c>
      <c r="E43" s="9" t="n">
        <v>44917</v>
      </c>
      <c r="F43" s="9" t="n">
        <v>44918</v>
      </c>
      <c r="G43" s="7">
        <f>IF(OR(E43="",F43=""),"",F43-E43)</f>
        <v/>
      </c>
      <c r="H43" s="7" t="n">
        <v>74</v>
      </c>
      <c r="I43" s="7" t="n">
        <v>74</v>
      </c>
      <c r="J43" s="7">
        <f>IF(H43="","",H43-I43)</f>
        <v/>
      </c>
      <c r="K43" s="10">
        <f>IFERROR(I43/H43,"")</f>
        <v/>
      </c>
      <c r="L43" s="10">
        <f>IFERROR(J43/H43,"")</f>
        <v/>
      </c>
      <c r="M43" s="8" t="inlineStr">
        <is>
          <t>y</t>
        </is>
      </c>
      <c r="N43" s="8" t="inlineStr">
        <is>
          <t>y</t>
        </is>
      </c>
      <c r="O43" s="8" t="n"/>
      <c r="P43" s="8" t="n"/>
    </row>
    <row r="44">
      <c r="A44" s="7" t="n">
        <v>48</v>
      </c>
      <c r="B44" s="8" t="inlineStr">
        <is>
          <t>IS_0026</t>
        </is>
      </c>
      <c r="C44" s="8" t="inlineStr">
        <is>
          <t>iSeq100</t>
        </is>
      </c>
      <c r="D44" s="8" t="inlineStr">
        <is>
          <t>43</t>
        </is>
      </c>
      <c r="E44" s="9" t="n">
        <v>44923</v>
      </c>
      <c r="F44" s="9" t="n">
        <v>44924</v>
      </c>
      <c r="G44" s="7">
        <f>IF(OR(E44="",F44=""),"",F44-E44)</f>
        <v/>
      </c>
      <c r="H44" s="7" t="n">
        <v>24</v>
      </c>
      <c r="I44" s="7" t="n">
        <v>24</v>
      </c>
      <c r="J44" s="7">
        <f>IF(H44="","",H44-I44)</f>
        <v/>
      </c>
      <c r="K44" s="10">
        <f>IFERROR(I44/H44,"")</f>
        <v/>
      </c>
      <c r="L44" s="10">
        <f>IFERROR(J44/H44,"")</f>
        <v/>
      </c>
      <c r="M44" s="8" t="inlineStr">
        <is>
          <t>y</t>
        </is>
      </c>
      <c r="N44" s="8" t="inlineStr">
        <is>
          <t>y</t>
        </is>
      </c>
      <c r="O44" s="8" t="n"/>
      <c r="P44" s="8" t="n"/>
    </row>
    <row r="45">
      <c r="A45" s="7" t="n">
        <v>49</v>
      </c>
      <c r="B45" s="8" t="inlineStr">
        <is>
          <t>IS_0027</t>
        </is>
      </c>
      <c r="C45" s="8" t="inlineStr">
        <is>
          <t>NextSeq1000</t>
        </is>
      </c>
      <c r="D45" s="8" t="inlineStr">
        <is>
          <t>44</t>
        </is>
      </c>
      <c r="E45" s="9" t="n">
        <v>44931</v>
      </c>
      <c r="F45" s="9" t="n">
        <v>44932</v>
      </c>
      <c r="G45" s="7">
        <f>IF(OR(E45="",F45=""),"",F45-E45)</f>
        <v/>
      </c>
      <c r="H45" s="7" t="n">
        <v>14</v>
      </c>
      <c r="I45" s="7" t="n">
        <v>14</v>
      </c>
      <c r="J45" s="7">
        <f>IF(H45="","",H45-I45)</f>
        <v/>
      </c>
      <c r="K45" s="10">
        <f>IFERROR(I45/H45,"")</f>
        <v/>
      </c>
      <c r="L45" s="10">
        <f>IFERROR(J45/H45,"")</f>
        <v/>
      </c>
      <c r="M45" s="8" t="inlineStr">
        <is>
          <t>y</t>
        </is>
      </c>
      <c r="N45" s="8" t="inlineStr">
        <is>
          <t>y</t>
        </is>
      </c>
      <c r="O45" s="8" t="n"/>
      <c r="P45" s="8" t="n"/>
    </row>
    <row r="46">
      <c r="A46" s="7" t="n">
        <v>50</v>
      </c>
      <c r="B46" s="8" t="inlineStr">
        <is>
          <t>IS_0028</t>
        </is>
      </c>
      <c r="C46" s="8" t="inlineStr">
        <is>
          <t>iSeq100</t>
        </is>
      </c>
      <c r="D46" s="8" t="inlineStr">
        <is>
          <t>45</t>
        </is>
      </c>
      <c r="E46" s="9" t="n">
        <v>44938</v>
      </c>
      <c r="F46" s="9" t="n">
        <v>44939</v>
      </c>
      <c r="G46" s="7">
        <f>IF(OR(E46="",F46=""),"",F46-E46)</f>
        <v/>
      </c>
      <c r="H46" s="7" t="n">
        <v>27</v>
      </c>
      <c r="I46" s="7" t="n">
        <v>23</v>
      </c>
      <c r="J46" s="7">
        <f>IF(H46="","",H46-I46)</f>
        <v/>
      </c>
      <c r="K46" s="10">
        <f>IFERROR(I46/H46,"")</f>
        <v/>
      </c>
      <c r="L46" s="10">
        <f>IFERROR(J46/H46,"")</f>
        <v/>
      </c>
      <c r="M46" s="8" t="inlineStr">
        <is>
          <t>n</t>
        </is>
      </c>
      <c r="N46" s="8" t="inlineStr">
        <is>
          <t>y</t>
        </is>
      </c>
      <c r="O46" s="8" t="n"/>
      <c r="P46" s="8" t="n"/>
    </row>
    <row r="47">
      <c r="A47" s="7" t="n">
        <v>52</v>
      </c>
      <c r="B47" s="8" t="inlineStr">
        <is>
          <t>IS_0029</t>
        </is>
      </c>
      <c r="C47" s="8" t="inlineStr">
        <is>
          <t>iSeq100</t>
        </is>
      </c>
      <c r="D47" s="8" t="inlineStr">
        <is>
          <t>46, 47</t>
        </is>
      </c>
      <c r="E47" s="9" t="n">
        <v>44945</v>
      </c>
      <c r="F47" s="9" t="n">
        <v>44953</v>
      </c>
      <c r="G47" s="7">
        <f>IF(OR(E47="",F47=""),"",F47-E47)</f>
        <v/>
      </c>
      <c r="H47" s="7" t="n">
        <v>21</v>
      </c>
      <c r="I47" s="7" t="n">
        <v>20</v>
      </c>
      <c r="J47" s="7">
        <f>IF(H47="","",H47-I47)</f>
        <v/>
      </c>
      <c r="K47" s="10">
        <f>IFERROR(I47/H47,"")</f>
        <v/>
      </c>
      <c r="L47" s="10">
        <f>IFERROR(J47/H47,"")</f>
        <v/>
      </c>
      <c r="M47" s="8" t="inlineStr">
        <is>
          <t>n</t>
        </is>
      </c>
      <c r="N47" s="8" t="inlineStr">
        <is>
          <t>y</t>
        </is>
      </c>
      <c r="O47" s="8" t="n"/>
      <c r="P47" s="8" t="n"/>
    </row>
    <row r="48">
      <c r="A48" s="7" t="n">
        <v>53</v>
      </c>
      <c r="B48" s="8" t="inlineStr">
        <is>
          <t>IS_0033</t>
        </is>
      </c>
      <c r="C48" s="8" t="inlineStr">
        <is>
          <t>iSeq100</t>
        </is>
      </c>
      <c r="D48" s="8" t="inlineStr">
        <is>
          <t>48, 49</t>
        </is>
      </c>
      <c r="E48" s="9" t="n">
        <v>44966</v>
      </c>
      <c r="F48" s="9" t="n">
        <v>44967</v>
      </c>
      <c r="G48" s="7">
        <f>IF(OR(E48="",F48=""),"",F48-E48)</f>
        <v/>
      </c>
      <c r="H48" s="7" t="n">
        <v>14</v>
      </c>
      <c r="I48" s="7" t="n">
        <v>9</v>
      </c>
      <c r="J48" s="7">
        <f>IF(H48="","",H48-I48)</f>
        <v/>
      </c>
      <c r="K48" s="10">
        <f>IFERROR(I48/H48,"")</f>
        <v/>
      </c>
      <c r="L48" s="10">
        <f>IFERROR(J48/H48,"")</f>
        <v/>
      </c>
      <c r="M48" s="8" t="inlineStr">
        <is>
          <t>n</t>
        </is>
      </c>
      <c r="N48" s="8" t="inlineStr">
        <is>
          <t>y</t>
        </is>
      </c>
      <c r="O48" s="8" t="n"/>
      <c r="P48" s="8" t="n"/>
    </row>
    <row r="49">
      <c r="A49" s="7" t="n">
        <v>54</v>
      </c>
      <c r="B49" s="8" t="inlineStr">
        <is>
          <t>IS_0035</t>
        </is>
      </c>
      <c r="C49" s="8" t="inlineStr">
        <is>
          <t>iSeq100</t>
        </is>
      </c>
      <c r="D49" s="8" t="inlineStr">
        <is>
          <t>50, 51</t>
        </is>
      </c>
      <c r="E49" s="9" t="n">
        <v>44980</v>
      </c>
      <c r="F49" s="9" t="n">
        <v>44981</v>
      </c>
      <c r="G49" s="7">
        <f>IF(OR(E49="",F49=""),"",F49-E49)</f>
        <v/>
      </c>
      <c r="H49" s="7" t="n">
        <v>13</v>
      </c>
      <c r="I49" s="7" t="n">
        <v>13</v>
      </c>
      <c r="J49" s="7">
        <f>IF(H49="","",H49-I49)</f>
        <v/>
      </c>
      <c r="K49" s="10">
        <f>IFERROR(I49/H49,"")</f>
        <v/>
      </c>
      <c r="L49" s="10">
        <f>IFERROR(J49/H49,"")</f>
        <v/>
      </c>
      <c r="M49" s="8" t="inlineStr">
        <is>
          <t>n</t>
        </is>
      </c>
      <c r="N49" s="8" t="inlineStr">
        <is>
          <t>y</t>
        </is>
      </c>
      <c r="O49" s="8" t="n"/>
      <c r="P49" s="8" t="n"/>
    </row>
    <row r="50">
      <c r="A50" s="7" t="n">
        <v>55</v>
      </c>
      <c r="B50" s="8" t="inlineStr">
        <is>
          <t>IS_0037</t>
        </is>
      </c>
      <c r="C50" s="8" t="inlineStr">
        <is>
          <t>iSeq100</t>
        </is>
      </c>
      <c r="D50" s="8" t="inlineStr">
        <is>
          <t>53</t>
        </is>
      </c>
      <c r="E50" s="9" t="n">
        <v>44987</v>
      </c>
      <c r="F50" s="9" t="n">
        <v>44988</v>
      </c>
      <c r="G50" s="7">
        <f>IF(OR(E50="",F50=""),"",F50-E50)</f>
        <v/>
      </c>
      <c r="H50" s="7" t="n">
        <v>7</v>
      </c>
      <c r="I50" s="7" t="n">
        <v>7</v>
      </c>
      <c r="J50" s="7">
        <f>IF(H50="","",H50-I50)</f>
        <v/>
      </c>
      <c r="K50" s="10">
        <f>IFERROR(I50/H50,"")</f>
        <v/>
      </c>
      <c r="L50" s="10">
        <f>IFERROR(J50/H50,"")</f>
        <v/>
      </c>
      <c r="M50" s="8" t="inlineStr">
        <is>
          <t>n</t>
        </is>
      </c>
      <c r="N50" s="8" t="inlineStr">
        <is>
          <t>y</t>
        </is>
      </c>
      <c r="O50" s="8" t="n"/>
      <c r="P50" s="8" t="n"/>
    </row>
    <row r="51">
      <c r="A51" s="7" t="n">
        <v>56</v>
      </c>
      <c r="B51" s="8" t="inlineStr">
        <is>
          <t>IS_0039</t>
        </is>
      </c>
      <c r="C51" s="8" t="inlineStr">
        <is>
          <t>iSeq100</t>
        </is>
      </c>
      <c r="D51" s="8" t="inlineStr">
        <is>
          <t>53, 54, and 55</t>
        </is>
      </c>
      <c r="E51" s="9" t="n">
        <v>45008</v>
      </c>
      <c r="F51" s="9" t="n">
        <v>45009</v>
      </c>
      <c r="G51" s="7">
        <f>IF(OR(E51="",F51=""),"",F51-E51)</f>
        <v/>
      </c>
      <c r="H51" s="7" t="n">
        <v>13</v>
      </c>
      <c r="I51" s="7" t="n">
        <v>12</v>
      </c>
      <c r="J51" s="7">
        <f>IF(H51="","",H51-I51)</f>
        <v/>
      </c>
      <c r="K51" s="10">
        <f>IFERROR(I51/H51,"")</f>
        <v/>
      </c>
      <c r="L51" s="10">
        <f>IFERROR(J51/H51,"")</f>
        <v/>
      </c>
      <c r="M51" s="8" t="inlineStr">
        <is>
          <t>n</t>
        </is>
      </c>
      <c r="N51" s="8" t="inlineStr">
        <is>
          <t>y</t>
        </is>
      </c>
      <c r="O51" s="8" t="n"/>
      <c r="P51" s="8" t="n"/>
    </row>
    <row r="52">
      <c r="A52" s="7" t="n">
        <v>57</v>
      </c>
      <c r="B52" s="8" t="inlineStr">
        <is>
          <t>NS_0044</t>
        </is>
      </c>
      <c r="C52" s="8" t="inlineStr">
        <is>
          <t>NextSeq1000</t>
        </is>
      </c>
      <c r="D52" s="8" t="inlineStr">
        <is>
          <t>56, 57, and 58</t>
        </is>
      </c>
      <c r="E52" s="9" t="n">
        <v>45030</v>
      </c>
      <c r="F52" s="9" t="n">
        <v>45031</v>
      </c>
      <c r="G52" s="7">
        <f>IF(OR(E52="",F52=""),"",F52-E52)</f>
        <v/>
      </c>
      <c r="H52" s="7" t="n">
        <v>45</v>
      </c>
      <c r="I52" s="7" t="n">
        <v>44</v>
      </c>
      <c r="J52" s="7">
        <f>IF(H52="","",H52-I52)</f>
        <v/>
      </c>
      <c r="K52" s="10">
        <f>IFERROR(I52/H52,"")</f>
        <v/>
      </c>
      <c r="L52" s="10">
        <f>IFERROR(J52/H52,"")</f>
        <v/>
      </c>
      <c r="M52" s="8" t="inlineStr">
        <is>
          <t>n</t>
        </is>
      </c>
      <c r="N52" s="8" t="inlineStr">
        <is>
          <t>y</t>
        </is>
      </c>
      <c r="O52" s="8" t="n"/>
      <c r="P52" s="8" t="n"/>
    </row>
    <row r="53">
      <c r="A53" s="7" t="n">
        <v>58</v>
      </c>
      <c r="B53" s="8" t="inlineStr">
        <is>
          <t>NS_0045</t>
        </is>
      </c>
      <c r="C53" s="8" t="inlineStr">
        <is>
          <t>NextSeq1000</t>
        </is>
      </c>
      <c r="D53" s="8" t="inlineStr">
        <is>
          <t>59, 60</t>
        </is>
      </c>
      <c r="E53" s="9" t="n">
        <v>45074</v>
      </c>
      <c r="F53" s="9" t="n">
        <v>45075</v>
      </c>
      <c r="G53" s="7">
        <f>IF(OR(E53="",F53=""),"",F53-E53)</f>
        <v/>
      </c>
      <c r="H53" s="7" t="n">
        <v>79</v>
      </c>
      <c r="I53" s="7" t="n">
        <v>77</v>
      </c>
      <c r="J53" s="7">
        <f>IF(H53="","",H53-I53)</f>
        <v/>
      </c>
      <c r="K53" s="10">
        <f>IFERROR(I53/H53,"")</f>
        <v/>
      </c>
      <c r="L53" s="10">
        <f>IFERROR(J53/H53,"")</f>
        <v/>
      </c>
      <c r="M53" s="8" t="inlineStr">
        <is>
          <t>n</t>
        </is>
      </c>
      <c r="N53" s="8" t="inlineStr">
        <is>
          <t>n</t>
        </is>
      </c>
      <c r="O53" s="8" t="n"/>
      <c r="P53" s="8" t="n"/>
    </row>
    <row r="54">
      <c r="A54" s="7" t="n">
        <v>59</v>
      </c>
      <c r="B54" s="8" t="inlineStr">
        <is>
          <t>NS_0047</t>
        </is>
      </c>
      <c r="C54" s="8" t="inlineStr">
        <is>
          <t>NextSeq1000</t>
        </is>
      </c>
      <c r="D54" s="8" t="inlineStr">
        <is>
          <t>61</t>
        </is>
      </c>
      <c r="E54" s="9" t="n">
        <v>45051</v>
      </c>
      <c r="F54" s="9" t="n">
        <v>45052</v>
      </c>
      <c r="G54" s="7">
        <f>IF(OR(E54="",F54=""),"",F54-E54)</f>
        <v/>
      </c>
      <c r="H54" s="7" t="n">
        <v>53</v>
      </c>
      <c r="I54" s="7" t="n">
        <v>53</v>
      </c>
      <c r="J54" s="7">
        <f>IF(H54="","",H54-I54)</f>
        <v/>
      </c>
      <c r="K54" s="10">
        <f>IFERROR(I54/H54,"")</f>
        <v/>
      </c>
      <c r="L54" s="10">
        <f>IFERROR(J54/H54,"")</f>
        <v/>
      </c>
      <c r="M54" s="8" t="inlineStr">
        <is>
          <t>n</t>
        </is>
      </c>
      <c r="N54" s="8" t="inlineStr">
        <is>
          <t>n</t>
        </is>
      </c>
      <c r="O54" s="8" t="n"/>
      <c r="P54" s="8" t="n"/>
    </row>
    <row r="55">
      <c r="A55" s="7" t="n">
        <v>60</v>
      </c>
      <c r="B55" s="8" t="inlineStr">
        <is>
          <t>NS_0049</t>
        </is>
      </c>
      <c r="C55" s="8" t="inlineStr">
        <is>
          <t>NextSeq1000</t>
        </is>
      </c>
      <c r="D55" s="8" t="inlineStr">
        <is>
          <t>62</t>
        </is>
      </c>
      <c r="E55" s="9" t="n">
        <v>45059</v>
      </c>
      <c r="F55" s="9" t="n">
        <v>45060</v>
      </c>
      <c r="G55" s="7">
        <f>IF(OR(E55="",F55=""),"",F55-E55)</f>
        <v/>
      </c>
      <c r="H55" s="7" t="n">
        <v>102</v>
      </c>
      <c r="I55" s="7" t="n">
        <v>100</v>
      </c>
      <c r="J55" s="7">
        <f>IF(H55="","",H55-I55)</f>
        <v/>
      </c>
      <c r="K55" s="10">
        <f>IFERROR(I55/H55,"")</f>
        <v/>
      </c>
      <c r="L55" s="10">
        <f>IFERROR(J55/H55,"")</f>
        <v/>
      </c>
      <c r="M55" s="8" t="inlineStr">
        <is>
          <t>n</t>
        </is>
      </c>
      <c r="N55" s="8" t="inlineStr">
        <is>
          <t>n</t>
        </is>
      </c>
      <c r="O55" s="8" t="n"/>
      <c r="P55" s="8" t="n"/>
    </row>
    <row r="56">
      <c r="A56" s="7" t="n">
        <v>61</v>
      </c>
      <c r="B56" s="8" t="inlineStr">
        <is>
          <t>NS_0050</t>
        </is>
      </c>
      <c r="C56" s="8" t="inlineStr">
        <is>
          <t>NextSeq1000</t>
        </is>
      </c>
      <c r="D56" s="8" t="inlineStr">
        <is>
          <t>63</t>
        </is>
      </c>
      <c r="E56" s="9" t="n">
        <v>45065</v>
      </c>
      <c r="F56" s="9" t="n">
        <v>45066</v>
      </c>
      <c r="G56" s="7">
        <f>IF(OR(E56="",F56=""),"",F56-E56)</f>
        <v/>
      </c>
      <c r="H56" s="7" t="n">
        <v>126</v>
      </c>
      <c r="I56" s="7" t="n">
        <v>122</v>
      </c>
      <c r="J56" s="7">
        <f>IF(H56="","",H56-I56)</f>
        <v/>
      </c>
      <c r="K56" s="10">
        <f>IFERROR(I56/H56,"")</f>
        <v/>
      </c>
      <c r="L56" s="10">
        <f>IFERROR(J56/H56,"")</f>
        <v/>
      </c>
      <c r="M56" s="8" t="inlineStr">
        <is>
          <t>n</t>
        </is>
      </c>
      <c r="N56" s="8" t="inlineStr">
        <is>
          <t>n</t>
        </is>
      </c>
      <c r="O56" s="8" t="n"/>
      <c r="P56" s="8" t="n"/>
    </row>
    <row r="57">
      <c r="A57" s="7" t="n">
        <v>62</v>
      </c>
      <c r="B57" s="8" t="inlineStr">
        <is>
          <t>NS_0052</t>
        </is>
      </c>
      <c r="C57" s="8" t="inlineStr">
        <is>
          <t>NextSeq1000</t>
        </is>
      </c>
      <c r="D57" s="8" t="inlineStr">
        <is>
          <t>64</t>
        </is>
      </c>
      <c r="E57" s="9" t="n">
        <v>45072</v>
      </c>
      <c r="F57" s="9" t="n">
        <v>45073</v>
      </c>
      <c r="G57" s="7">
        <f>IF(OR(E57="",F57=""),"",F57-E57)</f>
        <v/>
      </c>
      <c r="H57" s="7" t="n">
        <v>139</v>
      </c>
      <c r="I57" s="7" t="n">
        <v>137</v>
      </c>
      <c r="J57" s="7">
        <f>IF(H57="","",H57-I57)</f>
        <v/>
      </c>
      <c r="K57" s="10">
        <f>IFERROR(I57/H57,"")</f>
        <v/>
      </c>
      <c r="L57" s="10">
        <f>IFERROR(J57/H57,"")</f>
        <v/>
      </c>
      <c r="M57" s="8" t="inlineStr">
        <is>
          <t>n</t>
        </is>
      </c>
      <c r="N57" s="8" t="inlineStr">
        <is>
          <t>n</t>
        </is>
      </c>
      <c r="O57" s="8" t="n"/>
      <c r="P57" s="8" t="n"/>
    </row>
    <row r="58">
      <c r="A58" s="7" t="n">
        <v>63</v>
      </c>
      <c r="B58" s="8" t="inlineStr">
        <is>
          <t>NS_0053</t>
        </is>
      </c>
      <c r="C58" s="8" t="inlineStr">
        <is>
          <t>NextSeq1000</t>
        </is>
      </c>
      <c r="D58" s="8" t="inlineStr">
        <is>
          <t>65</t>
        </is>
      </c>
      <c r="E58" s="9" t="n">
        <v>45078</v>
      </c>
      <c r="F58" s="9" t="n">
        <v>45079</v>
      </c>
      <c r="G58" s="7">
        <f>IF(OR(E58="",F58=""),"",F58-E58)</f>
        <v/>
      </c>
      <c r="H58" s="7" t="n">
        <v>152</v>
      </c>
      <c r="I58" s="7" t="n">
        <v>148</v>
      </c>
      <c r="J58" s="7">
        <f>IF(H58="","",H58-I58)</f>
        <v/>
      </c>
      <c r="K58" s="10">
        <f>IFERROR(I58/H58,"")</f>
        <v/>
      </c>
      <c r="L58" s="10">
        <f>IFERROR(J58/H58,"")</f>
        <v/>
      </c>
      <c r="M58" s="8" t="inlineStr">
        <is>
          <t>n</t>
        </is>
      </c>
      <c r="N58" s="8" t="inlineStr">
        <is>
          <t>n</t>
        </is>
      </c>
      <c r="O58" s="8" t="n"/>
      <c r="P58" s="8" t="n"/>
    </row>
    <row r="59">
      <c r="A59" s="7" t="n">
        <v>64</v>
      </c>
      <c r="B59" s="8" t="inlineStr">
        <is>
          <t>NS_0054</t>
        </is>
      </c>
      <c r="C59" s="8" t="inlineStr">
        <is>
          <t>NextSeq1000</t>
        </is>
      </c>
      <c r="D59" s="8" t="inlineStr">
        <is>
          <t>66</t>
        </is>
      </c>
      <c r="E59" s="9" t="n">
        <v>45085</v>
      </c>
      <c r="F59" s="9" t="n">
        <v>45086</v>
      </c>
      <c r="G59" s="7">
        <f>IF(OR(E59="",F59=""),"",F59-E59)</f>
        <v/>
      </c>
      <c r="H59" s="7" t="n">
        <v>74</v>
      </c>
      <c r="I59" s="7" t="n">
        <v>73</v>
      </c>
      <c r="J59" s="7">
        <f>IF(H59="","",H59-I59)</f>
        <v/>
      </c>
      <c r="K59" s="10">
        <f>IFERROR(I59/H59,"")</f>
        <v/>
      </c>
      <c r="L59" s="10">
        <f>IFERROR(J59/H59,"")</f>
        <v/>
      </c>
      <c r="M59" s="8" t="inlineStr">
        <is>
          <t>n</t>
        </is>
      </c>
      <c r="N59" s="8" t="inlineStr">
        <is>
          <t>n</t>
        </is>
      </c>
      <c r="O59" s="8" t="n"/>
      <c r="P59" s="8" t="n"/>
    </row>
    <row r="60">
      <c r="A60" s="7" t="n">
        <v>65</v>
      </c>
      <c r="B60" s="8" t="inlineStr">
        <is>
          <t>IS_0046</t>
        </is>
      </c>
      <c r="C60" s="8" t="inlineStr">
        <is>
          <t>iSeq100</t>
        </is>
      </c>
      <c r="D60" s="8" t="inlineStr">
        <is>
          <t>67</t>
        </is>
      </c>
      <c r="E60" s="9" t="n">
        <v>45091</v>
      </c>
      <c r="F60" s="9" t="n">
        <v>45092</v>
      </c>
      <c r="G60" s="7">
        <f>IF(OR(E60="",F60=""),"",F60-E60)</f>
        <v/>
      </c>
      <c r="H60" s="7" t="n">
        <v>30</v>
      </c>
      <c r="I60" s="7" t="n">
        <v>30</v>
      </c>
      <c r="J60" s="7">
        <f>IF(H60="","",H60-I60)</f>
        <v/>
      </c>
      <c r="K60" s="10">
        <f>IFERROR(I60/H60,"")</f>
        <v/>
      </c>
      <c r="L60" s="10">
        <f>IFERROR(J60/H60,"")</f>
        <v/>
      </c>
      <c r="M60" s="8" t="inlineStr">
        <is>
          <t>n</t>
        </is>
      </c>
      <c r="N60" s="8" t="inlineStr">
        <is>
          <t>n</t>
        </is>
      </c>
      <c r="O60" s="8" t="n"/>
      <c r="P60" s="8" t="n"/>
    </row>
    <row r="61">
      <c r="A61" s="7" t="n">
        <v>66</v>
      </c>
      <c r="B61" s="8" t="inlineStr">
        <is>
          <t>IS_0047</t>
        </is>
      </c>
      <c r="C61" s="8" t="inlineStr">
        <is>
          <t>iSeq100</t>
        </is>
      </c>
      <c r="D61" s="8" t="inlineStr">
        <is>
          <t>68</t>
        </is>
      </c>
      <c r="E61" s="9" t="n">
        <v>45099</v>
      </c>
      <c r="F61" s="9" t="n">
        <v>45100</v>
      </c>
      <c r="G61" s="7">
        <f>IF(OR(E61="",F61=""),"",F61-E61)</f>
        <v/>
      </c>
      <c r="H61" s="7" t="n">
        <v>43</v>
      </c>
      <c r="I61" s="7" t="n">
        <v>43</v>
      </c>
      <c r="J61" s="7">
        <f>IF(H61="","",H61-I61)</f>
        <v/>
      </c>
      <c r="K61" s="10">
        <f>IFERROR(I61/H61,"")</f>
        <v/>
      </c>
      <c r="L61" s="10">
        <f>IFERROR(J61/H61,"")</f>
        <v/>
      </c>
      <c r="M61" s="8" t="inlineStr">
        <is>
          <t>n</t>
        </is>
      </c>
      <c r="N61" s="8" t="inlineStr">
        <is>
          <t>n</t>
        </is>
      </c>
      <c r="O61" s="8" t="n"/>
      <c r="P61" s="8" t="n"/>
    </row>
    <row r="62">
      <c r="A62" s="7" t="n">
        <v>67</v>
      </c>
      <c r="B62" s="8" t="inlineStr">
        <is>
          <t>IS_0048</t>
        </is>
      </c>
      <c r="C62" s="8" t="inlineStr">
        <is>
          <t>iSeq100</t>
        </is>
      </c>
      <c r="D62" s="8" t="inlineStr">
        <is>
          <t>69, 70</t>
        </is>
      </c>
      <c r="E62" s="9" t="n">
        <v>45113</v>
      </c>
      <c r="F62" s="9" t="n">
        <v>45114</v>
      </c>
      <c r="G62" s="7">
        <f>IF(OR(E62="",F62=""),"",F62-E62)</f>
        <v/>
      </c>
      <c r="H62" s="7" t="n">
        <v>93</v>
      </c>
      <c r="I62" s="7" t="n">
        <v>83</v>
      </c>
      <c r="J62" s="7">
        <f>IF(H62="","",H62-I62)</f>
        <v/>
      </c>
      <c r="K62" s="10">
        <f>IFERROR(I62/H62,"")</f>
        <v/>
      </c>
      <c r="L62" s="10">
        <f>IFERROR(J62/H62,"")</f>
        <v/>
      </c>
      <c r="M62" s="8" t="inlineStr">
        <is>
          <t>n</t>
        </is>
      </c>
      <c r="N62" s="8" t="inlineStr">
        <is>
          <t>n</t>
        </is>
      </c>
      <c r="O62" s="8" t="n"/>
      <c r="P62" s="8" t="n"/>
    </row>
    <row r="63">
      <c r="A63" s="7" t="n">
        <v>68</v>
      </c>
      <c r="B63" s="8" t="inlineStr">
        <is>
          <t>IS_0049</t>
        </is>
      </c>
      <c r="C63" s="8" t="inlineStr">
        <is>
          <t>iSeq100</t>
        </is>
      </c>
      <c r="D63" s="8" t="inlineStr">
        <is>
          <t>71, 72</t>
        </is>
      </c>
      <c r="E63" s="9" t="n">
        <v>45113</v>
      </c>
      <c r="F63" s="9" t="n">
        <v>45114</v>
      </c>
      <c r="G63" s="7">
        <f>IF(OR(E63="",F63=""),"",F63-E63)</f>
        <v/>
      </c>
      <c r="H63" s="7" t="n">
        <v>38</v>
      </c>
      <c r="I63" s="7" t="n">
        <v>32</v>
      </c>
      <c r="J63" s="7">
        <f>IF(H63="","",H63-I63)</f>
        <v/>
      </c>
      <c r="K63" s="10">
        <f>IFERROR(I63/H63,"")</f>
        <v/>
      </c>
      <c r="L63" s="10">
        <f>IFERROR(J63/H63,"")</f>
        <v/>
      </c>
      <c r="M63" s="8" t="inlineStr">
        <is>
          <t>n</t>
        </is>
      </c>
      <c r="N63" s="8" t="inlineStr">
        <is>
          <t>n</t>
        </is>
      </c>
      <c r="O63" s="8" t="n"/>
      <c r="P63" s="8" t="n"/>
    </row>
    <row r="64">
      <c r="A64" s="7" t="n">
        <v>69</v>
      </c>
      <c r="B64" s="8" t="inlineStr">
        <is>
          <t>IS_0050</t>
        </is>
      </c>
      <c r="C64" s="8" t="inlineStr">
        <is>
          <t>iSeq100</t>
        </is>
      </c>
      <c r="D64" s="8" t="n"/>
      <c r="E64" s="9" t="n">
        <v>45141</v>
      </c>
      <c r="F64" s="9" t="n">
        <v>45142</v>
      </c>
      <c r="G64" s="7">
        <f>IF(OR(E64="",F64=""),"",F64-E64)</f>
        <v/>
      </c>
      <c r="H64" s="7" t="n">
        <v>31</v>
      </c>
      <c r="I64" s="7" t="n">
        <v>31</v>
      </c>
      <c r="J64" s="7">
        <f>IF(H64="","",H64-I64)</f>
        <v/>
      </c>
      <c r="K64" s="10">
        <f>IFERROR(I64/H64,"")</f>
        <v/>
      </c>
      <c r="L64" s="10">
        <f>IFERROR(J64/H64,"")</f>
        <v/>
      </c>
      <c r="M64" s="8" t="inlineStr">
        <is>
          <t>n</t>
        </is>
      </c>
      <c r="N64" s="8" t="inlineStr">
        <is>
          <t>n</t>
        </is>
      </c>
      <c r="O64" s="8" t="n"/>
      <c r="P64" s="8" t="n"/>
    </row>
    <row r="65">
      <c r="A65" s="7" t="n">
        <v>70</v>
      </c>
      <c r="B65" s="8" t="inlineStr">
        <is>
          <t>NS_0055</t>
        </is>
      </c>
      <c r="C65" s="8" t="inlineStr">
        <is>
          <t>iSeq100</t>
        </is>
      </c>
      <c r="D65" s="8" t="n"/>
      <c r="E65" s="9" t="n">
        <v>45161</v>
      </c>
      <c r="F65" s="9" t="n">
        <v>45162</v>
      </c>
      <c r="G65" s="7">
        <f>IF(OR(E65="",F65=""),"",F65-E65)</f>
        <v/>
      </c>
      <c r="H65" s="7" t="n">
        <v>14</v>
      </c>
      <c r="I65" s="7" t="n">
        <v>14</v>
      </c>
      <c r="J65" s="7">
        <f>IF(H65="","",H65-I65)</f>
        <v/>
      </c>
      <c r="K65" s="10">
        <f>IFERROR(I65/H65,"")</f>
        <v/>
      </c>
      <c r="L65" s="10">
        <f>IFERROR(J65/H65,"")</f>
        <v/>
      </c>
      <c r="M65" s="8" t="inlineStr">
        <is>
          <t>n</t>
        </is>
      </c>
      <c r="N65" s="8" t="inlineStr">
        <is>
          <t>n</t>
        </is>
      </c>
      <c r="O65" s="8" t="n"/>
      <c r="P65" s="8" t="n"/>
    </row>
    <row r="66">
      <c r="A66" s="7" t="n">
        <v>71</v>
      </c>
      <c r="B66" s="8" t="inlineStr">
        <is>
          <t>IS_0053</t>
        </is>
      </c>
      <c r="C66" s="8" t="inlineStr">
        <is>
          <t>iSeq100</t>
        </is>
      </c>
      <c r="D66" s="8" t="n"/>
      <c r="E66" s="9" t="n">
        <v>45182</v>
      </c>
      <c r="F66" s="9" t="n">
        <v>45184</v>
      </c>
      <c r="G66" s="7">
        <f>IF(OR(E66="",F66=""),"",F66-E66)</f>
        <v/>
      </c>
      <c r="H66" s="7" t="n">
        <v>5</v>
      </c>
      <c r="I66" s="7" t="n">
        <v>5</v>
      </c>
      <c r="J66" s="7">
        <f>IF(H66="","",H66-I66)</f>
        <v/>
      </c>
      <c r="K66" s="10">
        <f>IFERROR(I66/H66,"")</f>
        <v/>
      </c>
      <c r="L66" s="10">
        <f>IFERROR(J66/H66,"")</f>
        <v/>
      </c>
      <c r="M66" s="8" t="inlineStr">
        <is>
          <t>n</t>
        </is>
      </c>
      <c r="N66" s="8" t="inlineStr">
        <is>
          <t>n</t>
        </is>
      </c>
      <c r="O66" s="8" t="n"/>
      <c r="P66" s="8" t="n"/>
    </row>
    <row r="67">
      <c r="A67" s="7" t="n">
        <v>72</v>
      </c>
      <c r="B67" s="8" t="inlineStr">
        <is>
          <t>NS_0057</t>
        </is>
      </c>
      <c r="C67" s="8" t="inlineStr">
        <is>
          <t>NextSeq1000</t>
        </is>
      </c>
      <c r="D67" s="8" t="n"/>
      <c r="E67" s="9" t="n">
        <v>45218</v>
      </c>
      <c r="F67" s="9" t="n">
        <v>45219</v>
      </c>
      <c r="G67" s="7">
        <f>IF(OR(E67="",F67=""),"",F67-E67)</f>
        <v/>
      </c>
      <c r="H67" s="7" t="n">
        <v>33</v>
      </c>
      <c r="I67" s="7" t="n">
        <v>32</v>
      </c>
      <c r="J67" s="7">
        <f>IF(H67="","",H67-I67)</f>
        <v/>
      </c>
      <c r="K67" s="10">
        <f>IFERROR(I67/H67,"")</f>
        <v/>
      </c>
      <c r="L67" s="10">
        <f>IFERROR(J67/H67,"")</f>
        <v/>
      </c>
      <c r="M67" s="8" t="inlineStr">
        <is>
          <t>n</t>
        </is>
      </c>
      <c r="N67" s="8" t="inlineStr">
        <is>
          <t>n</t>
        </is>
      </c>
      <c r="O67" s="8" t="n"/>
      <c r="P67" s="8" t="n"/>
    </row>
    <row r="68">
      <c r="A68" s="7" t="n">
        <v>73</v>
      </c>
      <c r="B68" s="8" t="inlineStr">
        <is>
          <t>NS_0058</t>
        </is>
      </c>
      <c r="C68" s="8" t="inlineStr">
        <is>
          <t>NextSeq1000</t>
        </is>
      </c>
      <c r="D68" s="8" t="n"/>
      <c r="E68" s="9" t="n">
        <v>45245</v>
      </c>
      <c r="F68" s="9" t="n">
        <v>45246</v>
      </c>
      <c r="G68" s="7">
        <f>IF(OR(E68="",F68=""),"",F68-E68)</f>
        <v/>
      </c>
      <c r="H68" s="7" t="n">
        <v>26</v>
      </c>
      <c r="I68" s="7" t="n">
        <v>26</v>
      </c>
      <c r="J68" s="7">
        <f>IF(H68="","",H68-I68)</f>
        <v/>
      </c>
      <c r="K68" s="10">
        <f>IFERROR(I68/H68,"")</f>
        <v/>
      </c>
      <c r="L68" s="10">
        <f>IFERROR(J68/H68,"")</f>
        <v/>
      </c>
      <c r="M68" s="8" t="inlineStr">
        <is>
          <t>n</t>
        </is>
      </c>
      <c r="N68" s="8" t="inlineStr">
        <is>
          <t>n</t>
        </is>
      </c>
      <c r="O68" s="8" t="n"/>
      <c r="P68" s="8" t="n"/>
    </row>
    <row r="69">
      <c r="A69" s="7" t="n">
        <v>74</v>
      </c>
      <c r="B69" s="8" t="inlineStr">
        <is>
          <t>NS_0059</t>
        </is>
      </c>
      <c r="C69" s="8" t="inlineStr">
        <is>
          <t>NextSeq1000</t>
        </is>
      </c>
      <c r="D69" s="8" t="n"/>
      <c r="E69" s="9" t="n">
        <v>45274</v>
      </c>
      <c r="F69" s="9" t="n">
        <v>45275</v>
      </c>
      <c r="G69" s="7">
        <f>IF(OR(E69="",F69=""),"",F69-E69)</f>
        <v/>
      </c>
      <c r="H69" s="7" t="n">
        <v>83</v>
      </c>
      <c r="I69" s="7" t="n">
        <v>74</v>
      </c>
      <c r="J69" s="7">
        <f>IF(H69="","",H69-I69)</f>
        <v/>
      </c>
      <c r="K69" s="10">
        <f>IFERROR(I69/H69,"")</f>
        <v/>
      </c>
      <c r="L69" s="10">
        <f>IFERROR(J69/H69,"")</f>
        <v/>
      </c>
      <c r="M69" s="8" t="inlineStr">
        <is>
          <t>n</t>
        </is>
      </c>
      <c r="N69" s="8" t="inlineStr">
        <is>
          <t>n</t>
        </is>
      </c>
      <c r="O69" s="8" t="n"/>
      <c r="P69" s="8" t="n"/>
    </row>
    <row r="70">
      <c r="A70" s="11" t="n">
        <v>75</v>
      </c>
      <c r="B70" s="12" t="inlineStr">
        <is>
          <t>NS_0060</t>
        </is>
      </c>
      <c r="C70" s="12" t="inlineStr">
        <is>
          <t>NextSeq1000</t>
        </is>
      </c>
      <c r="D70" s="12" t="n"/>
      <c r="E70" s="13" t="n">
        <v>45302</v>
      </c>
      <c r="F70" s="13" t="n">
        <v>45261</v>
      </c>
      <c r="G70" s="11">
        <f>IF(OR(E70="",F70=""),"",F70-E70)</f>
        <v/>
      </c>
      <c r="H70" s="11" t="n">
        <v>290</v>
      </c>
      <c r="I70" s="11" t="n">
        <v>254</v>
      </c>
      <c r="J70" s="11">
        <f>IF(H70="","",H70-I70)</f>
        <v/>
      </c>
      <c r="K70" s="14">
        <f>IFERROR(I70/H70,"")</f>
        <v/>
      </c>
      <c r="L70" s="14">
        <f>IFERROR(J70/H70,"")</f>
        <v/>
      </c>
      <c r="M70" s="12" t="inlineStr">
        <is>
          <t>n</t>
        </is>
      </c>
      <c r="N70" s="12" t="inlineStr">
        <is>
          <t>n</t>
        </is>
      </c>
      <c r="O70" s="12" t="n"/>
      <c r="P70" s="12" t="inlineStr">
        <is>
          <t>loaded before received</t>
        </is>
      </c>
    </row>
    <row r="71">
      <c r="A71" s="7" t="n">
        <v>76</v>
      </c>
      <c r="B71" s="8" t="inlineStr">
        <is>
          <t>NS_0061</t>
        </is>
      </c>
      <c r="C71" s="8" t="inlineStr">
        <is>
          <t>NextSeq1000</t>
        </is>
      </c>
      <c r="D71" s="8" t="n"/>
      <c r="E71" s="9" t="n">
        <v>45309</v>
      </c>
      <c r="F71" s="9" t="n">
        <v>45310</v>
      </c>
      <c r="G71" s="7">
        <f>IF(OR(E71="",F71=""),"",F71-E71)</f>
        <v/>
      </c>
      <c r="H71" s="7" t="n">
        <v>129</v>
      </c>
      <c r="I71" s="7" t="n">
        <v>115</v>
      </c>
      <c r="J71" s="7">
        <f>IF(H71="","",H71-I71)</f>
        <v/>
      </c>
      <c r="K71" s="10">
        <f>IFERROR(I71/H71,"")</f>
        <v/>
      </c>
      <c r="L71" s="10">
        <f>IFERROR(J71/H71,"")</f>
        <v/>
      </c>
      <c r="M71" s="8" t="inlineStr">
        <is>
          <t>n</t>
        </is>
      </c>
      <c r="N71" s="8" t="inlineStr">
        <is>
          <t>n</t>
        </is>
      </c>
      <c r="O71" s="8" t="n"/>
      <c r="P71" s="8" t="n"/>
    </row>
    <row r="72">
      <c r="A72" s="11" t="n">
        <v>77</v>
      </c>
      <c r="B72" s="12" t="inlineStr">
        <is>
          <t>NS_0062</t>
        </is>
      </c>
      <c r="C72" s="12" t="inlineStr">
        <is>
          <t>NextSeq1000</t>
        </is>
      </c>
      <c r="D72" s="12" t="n"/>
      <c r="E72" s="13" t="n">
        <v>45360</v>
      </c>
      <c r="F72" s="13" t="n">
        <v>45359</v>
      </c>
      <c r="G72" s="11">
        <f>IF(OR(E72="",F72=""),"",F72-E72)</f>
        <v/>
      </c>
      <c r="H72" s="11" t="n">
        <v>46</v>
      </c>
      <c r="I72" s="11" t="n">
        <v>40</v>
      </c>
      <c r="J72" s="11">
        <f>IF(H72="","",H72-I72)</f>
        <v/>
      </c>
      <c r="K72" s="14">
        <f>IFERROR(I72/H72,"")</f>
        <v/>
      </c>
      <c r="L72" s="14">
        <f>IFERROR(J72/H72,"")</f>
        <v/>
      </c>
      <c r="M72" s="12" t="inlineStr">
        <is>
          <t>n</t>
        </is>
      </c>
      <c r="N72" s="12" t="inlineStr">
        <is>
          <t>n</t>
        </is>
      </c>
      <c r="O72" s="12" t="n"/>
      <c r="P72" s="12" t="inlineStr">
        <is>
          <t>loaded before received</t>
        </is>
      </c>
    </row>
    <row r="73">
      <c r="A73" s="7" t="n">
        <v>78</v>
      </c>
      <c r="B73" s="8" t="inlineStr">
        <is>
          <t>NS_0063</t>
        </is>
      </c>
      <c r="C73" s="8" t="inlineStr">
        <is>
          <t>NextSeq1000</t>
        </is>
      </c>
      <c r="D73" s="8" t="n"/>
      <c r="E73" s="9" t="n">
        <v>45374</v>
      </c>
      <c r="F73" s="9" t="n">
        <v>45375</v>
      </c>
      <c r="G73" s="7">
        <f>IF(OR(E73="",F73=""),"",F73-E73)</f>
        <v/>
      </c>
      <c r="H73" s="7" t="n">
        <v>3</v>
      </c>
      <c r="I73" s="7" t="n">
        <v>3</v>
      </c>
      <c r="J73" s="7">
        <f>IF(H73="","",H73-I73)</f>
        <v/>
      </c>
      <c r="K73" s="10">
        <f>IFERROR(I73/H73,"")</f>
        <v/>
      </c>
      <c r="L73" s="10">
        <f>IFERROR(J73/H73,"")</f>
        <v/>
      </c>
      <c r="M73" s="8" t="inlineStr">
        <is>
          <t>n</t>
        </is>
      </c>
      <c r="N73" s="8" t="inlineStr">
        <is>
          <t>n</t>
        </is>
      </c>
      <c r="O73" s="8" t="n"/>
      <c r="P73" s="8" t="n"/>
    </row>
    <row r="74">
      <c r="A74" s="7" t="n">
        <v>79</v>
      </c>
      <c r="B74" s="8" t="inlineStr">
        <is>
          <t>IS_0056</t>
        </is>
      </c>
      <c r="C74" s="8" t="inlineStr">
        <is>
          <t>iSeq100</t>
        </is>
      </c>
      <c r="D74" s="8" t="n"/>
      <c r="E74" s="9" t="n">
        <v>45400</v>
      </c>
      <c r="F74" s="9" t="n">
        <v>45401</v>
      </c>
      <c r="G74" s="7">
        <f>IF(OR(E74="",F74=""),"",F74-E74)</f>
        <v/>
      </c>
      <c r="H74" s="7" t="n">
        <v>2</v>
      </c>
      <c r="I74" s="7" t="n">
        <v>2</v>
      </c>
      <c r="J74" s="7">
        <f>IF(H74="","",H74-I74)</f>
        <v/>
      </c>
      <c r="K74" s="10">
        <f>IFERROR(I74/H74,"")</f>
        <v/>
      </c>
      <c r="L74" s="10">
        <f>IFERROR(J74/H74,"")</f>
        <v/>
      </c>
      <c r="M74" s="8" t="inlineStr">
        <is>
          <t>n</t>
        </is>
      </c>
      <c r="N74" s="8" t="inlineStr">
        <is>
          <t>n</t>
        </is>
      </c>
      <c r="O74" s="8" t="n"/>
      <c r="P74" s="8" t="n"/>
    </row>
    <row r="75">
      <c r="A75" s="7" t="n">
        <v>80</v>
      </c>
      <c r="B75" s="8" t="inlineStr">
        <is>
          <t>NS_0065</t>
        </is>
      </c>
      <c r="C75" s="8" t="inlineStr">
        <is>
          <t>NextSeq1000</t>
        </is>
      </c>
      <c r="D75" s="8" t="n"/>
      <c r="E75" s="9" t="n">
        <v>45438</v>
      </c>
      <c r="F75" s="9" t="n">
        <v>45439</v>
      </c>
      <c r="G75" s="7">
        <f>IF(OR(E75="",F75=""),"",F75-E75)</f>
        <v/>
      </c>
      <c r="H75" s="7" t="n">
        <v>23</v>
      </c>
      <c r="I75" s="7" t="n">
        <v>22</v>
      </c>
      <c r="J75" s="7">
        <f>IF(H75="","",H75-I75)</f>
        <v/>
      </c>
      <c r="K75" s="10">
        <f>IFERROR(I75/H75,"")</f>
        <v/>
      </c>
      <c r="L75" s="10">
        <f>IFERROR(J75/H75,"")</f>
        <v/>
      </c>
      <c r="M75" s="8" t="inlineStr">
        <is>
          <t>n</t>
        </is>
      </c>
      <c r="N75" s="8" t="inlineStr">
        <is>
          <t>n</t>
        </is>
      </c>
      <c r="O75" s="8" t="n"/>
      <c r="P75" s="8" t="n"/>
    </row>
    <row r="76">
      <c r="A76" s="7" t="n">
        <v>81</v>
      </c>
      <c r="B76" s="8" t="inlineStr">
        <is>
          <t>NS_0066</t>
        </is>
      </c>
      <c r="C76" s="8" t="inlineStr">
        <is>
          <t>NextSeq1000</t>
        </is>
      </c>
      <c r="D76" s="8" t="n"/>
      <c r="E76" s="9" t="n">
        <v>45463</v>
      </c>
      <c r="F76" s="9" t="n">
        <v>45464</v>
      </c>
      <c r="G76" s="7">
        <f>IF(OR(E76="",F76=""),"",F76-E76)</f>
        <v/>
      </c>
      <c r="H76" s="7" t="n">
        <v>142</v>
      </c>
      <c r="I76" s="7" t="n">
        <v>119</v>
      </c>
      <c r="J76" s="7">
        <f>IF(H76="","",H76-I76)</f>
        <v/>
      </c>
      <c r="K76" s="10">
        <f>IFERROR(I76/H76,"")</f>
        <v/>
      </c>
      <c r="L76" s="10">
        <f>IFERROR(J76/H76,"")</f>
        <v/>
      </c>
      <c r="M76" s="8" t="inlineStr">
        <is>
          <t>n</t>
        </is>
      </c>
      <c r="N76" s="8" t="inlineStr">
        <is>
          <t>n</t>
        </is>
      </c>
      <c r="O76" s="8" t="n"/>
      <c r="P76" s="8" t="n"/>
    </row>
    <row r="77">
      <c r="A77" s="7" t="n">
        <v>82</v>
      </c>
      <c r="B77" s="8" t="inlineStr">
        <is>
          <t>NS_0067</t>
        </is>
      </c>
      <c r="C77" s="8" t="inlineStr">
        <is>
          <t>NextSeq1000</t>
        </is>
      </c>
      <c r="D77" s="8" t="n"/>
      <c r="E77" s="9" t="n">
        <v>45491</v>
      </c>
      <c r="F77" s="9" t="n">
        <v>45492</v>
      </c>
      <c r="G77" s="7">
        <f>IF(OR(E77="",F77=""),"",F77-E77)</f>
        <v/>
      </c>
      <c r="H77" s="7" t="n">
        <v>134</v>
      </c>
      <c r="I77" s="7" t="n">
        <v>116</v>
      </c>
      <c r="J77" s="7">
        <f>IF(H77="","",H77-I77)</f>
        <v/>
      </c>
      <c r="K77" s="10">
        <f>IFERROR(I77/H77,"")</f>
        <v/>
      </c>
      <c r="L77" s="10">
        <f>IFERROR(J77/H77,"")</f>
        <v/>
      </c>
      <c r="M77" s="8" t="inlineStr">
        <is>
          <t>n</t>
        </is>
      </c>
      <c r="N77" s="8" t="inlineStr">
        <is>
          <t>n</t>
        </is>
      </c>
      <c r="O77" s="8" t="n"/>
      <c r="P77" s="8" t="n"/>
    </row>
    <row r="78">
      <c r="A78" s="7" t="n">
        <v>83</v>
      </c>
      <c r="B78" s="8" t="inlineStr">
        <is>
          <t>NS_0068</t>
        </is>
      </c>
      <c r="C78" s="8" t="inlineStr">
        <is>
          <t>NextSeq1000</t>
        </is>
      </c>
      <c r="D78" s="8" t="n"/>
      <c r="E78" s="9" t="n">
        <v>45533</v>
      </c>
      <c r="F78" s="9" t="n">
        <v>45534</v>
      </c>
      <c r="G78" s="7">
        <f>IF(OR(E78="",F78=""),"",F78-E78)</f>
        <v/>
      </c>
      <c r="H78" s="7" t="n">
        <v>23</v>
      </c>
      <c r="I78" s="7" t="n">
        <v>23</v>
      </c>
      <c r="J78" s="7">
        <f>IF(H78="","",H78-I78)</f>
        <v/>
      </c>
      <c r="K78" s="10">
        <f>IFERROR(I78/H78,"")</f>
        <v/>
      </c>
      <c r="L78" s="10">
        <f>IFERROR(J78/H78,"")</f>
        <v/>
      </c>
      <c r="M78" s="8" t="inlineStr">
        <is>
          <t>n</t>
        </is>
      </c>
      <c r="N78" s="8" t="inlineStr">
        <is>
          <t>n</t>
        </is>
      </c>
      <c r="O78" s="8" t="n"/>
      <c r="P78" s="8" t="n"/>
    </row>
    <row r="79">
      <c r="A79" s="7" t="n">
        <v>84</v>
      </c>
      <c r="B79" s="8" t="inlineStr">
        <is>
          <t>NS_0070</t>
        </is>
      </c>
      <c r="C79" s="8" t="inlineStr">
        <is>
          <t>NextSeq1000</t>
        </is>
      </c>
      <c r="D79" s="8" t="n"/>
      <c r="E79" s="9" t="n">
        <v>45581</v>
      </c>
      <c r="F79" s="9" t="n">
        <v>45583</v>
      </c>
      <c r="G79" s="7">
        <f>IF(OR(E79="",F79=""),"",F79-E79)</f>
        <v/>
      </c>
      <c r="H79" s="7" t="n">
        <v>7</v>
      </c>
      <c r="I79" s="7" t="n">
        <v>6</v>
      </c>
      <c r="J79" s="7">
        <f>IF(H79="","",H79-I79)</f>
        <v/>
      </c>
      <c r="K79" s="10">
        <f>IFERROR(I79/H79,"")</f>
        <v/>
      </c>
      <c r="L79" s="10">
        <f>IFERROR(J79/H79,"")</f>
        <v/>
      </c>
      <c r="M79" s="8" t="inlineStr">
        <is>
          <t>n</t>
        </is>
      </c>
      <c r="N79" s="8" t="inlineStr">
        <is>
          <t>n</t>
        </is>
      </c>
      <c r="O79" s="8" t="n"/>
      <c r="P79" s="8" t="n"/>
    </row>
    <row r="80">
      <c r="A80" s="7" t="n">
        <v>85</v>
      </c>
      <c r="B80" s="8" t="inlineStr">
        <is>
          <t>NS_0071</t>
        </is>
      </c>
      <c r="C80" s="8" t="inlineStr">
        <is>
          <t>NextSeq1000</t>
        </is>
      </c>
      <c r="D80" s="8" t="n"/>
      <c r="E80" s="9" t="n">
        <v>45586</v>
      </c>
      <c r="F80" s="9" t="n">
        <v>45618</v>
      </c>
      <c r="G80" s="7">
        <f>IF(OR(E80="",F80=""),"",F80-E80)</f>
        <v/>
      </c>
      <c r="H80" s="7" t="n">
        <v>61</v>
      </c>
      <c r="I80" s="7" t="n">
        <v>60</v>
      </c>
      <c r="J80" s="7">
        <f>IF(H80="","",H80-I80)</f>
        <v/>
      </c>
      <c r="K80" s="10">
        <f>IFERROR(I80/H80,"")</f>
        <v/>
      </c>
      <c r="L80" s="10">
        <f>IFERROR(J80/H80,"")</f>
        <v/>
      </c>
      <c r="M80" s="8" t="inlineStr">
        <is>
          <t>n</t>
        </is>
      </c>
      <c r="N80" s="8" t="inlineStr">
        <is>
          <t>n</t>
        </is>
      </c>
      <c r="O80" s="8" t="n"/>
      <c r="P80" s="8" t="n"/>
    </row>
    <row r="81">
      <c r="A81" s="7" t="n">
        <v>86</v>
      </c>
      <c r="B81" s="8" t="inlineStr">
        <is>
          <t>NS_0073</t>
        </is>
      </c>
      <c r="C81" s="8" t="inlineStr">
        <is>
          <t>NextSeq1000</t>
        </is>
      </c>
      <c r="D81" s="8" t="n"/>
      <c r="E81" s="9" t="n">
        <v>45676</v>
      </c>
      <c r="F81" s="9" t="n">
        <v>45678</v>
      </c>
      <c r="G81" s="7">
        <f>IF(OR(E81="",F81=""),"",F81-E81)</f>
        <v/>
      </c>
      <c r="H81" s="7" t="n">
        <v>62</v>
      </c>
      <c r="I81" s="7" t="n">
        <v>58</v>
      </c>
      <c r="J81" s="7">
        <f>IF(H81="","",H81-I81)</f>
        <v/>
      </c>
      <c r="K81" s="10">
        <f>IFERROR(I81/H81,"")</f>
        <v/>
      </c>
      <c r="L81" s="10">
        <f>IFERROR(J81/H81,"")</f>
        <v/>
      </c>
      <c r="M81" s="8" t="inlineStr">
        <is>
          <t>n</t>
        </is>
      </c>
      <c r="N81" s="8" t="inlineStr">
        <is>
          <t>n</t>
        </is>
      </c>
      <c r="O81" s="8" t="n"/>
      <c r="P81" s="8" t="n"/>
    </row>
    <row r="82">
      <c r="A82" s="7" t="n">
        <v>87</v>
      </c>
      <c r="B82" s="8" t="inlineStr">
        <is>
          <t>IS_0059</t>
        </is>
      </c>
      <c r="C82" s="8" t="inlineStr">
        <is>
          <t>iSeq100</t>
        </is>
      </c>
      <c r="D82" s="8" t="n"/>
      <c r="E82" s="9" t="n">
        <v>45818</v>
      </c>
      <c r="F82" s="9" t="n">
        <v>45819</v>
      </c>
      <c r="G82" s="7">
        <f>IF(OR(E82="",F82=""),"",F82-E82)</f>
        <v/>
      </c>
      <c r="H82" s="7" t="n">
        <v>4</v>
      </c>
      <c r="I82" s="7" t="n">
        <v>4</v>
      </c>
      <c r="J82" s="7">
        <f>IF(H82="","",H82-I82)</f>
        <v/>
      </c>
      <c r="K82" s="10">
        <f>IFERROR(I82/H82,"")</f>
        <v/>
      </c>
      <c r="L82" s="10">
        <f>IFERROR(J82/H82,"")</f>
        <v/>
      </c>
      <c r="M82" s="8" t="inlineStr">
        <is>
          <t>n</t>
        </is>
      </c>
      <c r="N82" s="8" t="inlineStr">
        <is>
          <t>n</t>
        </is>
      </c>
      <c r="O82" s="8" t="n"/>
      <c r="P82" s="8" t="n"/>
    </row>
    <row r="83">
      <c r="A83" s="7" t="n">
        <v>88</v>
      </c>
      <c r="B83" s="8" t="inlineStr">
        <is>
          <t>IS_0060</t>
        </is>
      </c>
      <c r="C83" s="8" t="inlineStr">
        <is>
          <t>iSeq100</t>
        </is>
      </c>
      <c r="D83" s="8" t="n"/>
      <c r="E83" s="9" t="n">
        <v>45848</v>
      </c>
      <c r="F83" s="9" t="n">
        <v>45849</v>
      </c>
      <c r="G83" s="7">
        <f>IF(OR(E83="",F83=""),"",F83-E83)</f>
        <v/>
      </c>
      <c r="H83" s="7" t="n">
        <v>27</v>
      </c>
      <c r="I83" s="7" t="n">
        <v>26</v>
      </c>
      <c r="J83" s="7">
        <f>IF(H83="","",H83-I83)</f>
        <v/>
      </c>
      <c r="K83" s="10">
        <f>IFERROR(I83/H83,"")</f>
        <v/>
      </c>
      <c r="L83" s="10">
        <f>IFERROR(J83/H83,"")</f>
        <v/>
      </c>
      <c r="M83" s="8" t="inlineStr">
        <is>
          <t>n</t>
        </is>
      </c>
      <c r="N83" s="8" t="inlineStr">
        <is>
          <t>n</t>
        </is>
      </c>
      <c r="O83" s="8" t="n"/>
      <c r="P83" s="8" t="n"/>
    </row>
    <row r="84">
      <c r="A84" s="7" t="n">
        <v>89</v>
      </c>
      <c r="B84" s="8" t="inlineStr">
        <is>
          <t>IS_0062</t>
        </is>
      </c>
      <c r="C84" s="8" t="inlineStr">
        <is>
          <t>iSeq100</t>
        </is>
      </c>
      <c r="D84" s="8" t="n"/>
      <c r="E84" s="9" t="n">
        <v>45891</v>
      </c>
      <c r="F84" s="9" t="n">
        <v>45895</v>
      </c>
      <c r="G84" s="7">
        <f>IF(OR(E84="",F84=""),"",F84-E84)</f>
        <v/>
      </c>
      <c r="H84" s="7" t="n">
        <v>49</v>
      </c>
      <c r="I84" s="7" t="n">
        <v>44</v>
      </c>
      <c r="J84" s="7">
        <f>IF(H84="","",H84-I84)</f>
        <v/>
      </c>
      <c r="K84" s="10">
        <f>IFERROR(I84/H84,"")</f>
        <v/>
      </c>
      <c r="L84" s="10">
        <f>IFERROR(J84/H84,"")</f>
        <v/>
      </c>
      <c r="M84" s="8" t="inlineStr">
        <is>
          <t>n</t>
        </is>
      </c>
      <c r="N84" s="8" t="inlineStr">
        <is>
          <t>n</t>
        </is>
      </c>
      <c r="O84" s="8" t="n"/>
      <c r="P84" s="8" t="n"/>
    </row>
    <row r="85">
      <c r="A85" s="11" t="n">
        <v>90</v>
      </c>
      <c r="B85" s="12" t="n"/>
      <c r="C85" s="12" t="n"/>
      <c r="D85" s="12" t="n"/>
      <c r="E85" s="13" t="n">
        <v>45967</v>
      </c>
      <c r="F85" s="13" t="n">
        <v>45968</v>
      </c>
      <c r="G85" s="11">
        <f>IF(OR(E85="",F85=""),"",F85-E85)</f>
        <v/>
      </c>
      <c r="H85" s="11" t="n">
        <v>5</v>
      </c>
      <c r="I85" s="11" t="n">
        <v>4</v>
      </c>
      <c r="J85" s="11">
        <f>IF(H85="","",H85-I85)</f>
        <v/>
      </c>
      <c r="K85" s="14">
        <f>IFERROR(I85/H85,"")</f>
        <v/>
      </c>
      <c r="L85" s="14">
        <f>IFERROR(J85/H85,"")</f>
        <v/>
      </c>
      <c r="M85" s="12" t="inlineStr">
        <is>
          <t>n</t>
        </is>
      </c>
      <c r="N85" s="12" t="inlineStr">
        <is>
          <t>n</t>
        </is>
      </c>
      <c r="O85" s="12" t="n"/>
      <c r="P85" s="12" t="inlineStr">
        <is>
          <t>run ID not recorded; sequencer not recorded</t>
        </is>
      </c>
    </row>
    <row r="86">
      <c r="A86" s="11" t="n">
        <v>91</v>
      </c>
      <c r="B86" s="12" t="n"/>
      <c r="C86" s="12" t="n"/>
      <c r="D86" s="12" t="n"/>
      <c r="E86" s="13" t="n">
        <v>46055</v>
      </c>
      <c r="F86" s="13" t="n"/>
      <c r="G86" s="11">
        <f>IF(OR(E86="",F86=""),"",F86-E86)</f>
        <v/>
      </c>
      <c r="H86" s="11" t="n">
        <v>2</v>
      </c>
      <c r="I86" s="11" t="n">
        <v>2</v>
      </c>
      <c r="J86" s="11">
        <f>IF(H86="","",H86-I86)</f>
        <v/>
      </c>
      <c r="K86" s="14">
        <f>IFERROR(I86/H86,"")</f>
        <v/>
      </c>
      <c r="L86" s="14">
        <f>IFERROR(J86/H86,"")</f>
        <v/>
      </c>
      <c r="M86" s="12" t="inlineStr">
        <is>
          <t>n</t>
        </is>
      </c>
      <c r="N86" s="12" t="inlineStr">
        <is>
          <t>n</t>
        </is>
      </c>
      <c r="O86" s="12" t="n"/>
      <c r="P86" s="12" t="inlineStr">
        <is>
          <t>run ID not recorded; sequencer not recorded; no load date</t>
        </is>
      </c>
    </row>
    <row r="87">
      <c r="A87" s="15" t="inlineStr">
        <is>
          <t>TOTAL</t>
        </is>
      </c>
      <c r="B87" s="15" t="n"/>
      <c r="C87" s="15" t="n"/>
      <c r="D87" s="15" t="n"/>
      <c r="E87" s="15" t="n"/>
      <c r="F87" s="15" t="n"/>
      <c r="G87" s="15" t="n"/>
      <c r="H87" s="15">
        <f>SUM(H2:H86)</f>
        <v/>
      </c>
      <c r="I87" s="15">
        <f>SUM(I2:I86)</f>
        <v/>
      </c>
      <c r="J87" s="15">
        <f>SUM(J2:J86)</f>
        <v/>
      </c>
      <c r="K87" s="16">
        <f>IFERROR(I87/H87,"")</f>
        <v/>
      </c>
      <c r="L87" s="16">
        <f>IFERROR(J87/H87,"")</f>
        <v/>
      </c>
      <c r="M87" s="15">
        <f>COUNTIF(M2:M86,"y")</f>
        <v/>
      </c>
      <c r="N87" s="15">
        <f>COUNTIF(N2:N86,"y")</f>
        <v/>
      </c>
      <c r="O87" s="15" t="n"/>
      <c r="P87" s="15" t="n"/>
    </row>
  </sheetData>
  <autoFilter ref="A1:P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52" customWidth="1" min="3" max="3"/>
  </cols>
  <sheetData>
    <row r="1">
      <c r="A1" s="17" t="inlineStr">
        <is>
          <t>Programme coverage metrics</t>
        </is>
      </c>
    </row>
    <row r="3">
      <c r="A3" s="18" t="inlineStr">
        <is>
          <t>Metric</t>
        </is>
      </c>
      <c r="B3" s="18" t="inlineStr">
        <is>
          <t>Value</t>
        </is>
      </c>
      <c r="C3" s="18" t="inlineStr">
        <is>
          <t>Basis</t>
        </is>
      </c>
    </row>
    <row r="4">
      <c r="A4" s="19" t="inlineStr">
        <is>
          <t>Total positive COVID-19 cases in Western Visayas (as of Dec 2022)</t>
        </is>
      </c>
      <c r="B4" s="19" t="n">
        <v>47463</v>
      </c>
      <c r="C4" s="19" t="inlineStr">
        <is>
          <t>Source figure carried over from the original tracker</t>
        </is>
      </c>
    </row>
    <row r="5">
      <c r="A5" s="19" t="inlineStr">
        <is>
          <t>Samples sequenced (as of Dec 2022)</t>
        </is>
      </c>
      <c r="B5" s="19" t="n">
        <v>5128</v>
      </c>
      <c r="C5" s="19" t="inlineStr">
        <is>
          <t>Source figure carried over from the original tracker</t>
        </is>
      </c>
    </row>
    <row r="6">
      <c r="A6" s="19" t="inlineStr">
        <is>
          <t>Share of positive cases sequenced (as of Dec 2022)</t>
        </is>
      </c>
      <c r="B6" s="20">
        <f>IFERROR(B5/B4,"")</f>
        <v/>
      </c>
      <c r="C6" s="19" t="inlineStr">
        <is>
          <t>B5 / B4</t>
        </is>
      </c>
    </row>
    <row r="7">
      <c r="A7" s="19" t="n"/>
      <c r="B7" s="19" t="n"/>
      <c r="C7" s="19" t="n"/>
    </row>
    <row r="8">
      <c r="A8" s="19" t="inlineStr">
        <is>
          <t>Samples sequenced by calendar year (live, from Run_Summary)</t>
        </is>
      </c>
      <c r="B8" s="19" t="n"/>
      <c r="C8" s="19" t="n"/>
    </row>
    <row r="9">
      <c r="A9" s="19" t="n">
        <v>2022</v>
      </c>
      <c r="B9" s="19">
        <f>SUMIFS(Run_Summary!$H$2:$H$86,Run_Summary!$F$2:$F$86,"&gt;="&amp;DATE(2022,1,1),Run_Summary!$F$2:$F$86,"&lt;="&amp;DATE(2022,12,31))</f>
        <v/>
      </c>
      <c r="C9" s="19" t="inlineStr">
        <is>
          <t>Runs whose Date_Loaded falls in the year</t>
        </is>
      </c>
    </row>
    <row r="10">
      <c r="A10" s="19" t="n">
        <v>2023</v>
      </c>
      <c r="B10" s="19">
        <f>SUMIFS(Run_Summary!$H$2:$H$86,Run_Summary!$F$2:$F$86,"&gt;="&amp;DATE(2023,1,1),Run_Summary!$F$2:$F$86,"&lt;="&amp;DATE(2023,12,31))</f>
        <v/>
      </c>
      <c r="C10" s="19" t="inlineStr">
        <is>
          <t>Runs whose Date_Loaded falls in the year</t>
        </is>
      </c>
    </row>
    <row r="11">
      <c r="A11" s="4" t="n">
        <v>2024</v>
      </c>
      <c r="B11" s="19">
        <f>SUMIFS(Run_Summary!$H$2:$H$86,Run_Summary!$F$2:$F$86,"&gt;="&amp;DATE(2024,1,1),Run_Summary!$F$2:$F$86,"&lt;="&amp;DATE(2024,12,31))</f>
        <v/>
      </c>
      <c r="C11" s="19" t="inlineStr">
        <is>
          <t>Runs whose Date_Loaded falls in the year</t>
        </is>
      </c>
    </row>
    <row r="12">
      <c r="A12" s="19" t="n">
        <v>2025</v>
      </c>
      <c r="B12" s="19">
        <f>SUMIFS(Run_Summary!$H$2:$H$86,Run_Summary!$F$2:$F$86,"&gt;="&amp;DATE(2025,1,1),Run_Summary!$F$2:$F$86,"&lt;="&amp;DATE(2025,12,31))</f>
        <v/>
      </c>
      <c r="C12" s="19" t="inlineStr">
        <is>
          <t>Runs whose Date_Loaded falls in the year</t>
        </is>
      </c>
    </row>
    <row r="13">
      <c r="A13" s="19" t="inlineStr">
        <is>
          <t>Subtotal (runs with a load date)</t>
        </is>
      </c>
      <c r="B13" s="19">
        <f>SUM(B9:B12)</f>
        <v/>
      </c>
      <c r="C13" s="19" t="n"/>
    </row>
    <row r="14">
      <c r="A14" s="19" t="inlineStr">
        <is>
          <t>Runs with no load date recorded</t>
        </is>
      </c>
      <c r="B14" s="19">
        <f>Run_Summary!H87-B13</f>
        <v/>
      </c>
      <c r="C14" s="19" t="inlineStr">
        <is>
          <t>Sequenced but not yet attributable to a year</t>
        </is>
      </c>
    </row>
    <row r="15">
      <c r="A15" s="19" t="inlineStr">
        <is>
          <t>Total sequenced</t>
        </is>
      </c>
      <c r="B15" s="19">
        <f>B13+B14</f>
        <v/>
      </c>
      <c r="C15" s="19" t="inlineStr">
        <is>
          <t>Must equal the Run_Summary TOTAL row</t>
        </is>
      </c>
    </row>
    <row r="16">
      <c r="A16" s="19" t="inlineStr">
        <is>
          <t>Run_Summary cross-check (must read 0)</t>
        </is>
      </c>
      <c r="B16" s="19">
        <f>B15-Run_Summary!H87</f>
        <v/>
      </c>
      <c r="C16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GS84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5" customWidth="1" min="198" max="198"/>
    <col width="15" customWidth="1" min="199" max="199"/>
    <col width="15" customWidth="1" min="200" max="200"/>
    <col width="34" customWidth="1" min="201" max="201"/>
  </cols>
  <sheetData>
    <row r="1">
      <c r="A1" s="6" t="inlineStr">
        <is>
          <t>RUN</t>
        </is>
      </c>
      <c r="B1" s="6" t="inlineStr">
        <is>
          <t>B.1</t>
        </is>
      </c>
      <c r="C1" s="6" t="inlineStr">
        <is>
          <t>B.1.1.529</t>
        </is>
      </c>
      <c r="D1" s="6" t="inlineStr">
        <is>
          <t>B.1.351</t>
        </is>
      </c>
      <c r="E1" s="6" t="inlineStr">
        <is>
          <t>B.1.617.2</t>
        </is>
      </c>
      <c r="F1" s="6" t="inlineStr">
        <is>
          <t>BA.1</t>
        </is>
      </c>
      <c r="G1" s="6" t="inlineStr">
        <is>
          <t>BA.1.1.529</t>
        </is>
      </c>
      <c r="H1" s="6" t="inlineStr">
        <is>
          <t>BA.2</t>
        </is>
      </c>
      <c r="I1" s="6" t="inlineStr">
        <is>
          <t>BA.2.3</t>
        </is>
      </c>
      <c r="J1" s="6" t="inlineStr">
        <is>
          <t>BA.2.3.1</t>
        </is>
      </c>
      <c r="K1" s="6" t="inlineStr">
        <is>
          <t>BA.2.3.2</t>
        </is>
      </c>
      <c r="L1" s="6" t="inlineStr">
        <is>
          <t>BA.2.3.6</t>
        </is>
      </c>
      <c r="M1" s="6" t="inlineStr">
        <is>
          <t>BA.2.3.13</t>
        </is>
      </c>
      <c r="N1" s="6" t="inlineStr">
        <is>
          <t>BA.2.3.16</t>
        </is>
      </c>
      <c r="O1" s="6" t="inlineStr">
        <is>
          <t>BA.2.3.20</t>
        </is>
      </c>
      <c r="P1" s="6" t="inlineStr">
        <is>
          <t>BA.2.10.1</t>
        </is>
      </c>
      <c r="Q1" s="6" t="inlineStr">
        <is>
          <t>BA.2.12.1</t>
        </is>
      </c>
      <c r="R1" s="6" t="inlineStr">
        <is>
          <t>BA.2.23</t>
        </is>
      </c>
      <c r="S1" s="6" t="inlineStr">
        <is>
          <t>BA.2.38</t>
        </is>
      </c>
      <c r="T1" s="6" t="inlineStr">
        <is>
          <t>BA.2.40.1</t>
        </is>
      </c>
      <c r="U1" s="6" t="inlineStr">
        <is>
          <t>BA.2.42</t>
        </is>
      </c>
      <c r="V1" s="6" t="inlineStr">
        <is>
          <t>BA.2.75</t>
        </is>
      </c>
      <c r="W1" s="6" t="inlineStr">
        <is>
          <t>BA.2.76</t>
        </is>
      </c>
      <c r="X1" s="6" t="inlineStr">
        <is>
          <t>BA.2.86.1</t>
        </is>
      </c>
      <c r="Y1" s="6" t="inlineStr">
        <is>
          <t>BA.4</t>
        </is>
      </c>
      <c r="Z1" s="6" t="inlineStr">
        <is>
          <t>BA.4.1</t>
        </is>
      </c>
      <c r="AA1" s="6" t="inlineStr">
        <is>
          <t>BA.4.4</t>
        </is>
      </c>
      <c r="AB1" s="6" t="inlineStr">
        <is>
          <t>BA.5</t>
        </is>
      </c>
      <c r="AC1" s="6" t="inlineStr">
        <is>
          <t>BA.5.1</t>
        </is>
      </c>
      <c r="AD1" s="6" t="inlineStr">
        <is>
          <t>BA.5.1.2</t>
        </is>
      </c>
      <c r="AE1" s="6" t="inlineStr">
        <is>
          <t>BA.5.1.5</t>
        </is>
      </c>
      <c r="AF1" s="6" t="inlineStr">
        <is>
          <t>BA.5.1.10</t>
        </is>
      </c>
      <c r="AG1" s="6" t="inlineStr">
        <is>
          <t>BA.5.1.22</t>
        </is>
      </c>
      <c r="AH1" s="6" t="inlineStr">
        <is>
          <t>BA.5.2</t>
        </is>
      </c>
      <c r="AI1" s="6" t="inlineStr">
        <is>
          <t>BA.5.2.1</t>
        </is>
      </c>
      <c r="AJ1" s="6" t="inlineStr">
        <is>
          <t>BA.5.2.6</t>
        </is>
      </c>
      <c r="AK1" s="6" t="inlineStr">
        <is>
          <t>BA.5.2.12</t>
        </is>
      </c>
      <c r="AL1" s="6" t="inlineStr">
        <is>
          <t>BA.5.2.16</t>
        </is>
      </c>
      <c r="AM1" s="6" t="inlineStr">
        <is>
          <t>BA.5.2.18</t>
        </is>
      </c>
      <c r="AN1" s="6" t="inlineStr">
        <is>
          <t>BA.5.2.19</t>
        </is>
      </c>
      <c r="AO1" s="6" t="inlineStr">
        <is>
          <t>BA.5.2.20</t>
        </is>
      </c>
      <c r="AP1" s="6" t="inlineStr">
        <is>
          <t>BA.5.2.24</t>
        </is>
      </c>
      <c r="AQ1" s="6" t="inlineStr">
        <is>
          <t>BA.5.2.25</t>
        </is>
      </c>
      <c r="AR1" s="6" t="inlineStr">
        <is>
          <t>BA.5.2.26</t>
        </is>
      </c>
      <c r="AS1" s="6" t="inlineStr">
        <is>
          <t>BA.5.2.27</t>
        </is>
      </c>
      <c r="AT1" s="6" t="inlineStr">
        <is>
          <t>BA.5.2.28</t>
        </is>
      </c>
      <c r="AU1" s="6" t="inlineStr">
        <is>
          <t>BA.5.2.31</t>
        </is>
      </c>
      <c r="AV1" s="6" t="inlineStr">
        <is>
          <t>BA.5.3.1</t>
        </is>
      </c>
      <c r="AW1" s="6" t="inlineStr">
        <is>
          <t>BA.5.5</t>
        </is>
      </c>
      <c r="AX1" s="6" t="inlineStr">
        <is>
          <t>BA.5.6</t>
        </is>
      </c>
      <c r="AY1" s="6" t="inlineStr">
        <is>
          <t>BA.5.8</t>
        </is>
      </c>
      <c r="AZ1" s="6" t="inlineStr">
        <is>
          <t>BA.5.10</t>
        </is>
      </c>
      <c r="BA1" s="6" t="inlineStr">
        <is>
          <t>BA.5.10.1</t>
        </is>
      </c>
      <c r="BB1" s="6" t="inlineStr">
        <is>
          <t>BE.1</t>
        </is>
      </c>
      <c r="BC1" s="6" t="inlineStr">
        <is>
          <t>BE.3</t>
        </is>
      </c>
      <c r="BD1" s="6" t="inlineStr">
        <is>
          <t>BF.1</t>
        </is>
      </c>
      <c r="BE1" s="6" t="inlineStr">
        <is>
          <t>BF.3</t>
        </is>
      </c>
      <c r="BF1" s="6" t="inlineStr">
        <is>
          <t>BF.3.1</t>
        </is>
      </c>
      <c r="BG1" s="6" t="inlineStr">
        <is>
          <t>BF.4</t>
        </is>
      </c>
      <c r="BH1" s="6" t="inlineStr">
        <is>
          <t>BF.5</t>
        </is>
      </c>
      <c r="BI1" s="6" t="inlineStr">
        <is>
          <t>BF.18</t>
        </is>
      </c>
      <c r="BJ1" s="6" t="inlineStr">
        <is>
          <t>BF.28</t>
        </is>
      </c>
      <c r="BK1" s="6" t="inlineStr">
        <is>
          <t>BN.1.3</t>
        </is>
      </c>
      <c r="BL1" s="6" t="inlineStr">
        <is>
          <t>BP.1</t>
        </is>
      </c>
      <c r="BM1" s="6" t="inlineStr">
        <is>
          <t>BQ.1</t>
        </is>
      </c>
      <c r="BN1" s="6" t="inlineStr">
        <is>
          <t>BQ.1.1</t>
        </is>
      </c>
      <c r="BO1" s="6" t="inlineStr">
        <is>
          <t>BQ.1.1.2</t>
        </is>
      </c>
      <c r="BP1" s="6" t="inlineStr">
        <is>
          <t>BQ.1.12</t>
        </is>
      </c>
      <c r="BQ1" s="6" t="inlineStr">
        <is>
          <t>BR.2</t>
        </is>
      </c>
      <c r="BR1" s="6" t="inlineStr">
        <is>
          <t>BT.1</t>
        </is>
      </c>
      <c r="BS1" s="6" t="inlineStr">
        <is>
          <t>CM.1</t>
        </is>
      </c>
      <c r="BT1" s="6" t="inlineStr">
        <is>
          <t>CM.2</t>
        </is>
      </c>
      <c r="BU1" s="6" t="inlineStr">
        <is>
          <t>CM.3</t>
        </is>
      </c>
      <c r="BV1" s="6" t="inlineStr">
        <is>
          <t>CM.4</t>
        </is>
      </c>
      <c r="BW1" s="6" t="inlineStr">
        <is>
          <t>CM.4.1</t>
        </is>
      </c>
      <c r="BX1" s="6" t="inlineStr">
        <is>
          <t>CM.5</t>
        </is>
      </c>
      <c r="BY1" s="6" t="inlineStr">
        <is>
          <t>CM.5.1</t>
        </is>
      </c>
      <c r="BZ1" s="6" t="inlineStr">
        <is>
          <t>CM.6</t>
        </is>
      </c>
      <c r="CA1" s="6" t="inlineStr">
        <is>
          <t>CM.8</t>
        </is>
      </c>
      <c r="CB1" s="6" t="inlineStr">
        <is>
          <t>CM.8.1</t>
        </is>
      </c>
      <c r="CC1" s="6" t="inlineStr">
        <is>
          <t>CM.8.1.1</t>
        </is>
      </c>
      <c r="CD1" s="6" t="inlineStr">
        <is>
          <t>CM.8.1.2</t>
        </is>
      </c>
      <c r="CE1" s="6" t="inlineStr">
        <is>
          <t>CM.10</t>
        </is>
      </c>
      <c r="CF1" s="6" t="inlineStr">
        <is>
          <t>CR.1</t>
        </is>
      </c>
      <c r="CG1" s="6" t="inlineStr">
        <is>
          <t>DF.1</t>
        </is>
      </c>
      <c r="CH1" s="6" t="inlineStr">
        <is>
          <t>EG.1</t>
        </is>
      </c>
      <c r="CI1" s="6" t="inlineStr">
        <is>
          <t>EG.1.6</t>
        </is>
      </c>
      <c r="CJ1" s="6" t="inlineStr">
        <is>
          <t>EG.2</t>
        </is>
      </c>
      <c r="CK1" s="6" t="inlineStr">
        <is>
          <t>EG.5.1</t>
        </is>
      </c>
      <c r="CL1" s="6" t="inlineStr">
        <is>
          <t>EG.5.1.1</t>
        </is>
      </c>
      <c r="CM1" s="6" t="inlineStr">
        <is>
          <t>EL.1</t>
        </is>
      </c>
      <c r="CN1" s="6" t="inlineStr">
        <is>
          <t>FL.1.1</t>
        </is>
      </c>
      <c r="CO1" s="6" t="inlineStr">
        <is>
          <t>FL.1.3</t>
        </is>
      </c>
      <c r="CP1" s="6" t="inlineStr">
        <is>
          <t>FL.1.5.1</t>
        </is>
      </c>
      <c r="CQ1" s="6" t="inlineStr">
        <is>
          <t>FL.2</t>
        </is>
      </c>
      <c r="CR1" s="6" t="inlineStr">
        <is>
          <t>FL.2.1</t>
        </is>
      </c>
      <c r="CS1" s="6" t="inlineStr">
        <is>
          <t>FL.4</t>
        </is>
      </c>
      <c r="CT1" s="6" t="inlineStr">
        <is>
          <t>FL.5</t>
        </is>
      </c>
      <c r="CU1" s="6" t="inlineStr">
        <is>
          <t>FL.6</t>
        </is>
      </c>
      <c r="CV1" s="6" t="inlineStr">
        <is>
          <t>FL.10</t>
        </is>
      </c>
      <c r="CW1" s="6" t="inlineStr">
        <is>
          <t>FL.12</t>
        </is>
      </c>
      <c r="CX1" s="6" t="inlineStr">
        <is>
          <t>FU.2</t>
        </is>
      </c>
      <c r="CY1" s="6" t="inlineStr">
        <is>
          <t>FU.2.1</t>
        </is>
      </c>
      <c r="CZ1" s="6" t="inlineStr">
        <is>
          <t>FV.1</t>
        </is>
      </c>
      <c r="DA1" s="6" t="inlineStr">
        <is>
          <t>FY.2</t>
        </is>
      </c>
      <c r="DB1" s="6" t="inlineStr">
        <is>
          <t>FY.3</t>
        </is>
      </c>
      <c r="DC1" s="6" t="inlineStr">
        <is>
          <t>FY.3.1</t>
        </is>
      </c>
      <c r="DD1" s="6" t="inlineStr">
        <is>
          <t>GF.1</t>
        </is>
      </c>
      <c r="DE1" s="6" t="inlineStr">
        <is>
          <t>GJ.1</t>
        </is>
      </c>
      <c r="DF1" s="6" t="inlineStr">
        <is>
          <t>GJ.1.2</t>
        </is>
      </c>
      <c r="DG1" s="6" t="inlineStr">
        <is>
          <t>GJ.1.2.2</t>
        </is>
      </c>
      <c r="DH1" s="6" t="inlineStr">
        <is>
          <t>GJ.1.2.6</t>
        </is>
      </c>
      <c r="DI1" s="6" t="inlineStr">
        <is>
          <t>GJ.1.2.7</t>
        </is>
      </c>
      <c r="DJ1" s="6" t="inlineStr">
        <is>
          <t>GJ.2</t>
        </is>
      </c>
      <c r="DK1" s="6" t="inlineStr">
        <is>
          <t>GV.1</t>
        </is>
      </c>
      <c r="DL1" s="6" t="inlineStr">
        <is>
          <t>GW.5</t>
        </is>
      </c>
      <c r="DM1" s="6" t="inlineStr">
        <is>
          <t>HH.2</t>
        </is>
      </c>
      <c r="DN1" s="6" t="inlineStr">
        <is>
          <t>HK.3</t>
        </is>
      </c>
      <c r="DO1" s="6" t="inlineStr">
        <is>
          <t>JE.1</t>
        </is>
      </c>
      <c r="DP1" s="6" t="inlineStr">
        <is>
          <t>JE.1.1</t>
        </is>
      </c>
      <c r="DQ1" s="6" t="inlineStr">
        <is>
          <t>JN.1</t>
        </is>
      </c>
      <c r="DR1" s="6" t="inlineStr">
        <is>
          <t>JN.1.1</t>
        </is>
      </c>
      <c r="DS1" s="6" t="inlineStr">
        <is>
          <t>JN.1.1.1.5</t>
        </is>
      </c>
      <c r="DT1" s="6" t="inlineStr">
        <is>
          <t>JN.1.2</t>
        </is>
      </c>
      <c r="DU1" s="6" t="inlineStr">
        <is>
          <t>JN.1.4</t>
        </is>
      </c>
      <c r="DV1" s="6" t="inlineStr">
        <is>
          <t>JN.1.5</t>
        </is>
      </c>
      <c r="DW1" s="6" t="inlineStr">
        <is>
          <t>JN.1.11</t>
        </is>
      </c>
      <c r="DX1" s="6" t="inlineStr">
        <is>
          <t>JN.1.11.1</t>
        </is>
      </c>
      <c r="DY1" s="6" t="inlineStr">
        <is>
          <t>JN.1.16.1</t>
        </is>
      </c>
      <c r="DZ1" s="6" t="inlineStr">
        <is>
          <t>JN.1.18</t>
        </is>
      </c>
      <c r="EA1" s="6" t="inlineStr">
        <is>
          <t>JN.1.18.1</t>
        </is>
      </c>
      <c r="EB1" s="6" t="inlineStr">
        <is>
          <t>JN.1.18.2</t>
        </is>
      </c>
      <c r="EC1" s="6" t="inlineStr">
        <is>
          <t>KH.1</t>
        </is>
      </c>
      <c r="ED1" s="6" t="inlineStr">
        <is>
          <t>KP.1.1</t>
        </is>
      </c>
      <c r="EE1" s="6" t="inlineStr">
        <is>
          <t>KP.1.1.1</t>
        </is>
      </c>
      <c r="EF1" s="6" t="inlineStr">
        <is>
          <t>KP.1.1.3</t>
        </is>
      </c>
      <c r="EG1" s="6" t="inlineStr">
        <is>
          <t>KP.1.1.5</t>
        </is>
      </c>
      <c r="EH1" s="6" t="inlineStr">
        <is>
          <t>KP.1.2</t>
        </is>
      </c>
      <c r="EI1" s="6" t="inlineStr">
        <is>
          <t>KP.2</t>
        </is>
      </c>
      <c r="EJ1" s="6" t="inlineStr">
        <is>
          <t>KP.2.2</t>
        </is>
      </c>
      <c r="EK1" s="6" t="inlineStr">
        <is>
          <t>KP.2.3</t>
        </is>
      </c>
      <c r="EL1" s="6" t="inlineStr">
        <is>
          <t>KP.3</t>
        </is>
      </c>
      <c r="EM1" s="6" t="inlineStr">
        <is>
          <t>KP.3.1.1</t>
        </is>
      </c>
      <c r="EN1" s="6" t="inlineStr">
        <is>
          <t>KP.3.2</t>
        </is>
      </c>
      <c r="EO1" s="6" t="inlineStr">
        <is>
          <t>KP.3.2.2</t>
        </is>
      </c>
      <c r="EP1" s="6" t="inlineStr">
        <is>
          <t>KP.3.3</t>
        </is>
      </c>
      <c r="EQ1" s="6" t="inlineStr">
        <is>
          <t>KP.4</t>
        </is>
      </c>
      <c r="ER1" s="6" t="inlineStr">
        <is>
          <t>KP.4.1</t>
        </is>
      </c>
      <c r="ES1" s="6" t="inlineStr">
        <is>
          <t>KP.4.1.3</t>
        </is>
      </c>
      <c r="ET1" s="6" t="inlineStr">
        <is>
          <t>KR.1</t>
        </is>
      </c>
      <c r="EU1" s="6" t="inlineStr">
        <is>
          <t>KR.1.1</t>
        </is>
      </c>
      <c r="EV1" s="6" t="inlineStr">
        <is>
          <t>KR.1.2</t>
        </is>
      </c>
      <c r="EW1" s="6" t="inlineStr">
        <is>
          <t>KS.1</t>
        </is>
      </c>
      <c r="EX1" s="6" t="inlineStr">
        <is>
          <t>KS.1.1</t>
        </is>
      </c>
      <c r="EY1" s="6" t="inlineStr">
        <is>
          <t>KU.2</t>
        </is>
      </c>
      <c r="EZ1" s="6" t="inlineStr">
        <is>
          <t>LA.1</t>
        </is>
      </c>
      <c r="FA1" s="6" t="inlineStr">
        <is>
          <t>LB.1</t>
        </is>
      </c>
      <c r="FB1" s="6" t="inlineStr">
        <is>
          <t>LB.1.3</t>
        </is>
      </c>
      <c r="FC1" s="6" t="inlineStr">
        <is>
          <t>LB.1.4</t>
        </is>
      </c>
      <c r="FD1" s="6" t="inlineStr">
        <is>
          <t>LQ.1.1</t>
        </is>
      </c>
      <c r="FE1" s="6" t="inlineStr">
        <is>
          <t>XBB</t>
        </is>
      </c>
      <c r="FF1" s="6" t="inlineStr">
        <is>
          <t>XBB.1</t>
        </is>
      </c>
      <c r="FG1" s="6" t="inlineStr">
        <is>
          <t>XBB.1.2</t>
        </is>
      </c>
      <c r="FH1" s="6" t="inlineStr">
        <is>
          <t>XBB.1.5</t>
        </is>
      </c>
      <c r="FI1" s="6" t="inlineStr">
        <is>
          <t>XBB.1.5.15</t>
        </is>
      </c>
      <c r="FJ1" s="6" t="inlineStr">
        <is>
          <t>XBB.1.5.20</t>
        </is>
      </c>
      <c r="FK1" s="6" t="inlineStr">
        <is>
          <t>XBB.1.5.24</t>
        </is>
      </c>
      <c r="FL1" s="6" t="inlineStr">
        <is>
          <t>XBB.1.5.28</t>
        </is>
      </c>
      <c r="FM1" s="6" t="inlineStr">
        <is>
          <t>XBB.1.5.37</t>
        </is>
      </c>
      <c r="FN1" s="6" t="inlineStr">
        <is>
          <t>XBB.1.5.39</t>
        </is>
      </c>
      <c r="FO1" s="6" t="inlineStr">
        <is>
          <t>XBB.1.5.48</t>
        </is>
      </c>
      <c r="FP1" s="6" t="inlineStr">
        <is>
          <t>XBB.1.5.51</t>
        </is>
      </c>
      <c r="FQ1" s="6" t="inlineStr">
        <is>
          <t>XBB.1.5.89</t>
        </is>
      </c>
      <c r="FR1" s="6" t="inlineStr">
        <is>
          <t>XBB.1.6</t>
        </is>
      </c>
      <c r="FS1" s="6" t="inlineStr">
        <is>
          <t>XBB.1.6.2</t>
        </is>
      </c>
      <c r="FT1" s="6" t="inlineStr">
        <is>
          <t>XBB.1.6.9</t>
        </is>
      </c>
      <c r="FU1" s="6" t="inlineStr">
        <is>
          <t>XBB.1.9</t>
        </is>
      </c>
      <c r="FV1" s="6" t="inlineStr">
        <is>
          <t>XBB.1.9.1</t>
        </is>
      </c>
      <c r="FW1" s="6" t="inlineStr">
        <is>
          <t>XBB.1.9.2</t>
        </is>
      </c>
      <c r="FX1" s="6" t="inlineStr">
        <is>
          <t>XBB.1.16</t>
        </is>
      </c>
      <c r="FY1" s="6" t="inlineStr">
        <is>
          <t>XBB.1.16.1</t>
        </is>
      </c>
      <c r="FZ1" s="6" t="inlineStr">
        <is>
          <t>XBB.1.16.2</t>
        </is>
      </c>
      <c r="GA1" s="6" t="inlineStr">
        <is>
          <t>XBB.1.16.9</t>
        </is>
      </c>
      <c r="GB1" s="6" t="inlineStr">
        <is>
          <t>XBB.1.16.15</t>
        </is>
      </c>
      <c r="GC1" s="6" t="inlineStr">
        <is>
          <t>XBB.1.18.1</t>
        </is>
      </c>
      <c r="GD1" s="6" t="inlineStr">
        <is>
          <t>XBB.1.22.1</t>
        </is>
      </c>
      <c r="GE1" s="6" t="inlineStr">
        <is>
          <t>XBB.1.32</t>
        </is>
      </c>
      <c r="GF1" s="6" t="inlineStr">
        <is>
          <t>XBB.1.32.1</t>
        </is>
      </c>
      <c r="GG1" s="6" t="inlineStr">
        <is>
          <t>XBB.2.3</t>
        </is>
      </c>
      <c r="GH1" s="6" t="inlineStr">
        <is>
          <t>XBB.2.3.2.3</t>
        </is>
      </c>
      <c r="GI1" s="6" t="inlineStr">
        <is>
          <t>XBB.2.3.3</t>
        </is>
      </c>
      <c r="GJ1" s="6" t="inlineStr">
        <is>
          <t>XBB.2.3.5</t>
        </is>
      </c>
      <c r="GK1" s="6" t="inlineStr">
        <is>
          <t>XBB.2.3.8</t>
        </is>
      </c>
      <c r="GL1" s="6" t="inlineStr">
        <is>
          <t>XBB.3</t>
        </is>
      </c>
      <c r="GM1" s="6" t="inlineStr">
        <is>
          <t>XBB.5</t>
        </is>
      </c>
      <c r="GN1" s="6" t="inlineStr">
        <is>
          <t>XBC.1</t>
        </is>
      </c>
      <c r="GO1" s="6" t="inlineStr">
        <is>
          <t>XBJ</t>
        </is>
      </c>
      <c r="GP1" s="6" t="inlineStr">
        <is>
          <t>Total_Assigned</t>
        </is>
      </c>
      <c r="GQ1" s="6" t="inlineStr">
        <is>
          <t>No_Lineage</t>
        </is>
      </c>
      <c r="GR1" s="6" t="inlineStr">
        <is>
          <t>Total_Sequenced</t>
        </is>
      </c>
      <c r="GS1" s="6" t="inlineStr">
        <is>
          <t>Run_Note</t>
        </is>
      </c>
    </row>
    <row r="2">
      <c r="A2" s="7" t="n">
        <v>1</v>
      </c>
      <c r="B2" s="7" t="n"/>
      <c r="C2" s="7" t="n"/>
      <c r="D2" s="7" t="n"/>
      <c r="E2" s="7" t="n">
        <v>1</v>
      </c>
      <c r="F2" s="7" t="n">
        <v>2</v>
      </c>
      <c r="G2" s="7" t="n"/>
      <c r="H2" s="7" t="n">
        <v>1</v>
      </c>
      <c r="I2" s="7" t="n">
        <v>85</v>
      </c>
      <c r="J2" s="7" t="n"/>
      <c r="K2" s="7" t="n"/>
      <c r="L2" s="7" t="n"/>
      <c r="M2" s="7" t="n">
        <v>1</v>
      </c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>
        <f>SUM(B2:GO2)</f>
        <v/>
      </c>
      <c r="GQ2" s="7" t="n">
        <v>3</v>
      </c>
      <c r="GR2" s="7">
        <f>GP2+GQ2</f>
        <v/>
      </c>
      <c r="GS2" s="21" t="n"/>
    </row>
    <row r="3">
      <c r="A3" s="7" t="n">
        <v>4</v>
      </c>
      <c r="B3" s="7" t="n"/>
      <c r="C3" s="7" t="n"/>
      <c r="D3" s="7" t="n"/>
      <c r="E3" s="7" t="n"/>
      <c r="F3" s="7" t="n"/>
      <c r="G3" s="7" t="n"/>
      <c r="H3" s="7" t="n">
        <v>1</v>
      </c>
      <c r="I3" s="7" t="n">
        <v>85</v>
      </c>
      <c r="J3" s="7" t="n">
        <v>2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>
        <f>SUM(B3:GO3)</f>
        <v/>
      </c>
      <c r="GQ3" s="7" t="n">
        <v>2</v>
      </c>
      <c r="GR3" s="7">
        <f>GP3+GQ3</f>
        <v/>
      </c>
      <c r="GS3" s="21" t="n"/>
    </row>
    <row r="4">
      <c r="A4" s="7" t="n">
        <v>5</v>
      </c>
      <c r="B4" s="7" t="n"/>
      <c r="C4" s="7" t="n"/>
      <c r="D4" s="7" t="n"/>
      <c r="E4" s="7" t="n"/>
      <c r="F4" s="7" t="n"/>
      <c r="G4" s="7" t="n"/>
      <c r="H4" s="7" t="n"/>
      <c r="I4" s="7" t="n">
        <v>74</v>
      </c>
      <c r="J4" s="7" t="n"/>
      <c r="K4" s="7" t="n"/>
      <c r="L4" s="7" t="n"/>
      <c r="M4" s="7" t="n">
        <v>1</v>
      </c>
      <c r="N4" s="7" t="n">
        <v>2</v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>
        <f>SUM(B4:GO4)</f>
        <v/>
      </c>
      <c r="GQ4" s="7" t="n">
        <v>3</v>
      </c>
      <c r="GR4" s="7">
        <f>GP4+GQ4</f>
        <v/>
      </c>
      <c r="GS4" s="21" t="n"/>
    </row>
    <row r="5">
      <c r="A5" s="7" t="n">
        <v>7</v>
      </c>
      <c r="B5" s="7" t="n"/>
      <c r="C5" s="7" t="n"/>
      <c r="D5" s="7" t="n"/>
      <c r="E5" s="7" t="n"/>
      <c r="F5" s="7" t="n"/>
      <c r="G5" s="7" t="n"/>
      <c r="H5" s="7" t="n">
        <v>2</v>
      </c>
      <c r="I5" s="7" t="n">
        <v>65</v>
      </c>
      <c r="J5" s="7" t="n"/>
      <c r="K5" s="7" t="n"/>
      <c r="L5" s="7" t="n">
        <v>1</v>
      </c>
      <c r="M5" s="7" t="n"/>
      <c r="N5" s="7" t="n">
        <v>1</v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>
        <f>SUM(B5:GO5)</f>
        <v/>
      </c>
      <c r="GQ5" s="7" t="n">
        <v>15</v>
      </c>
      <c r="GR5" s="7">
        <f>GP5+GQ5</f>
        <v/>
      </c>
      <c r="GS5" s="21" t="n"/>
    </row>
    <row r="6">
      <c r="A6" s="7" t="n">
        <v>8</v>
      </c>
      <c r="B6" s="7" t="n"/>
      <c r="C6" s="7" t="n"/>
      <c r="D6" s="7" t="n"/>
      <c r="E6" s="7" t="n"/>
      <c r="F6" s="7" t="n"/>
      <c r="G6" s="7" t="n"/>
      <c r="H6" s="7" t="n"/>
      <c r="I6" s="7" t="n">
        <v>23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>
        <f>SUM(B6:GO6)</f>
        <v/>
      </c>
      <c r="GQ6" s="7" t="n">
        <v>3</v>
      </c>
      <c r="GR6" s="7">
        <f>GP6+GQ6</f>
        <v/>
      </c>
      <c r="GS6" s="21" t="n"/>
    </row>
    <row r="7">
      <c r="A7" s="7" t="n">
        <v>9</v>
      </c>
      <c r="B7" s="7" t="n"/>
      <c r="C7" s="7" t="n"/>
      <c r="D7" s="7" t="n"/>
      <c r="E7" s="7" t="n">
        <v>1</v>
      </c>
      <c r="F7" s="7" t="n"/>
      <c r="G7" s="7" t="n"/>
      <c r="H7" s="7" t="n"/>
      <c r="I7" s="7" t="n">
        <v>12</v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>
        <f>SUM(B7:GO7)</f>
        <v/>
      </c>
      <c r="GQ7" s="7" t="n">
        <v>5</v>
      </c>
      <c r="GR7" s="7">
        <f>GP7+GQ7</f>
        <v/>
      </c>
      <c r="GS7" s="21" t="n"/>
    </row>
    <row r="8">
      <c r="A8" s="7" t="n">
        <v>10</v>
      </c>
      <c r="B8" s="7" t="n"/>
      <c r="C8" s="7" t="n"/>
      <c r="D8" s="7" t="n"/>
      <c r="E8" s="7" t="n"/>
      <c r="F8" s="7" t="n"/>
      <c r="G8" s="7" t="n"/>
      <c r="H8" s="7" t="n">
        <v>1</v>
      </c>
      <c r="I8" s="7" t="n">
        <v>7</v>
      </c>
      <c r="J8" s="7" t="n"/>
      <c r="K8" s="7" t="n"/>
      <c r="L8" s="7" t="n"/>
      <c r="M8" s="7" t="n"/>
      <c r="N8" s="7" t="n"/>
      <c r="O8" s="7" t="n"/>
      <c r="P8" s="7" t="n">
        <v>1</v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>
        <f>SUM(B8:GO8)</f>
        <v/>
      </c>
      <c r="GQ8" s="7" t="n">
        <v>3</v>
      </c>
      <c r="GR8" s="7">
        <f>GP8+GQ8</f>
        <v/>
      </c>
      <c r="GS8" s="21" t="n"/>
    </row>
    <row r="9">
      <c r="A9" s="7" t="n">
        <v>11</v>
      </c>
      <c r="B9" s="7" t="n"/>
      <c r="C9" s="7" t="n"/>
      <c r="D9" s="7" t="n"/>
      <c r="E9" s="7" t="n"/>
      <c r="F9" s="7" t="n"/>
      <c r="G9" s="7" t="n"/>
      <c r="H9" s="7" t="n">
        <v>1</v>
      </c>
      <c r="I9" s="7" t="n">
        <v>12</v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>
        <f>SUM(B9:GO9)</f>
        <v/>
      </c>
      <c r="GQ9" s="7" t="n">
        <v>2</v>
      </c>
      <c r="GR9" s="7">
        <f>GP9+GQ9</f>
        <v/>
      </c>
      <c r="GS9" s="21" t="n"/>
    </row>
    <row r="10">
      <c r="A10" s="7" t="n">
        <v>12</v>
      </c>
      <c r="B10" s="7" t="n"/>
      <c r="C10" s="7" t="n"/>
      <c r="D10" s="7" t="n"/>
      <c r="E10" s="7" t="n"/>
      <c r="F10" s="7" t="n"/>
      <c r="G10" s="7" t="n"/>
      <c r="H10" s="7" t="n">
        <v>2</v>
      </c>
      <c r="I10" s="7" t="n">
        <v>2</v>
      </c>
      <c r="J10" s="7" t="n"/>
      <c r="K10" s="7" t="n">
        <v>1</v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>
        <f>SUM(B10:GO10)</f>
        <v/>
      </c>
      <c r="GQ10" s="7" t="n">
        <v>1</v>
      </c>
      <c r="GR10" s="7">
        <f>GP10+GQ10</f>
        <v/>
      </c>
      <c r="GS10" s="21" t="n"/>
    </row>
    <row r="11">
      <c r="A11" s="7" t="n">
        <v>13</v>
      </c>
      <c r="B11" s="7" t="n"/>
      <c r="C11" s="7" t="n"/>
      <c r="D11" s="7" t="n"/>
      <c r="E11" s="7" t="n"/>
      <c r="F11" s="7" t="n"/>
      <c r="G11" s="7" t="n"/>
      <c r="H11" s="7" t="n"/>
      <c r="I11" s="7" t="n">
        <v>9</v>
      </c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>
        <f>SUM(B11:GO11)</f>
        <v/>
      </c>
      <c r="GQ11" s="7" t="n">
        <v>0</v>
      </c>
      <c r="GR11" s="7">
        <f>GP11+GQ11</f>
        <v/>
      </c>
      <c r="GS11" s="21" t="n"/>
    </row>
    <row r="12">
      <c r="A12" s="7" t="n">
        <v>14</v>
      </c>
      <c r="B12" s="7" t="n"/>
      <c r="C12" s="7" t="n"/>
      <c r="D12" s="7" t="n"/>
      <c r="E12" s="7" t="n">
        <v>1</v>
      </c>
      <c r="F12" s="7" t="n"/>
      <c r="G12" s="7" t="n"/>
      <c r="H12" s="7" t="n"/>
      <c r="I12" s="7" t="n">
        <v>1</v>
      </c>
      <c r="J12" s="7" t="n"/>
      <c r="K12" s="7" t="n"/>
      <c r="L12" s="7" t="n"/>
      <c r="M12" s="7" t="n"/>
      <c r="N12" s="7" t="n"/>
      <c r="O12" s="7" t="n"/>
      <c r="P12" s="7" t="n">
        <v>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>
        <f>SUM(B12:GO12)</f>
        <v/>
      </c>
      <c r="GQ12" s="7" t="n">
        <v>2</v>
      </c>
      <c r="GR12" s="7">
        <f>GP12+GQ12</f>
        <v/>
      </c>
      <c r="GS12" s="21" t="n"/>
    </row>
    <row r="13">
      <c r="A13" s="7" t="n">
        <v>16</v>
      </c>
      <c r="B13" s="7" t="n"/>
      <c r="C13" s="7" t="n"/>
      <c r="D13" s="7" t="n"/>
      <c r="E13" s="7" t="n"/>
      <c r="F13" s="7" t="n"/>
      <c r="G13" s="7" t="n"/>
      <c r="H13" s="7" t="n"/>
      <c r="I13" s="7" t="n">
        <v>2</v>
      </c>
      <c r="J13" s="7" t="n"/>
      <c r="K13" s="7" t="n"/>
      <c r="L13" s="7" t="n"/>
      <c r="M13" s="7" t="n"/>
      <c r="N13" s="7" t="n"/>
      <c r="O13" s="7" t="n"/>
      <c r="P13" s="7" t="n"/>
      <c r="Q13" s="7" t="n">
        <v>7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>
        <f>SUM(B13:GO13)</f>
        <v/>
      </c>
      <c r="GQ13" s="7" t="n">
        <v>1</v>
      </c>
      <c r="GR13" s="7">
        <f>GP13+GQ13</f>
        <v/>
      </c>
      <c r="GS13" s="21" t="n"/>
    </row>
    <row r="14">
      <c r="A14" s="7" t="n">
        <v>18</v>
      </c>
      <c r="B14" s="7" t="n"/>
      <c r="C14" s="7" t="n"/>
      <c r="D14" s="7" t="n"/>
      <c r="E14" s="7" t="n"/>
      <c r="F14" s="7" t="n"/>
      <c r="G14" s="7" t="n"/>
      <c r="H14" s="7" t="n">
        <v>3</v>
      </c>
      <c r="I14" s="7" t="n">
        <v>3</v>
      </c>
      <c r="J14" s="7" t="n"/>
      <c r="K14" s="7" t="n"/>
      <c r="L14" s="7" t="n"/>
      <c r="M14" s="7" t="n"/>
      <c r="N14" s="7" t="n"/>
      <c r="O14" s="7" t="n"/>
      <c r="P14" s="7" t="n"/>
      <c r="Q14" s="7" t="n">
        <v>1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>
        <v>1</v>
      </c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>
        <f>SUM(B14:GO14)</f>
        <v/>
      </c>
      <c r="GQ14" s="7" t="n">
        <v>5</v>
      </c>
      <c r="GR14" s="7">
        <f>GP14+GQ14</f>
        <v/>
      </c>
      <c r="GS14" s="21" t="n"/>
    </row>
    <row r="15">
      <c r="A15" s="7" t="n">
        <v>19</v>
      </c>
      <c r="B15" s="7" t="n"/>
      <c r="C15" s="7" t="n"/>
      <c r="D15" s="7" t="n"/>
      <c r="E15" s="7" t="n"/>
      <c r="F15" s="7" t="n"/>
      <c r="G15" s="7" t="n"/>
      <c r="H15" s="7" t="n">
        <v>1</v>
      </c>
      <c r="I15" s="7" t="n">
        <v>11</v>
      </c>
      <c r="J15" s="7" t="n"/>
      <c r="K15" s="7" t="n"/>
      <c r="L15" s="7" t="n"/>
      <c r="M15" s="7" t="n"/>
      <c r="N15" s="7" t="n"/>
      <c r="O15" s="7" t="n"/>
      <c r="P15" s="7" t="n"/>
      <c r="Q15" s="7" t="n">
        <v>1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>
        <v>24</v>
      </c>
      <c r="AI15" s="7" t="n">
        <v>4</v>
      </c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>
        <f>SUM(B15:GO15)</f>
        <v/>
      </c>
      <c r="GQ15" s="7" t="n">
        <v>0</v>
      </c>
      <c r="GR15" s="7">
        <f>GP15+GQ15</f>
        <v/>
      </c>
      <c r="GS15" s="21" t="n"/>
    </row>
    <row r="16">
      <c r="A16" s="7" t="n">
        <v>20</v>
      </c>
      <c r="B16" s="7" t="n"/>
      <c r="C16" s="7" t="n"/>
      <c r="D16" s="7" t="n"/>
      <c r="E16" s="7" t="n">
        <v>1</v>
      </c>
      <c r="F16" s="7" t="n"/>
      <c r="G16" s="7" t="n"/>
      <c r="H16" s="7" t="n">
        <v>1</v>
      </c>
      <c r="I16" s="7" t="n">
        <v>3</v>
      </c>
      <c r="J16" s="7" t="n"/>
      <c r="K16" s="7" t="n"/>
      <c r="L16" s="7" t="n"/>
      <c r="M16" s="7" t="n"/>
      <c r="N16" s="7" t="n"/>
      <c r="O16" s="7" t="n"/>
      <c r="P16" s="7" t="n"/>
      <c r="Q16" s="7" t="n">
        <v>7</v>
      </c>
      <c r="R16" s="7" t="n"/>
      <c r="S16" s="7" t="n"/>
      <c r="T16" s="7" t="n">
        <v>1</v>
      </c>
      <c r="U16" s="7" t="n"/>
      <c r="V16" s="7" t="n"/>
      <c r="W16" s="7" t="n"/>
      <c r="X16" s="7" t="n"/>
      <c r="Y16" s="7" t="n"/>
      <c r="Z16" s="7" t="n">
        <v>1</v>
      </c>
      <c r="AA16" s="7" t="n"/>
      <c r="AB16" s="7" t="n"/>
      <c r="AC16" s="7" t="n"/>
      <c r="AD16" s="7" t="n"/>
      <c r="AE16" s="7" t="n"/>
      <c r="AF16" s="7" t="n"/>
      <c r="AG16" s="7" t="n"/>
      <c r="AH16" s="7" t="n">
        <v>34</v>
      </c>
      <c r="AI16" s="7" t="n">
        <v>1</v>
      </c>
      <c r="AJ16" s="7" t="n"/>
      <c r="AK16" s="7" t="n"/>
      <c r="AL16" s="7" t="n"/>
      <c r="AM16" s="7" t="n"/>
      <c r="AN16" s="7" t="n"/>
      <c r="AO16" s="7" t="n"/>
      <c r="AP16" s="7" t="n">
        <v>1</v>
      </c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>
        <v>1</v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>
        <f>SUM(B16:GO16)</f>
        <v/>
      </c>
      <c r="GQ16" s="7" t="n">
        <v>6</v>
      </c>
      <c r="GR16" s="7">
        <f>GP16+GQ16</f>
        <v/>
      </c>
      <c r="GS16" s="21" t="n"/>
    </row>
    <row r="17">
      <c r="A17" s="7" t="n">
        <v>21</v>
      </c>
      <c r="B17" s="7" t="n"/>
      <c r="C17" s="7" t="n"/>
      <c r="D17" s="7" t="n"/>
      <c r="E17" s="7" t="n"/>
      <c r="F17" s="7" t="n"/>
      <c r="G17" s="7" t="n"/>
      <c r="H17" s="7" t="n">
        <v>1</v>
      </c>
      <c r="I17" s="7" t="n">
        <v>2</v>
      </c>
      <c r="J17" s="7" t="n"/>
      <c r="K17" s="7" t="n"/>
      <c r="L17" s="7" t="n"/>
      <c r="M17" s="7" t="n"/>
      <c r="N17" s="7" t="n"/>
      <c r="O17" s="7" t="n"/>
      <c r="P17" s="7" t="n"/>
      <c r="Q17" s="7" t="n">
        <v>4</v>
      </c>
      <c r="R17" s="7" t="n"/>
      <c r="S17" s="7" t="n"/>
      <c r="T17" s="7" t="n"/>
      <c r="U17" s="7" t="n">
        <v>1</v>
      </c>
      <c r="V17" s="7" t="n"/>
      <c r="W17" s="7" t="n"/>
      <c r="X17" s="7" t="n"/>
      <c r="Y17" s="7" t="n"/>
      <c r="Z17" s="7" t="n"/>
      <c r="AA17" s="7" t="n"/>
      <c r="AB17" s="7" t="n"/>
      <c r="AC17" s="7" t="n">
        <v>6</v>
      </c>
      <c r="AD17" s="7" t="n"/>
      <c r="AE17" s="7" t="n"/>
      <c r="AF17" s="7" t="n"/>
      <c r="AG17" s="7" t="n"/>
      <c r="AH17" s="7" t="n">
        <v>82</v>
      </c>
      <c r="AI17" s="7" t="n">
        <v>2</v>
      </c>
      <c r="AJ17" s="7" t="n"/>
      <c r="AK17" s="7" t="n"/>
      <c r="AL17" s="7" t="n"/>
      <c r="AM17" s="7" t="n"/>
      <c r="AN17" s="7" t="n">
        <v>3</v>
      </c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>
        <v>4</v>
      </c>
      <c r="AX17" s="7" t="n"/>
      <c r="AY17" s="7" t="n">
        <v>2</v>
      </c>
      <c r="AZ17" s="7" t="n"/>
      <c r="BA17" s="7" t="n"/>
      <c r="BB17" s="7" t="n"/>
      <c r="BC17" s="7" t="n"/>
      <c r="BD17" s="7" t="n">
        <v>1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>
        <f>SUM(B17:GO17)</f>
        <v/>
      </c>
      <c r="GQ17" s="7" t="n">
        <v>21</v>
      </c>
      <c r="GR17" s="7">
        <f>GP17+GQ17</f>
        <v/>
      </c>
      <c r="GS17" s="21" t="n"/>
    </row>
    <row r="18">
      <c r="A18" s="7" t="n">
        <v>22</v>
      </c>
      <c r="B18" s="7" t="n"/>
      <c r="C18" s="7" t="n"/>
      <c r="D18" s="7" t="n"/>
      <c r="E18" s="7" t="n"/>
      <c r="F18" s="7" t="n"/>
      <c r="G18" s="7" t="n"/>
      <c r="H18" s="7" t="n">
        <v>4</v>
      </c>
      <c r="I18" s="7" t="n">
        <v>1</v>
      </c>
      <c r="J18" s="7" t="n"/>
      <c r="K18" s="7" t="n"/>
      <c r="L18" s="7" t="n"/>
      <c r="M18" s="7" t="n"/>
      <c r="N18" s="7" t="n"/>
      <c r="O18" s="7" t="n"/>
      <c r="P18" s="7" t="n"/>
      <c r="Q18" s="7" t="n">
        <v>7</v>
      </c>
      <c r="R18" s="7" t="n">
        <v>2</v>
      </c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>
        <v>1</v>
      </c>
      <c r="AD18" s="7" t="n"/>
      <c r="AE18" s="7" t="n"/>
      <c r="AF18" s="7" t="n">
        <v>1</v>
      </c>
      <c r="AG18" s="7" t="n">
        <v>1</v>
      </c>
      <c r="AH18" s="7" t="n">
        <v>50</v>
      </c>
      <c r="AI18" s="7" t="n">
        <v>4</v>
      </c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>
        <v>1</v>
      </c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>
        <f>SUM(B18:GO18)</f>
        <v/>
      </c>
      <c r="GQ18" s="7" t="n">
        <v>80</v>
      </c>
      <c r="GR18" s="7">
        <f>GP18+GQ18</f>
        <v/>
      </c>
      <c r="GS18" s="21" t="n"/>
    </row>
    <row r="19">
      <c r="A19" s="7" t="n">
        <v>23</v>
      </c>
      <c r="B19" s="7" t="n"/>
      <c r="C19" s="7" t="n"/>
      <c r="D19" s="7" t="n"/>
      <c r="E19" s="7" t="n"/>
      <c r="F19" s="7" t="n"/>
      <c r="G19" s="7" t="n"/>
      <c r="H19" s="7" t="n"/>
      <c r="I19" s="7" t="n">
        <v>2</v>
      </c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>
        <v>1</v>
      </c>
      <c r="AD19" s="7" t="n"/>
      <c r="AE19" s="7" t="n"/>
      <c r="AF19" s="7" t="n"/>
      <c r="AG19" s="7" t="n"/>
      <c r="AH19" s="7" t="n">
        <v>65</v>
      </c>
      <c r="AI19" s="7" t="n">
        <v>4</v>
      </c>
      <c r="AJ19" s="7" t="n"/>
      <c r="AK19" s="7" t="n">
        <v>1</v>
      </c>
      <c r="AL19" s="7" t="n"/>
      <c r="AM19" s="7" t="n"/>
      <c r="AN19" s="7" t="n">
        <v>1</v>
      </c>
      <c r="AO19" s="7" t="n">
        <v>1</v>
      </c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>
        <v>1</v>
      </c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>
        <f>SUM(B19:GO19)</f>
        <v/>
      </c>
      <c r="GQ19" s="7" t="n">
        <v>4</v>
      </c>
      <c r="GR19" s="7">
        <f>GP19+GQ19</f>
        <v/>
      </c>
      <c r="GS19" s="21" t="n"/>
    </row>
    <row r="20">
      <c r="A20" s="7" t="n">
        <v>24</v>
      </c>
      <c r="B20" s="7" t="n"/>
      <c r="C20" s="7" t="n"/>
      <c r="D20" s="7" t="n"/>
      <c r="E20" s="7" t="n"/>
      <c r="F20" s="7" t="n"/>
      <c r="G20" s="7" t="n"/>
      <c r="H20" s="7" t="n"/>
      <c r="I20" s="7" t="n">
        <v>9</v>
      </c>
      <c r="J20" s="7" t="n"/>
      <c r="K20" s="7" t="n"/>
      <c r="L20" s="7" t="n"/>
      <c r="M20" s="7" t="n"/>
      <c r="N20" s="7" t="n"/>
      <c r="O20" s="7" t="n"/>
      <c r="P20" s="7" t="n"/>
      <c r="Q20" s="7" t="n">
        <v>1</v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>
        <v>7</v>
      </c>
      <c r="AA20" s="7" t="n"/>
      <c r="AB20" s="7" t="n">
        <v>5</v>
      </c>
      <c r="AC20" s="7" t="n"/>
      <c r="AD20" s="7" t="n"/>
      <c r="AE20" s="7" t="n"/>
      <c r="AF20" s="7" t="n"/>
      <c r="AG20" s="7" t="n"/>
      <c r="AH20" s="7" t="n">
        <v>213</v>
      </c>
      <c r="AI20" s="7" t="n">
        <v>11</v>
      </c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>
        <v>2</v>
      </c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>
        <f>SUM(B20:GO20)</f>
        <v/>
      </c>
      <c r="GQ20" s="7" t="n">
        <v>9</v>
      </c>
      <c r="GR20" s="7">
        <f>GP20+GQ20</f>
        <v/>
      </c>
      <c r="GS20" s="21" t="n"/>
    </row>
    <row r="21">
      <c r="A21" s="7" t="n">
        <v>25</v>
      </c>
      <c r="B21" s="7" t="n"/>
      <c r="C21" s="7" t="n"/>
      <c r="D21" s="7" t="n"/>
      <c r="E21" s="7" t="n"/>
      <c r="F21" s="7" t="n"/>
      <c r="G21" s="7" t="n"/>
      <c r="H21" s="7" t="n"/>
      <c r="I21" s="7" t="n">
        <v>6</v>
      </c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>
        <v>1</v>
      </c>
      <c r="W21" s="7" t="n"/>
      <c r="X21" s="7" t="n"/>
      <c r="Y21" s="7" t="n"/>
      <c r="Z21" s="7" t="n"/>
      <c r="AA21" s="7" t="n"/>
      <c r="AB21" s="7" t="n"/>
      <c r="AC21" s="7" t="n">
        <v>4</v>
      </c>
      <c r="AD21" s="7" t="n"/>
      <c r="AE21" s="7" t="n"/>
      <c r="AF21" s="7" t="n"/>
      <c r="AG21" s="7" t="n">
        <v>1</v>
      </c>
      <c r="AH21" s="7" t="n">
        <v>225</v>
      </c>
      <c r="AI21" s="7" t="n">
        <v>7</v>
      </c>
      <c r="AJ21" s="7" t="n"/>
      <c r="AK21" s="7" t="n"/>
      <c r="AL21" s="7" t="n"/>
      <c r="AM21" s="7" t="n"/>
      <c r="AN21" s="7" t="n"/>
      <c r="AO21" s="7" t="n">
        <v>1</v>
      </c>
      <c r="AP21" s="7" t="n">
        <v>1</v>
      </c>
      <c r="AQ21" s="7" t="n"/>
      <c r="AR21" s="7" t="n"/>
      <c r="AS21" s="7" t="n">
        <v>1</v>
      </c>
      <c r="AT21" s="7" t="n">
        <v>1</v>
      </c>
      <c r="AU21" s="7" t="n"/>
      <c r="AV21" s="7" t="n"/>
      <c r="AW21" s="7" t="n"/>
      <c r="AX21" s="7" t="n"/>
      <c r="AY21" s="7" t="n">
        <v>3</v>
      </c>
      <c r="AZ21" s="7" t="n">
        <v>2</v>
      </c>
      <c r="BA21" s="7" t="n"/>
      <c r="BB21" s="7" t="n"/>
      <c r="BC21" s="7" t="n"/>
      <c r="BD21" s="7" t="n"/>
      <c r="BE21" s="7" t="n">
        <v>3</v>
      </c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>
        <f>SUM(B21:GO21)</f>
        <v/>
      </c>
      <c r="GQ21" s="7" t="n">
        <v>7</v>
      </c>
      <c r="GR21" s="7">
        <f>GP21+GQ21</f>
        <v/>
      </c>
      <c r="GS21" s="21" t="n"/>
    </row>
    <row r="22">
      <c r="A22" s="7" t="n">
        <v>26</v>
      </c>
      <c r="B22" s="7" t="n"/>
      <c r="C22" s="7" t="n"/>
      <c r="D22" s="7" t="n"/>
      <c r="E22" s="7" t="n"/>
      <c r="F22" s="7" t="n"/>
      <c r="G22" s="7" t="n"/>
      <c r="H22" s="7" t="n"/>
      <c r="I22" s="7" t="n">
        <v>10</v>
      </c>
      <c r="J22" s="7" t="n"/>
      <c r="K22" s="7" t="n"/>
      <c r="L22" s="7" t="n"/>
      <c r="M22" s="7" t="n"/>
      <c r="N22" s="7" t="n"/>
      <c r="O22" s="7" t="n"/>
      <c r="P22" s="7" t="n"/>
      <c r="Q22" s="7" t="n">
        <v>2</v>
      </c>
      <c r="R22" s="7" t="n"/>
      <c r="S22" s="7" t="n"/>
      <c r="T22" s="7" t="n">
        <v>1</v>
      </c>
      <c r="U22" s="7" t="n"/>
      <c r="V22" s="7" t="n">
        <v>2</v>
      </c>
      <c r="W22" s="7" t="n"/>
      <c r="X22" s="7" t="n"/>
      <c r="Y22" s="7" t="n"/>
      <c r="Z22" s="7" t="n">
        <v>3</v>
      </c>
      <c r="AA22" s="7" t="n"/>
      <c r="AB22" s="7" t="n"/>
      <c r="AC22" s="7" t="n">
        <v>3</v>
      </c>
      <c r="AD22" s="7" t="n"/>
      <c r="AE22" s="7" t="n">
        <v>2</v>
      </c>
      <c r="AF22" s="7" t="n">
        <v>2</v>
      </c>
      <c r="AG22" s="7" t="n">
        <v>3</v>
      </c>
      <c r="AH22" s="7" t="n">
        <v>268</v>
      </c>
      <c r="AI22" s="7" t="n">
        <v>2</v>
      </c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>
        <v>2</v>
      </c>
      <c r="AT22" s="7" t="n">
        <v>3</v>
      </c>
      <c r="AU22" s="7" t="n"/>
      <c r="AV22" s="7" t="n"/>
      <c r="AW22" s="7" t="n"/>
      <c r="AX22" s="7" t="n">
        <v>1</v>
      </c>
      <c r="AY22" s="7" t="n">
        <v>4</v>
      </c>
      <c r="AZ22" s="7" t="n">
        <v>8</v>
      </c>
      <c r="BA22" s="7" t="n"/>
      <c r="BB22" s="7" t="n"/>
      <c r="BC22" s="7" t="n"/>
      <c r="BD22" s="7" t="n"/>
      <c r="BE22" s="7" t="n"/>
      <c r="BF22" s="7" t="n"/>
      <c r="BG22" s="7" t="n"/>
      <c r="BH22" s="7" t="n">
        <v>1</v>
      </c>
      <c r="BI22" s="7" t="n"/>
      <c r="BJ22" s="7" t="n">
        <v>1</v>
      </c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>
        <f>SUM(B22:GO22)</f>
        <v/>
      </c>
      <c r="GQ22" s="7" t="n">
        <v>4</v>
      </c>
      <c r="GR22" s="7">
        <f>GP22+GQ22</f>
        <v/>
      </c>
      <c r="GS22" s="21" t="n"/>
    </row>
    <row r="23">
      <c r="A23" s="7" t="n">
        <v>27</v>
      </c>
      <c r="B23" s="7" t="n"/>
      <c r="C23" s="7" t="n">
        <v>1</v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>
        <v>1</v>
      </c>
      <c r="N23" s="7" t="n"/>
      <c r="O23" s="7" t="n"/>
      <c r="P23" s="7" t="n"/>
      <c r="Q23" s="7" t="n">
        <v>1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>
        <v>2</v>
      </c>
      <c r="AA23" s="7" t="n"/>
      <c r="AB23" s="7" t="n"/>
      <c r="AC23" s="7" t="n"/>
      <c r="AD23" s="7" t="n"/>
      <c r="AE23" s="7" t="n"/>
      <c r="AF23" s="7" t="n"/>
      <c r="AG23" s="7" t="n">
        <v>2</v>
      </c>
      <c r="AH23" s="7" t="n">
        <v>233</v>
      </c>
      <c r="AI23" s="7" t="n">
        <v>9</v>
      </c>
      <c r="AJ23" s="7" t="n"/>
      <c r="AK23" s="7" t="n">
        <v>1</v>
      </c>
      <c r="AL23" s="7" t="n"/>
      <c r="AM23" s="7" t="n"/>
      <c r="AN23" s="7" t="n"/>
      <c r="AO23" s="7" t="n"/>
      <c r="AP23" s="7" t="n">
        <v>2</v>
      </c>
      <c r="AQ23" s="7" t="n"/>
      <c r="AR23" s="7" t="n"/>
      <c r="AS23" s="7" t="n">
        <v>5</v>
      </c>
      <c r="AT23" s="7" t="n">
        <v>5</v>
      </c>
      <c r="AU23" s="7" t="n"/>
      <c r="AV23" s="7" t="n"/>
      <c r="AW23" s="7" t="n"/>
      <c r="AX23" s="7" t="n">
        <v>1</v>
      </c>
      <c r="AY23" s="7" t="n"/>
      <c r="AZ23" s="7" t="n">
        <v>5</v>
      </c>
      <c r="BA23" s="7" t="n"/>
      <c r="BB23" s="7" t="n"/>
      <c r="BC23" s="7" t="n"/>
      <c r="BD23" s="7" t="n"/>
      <c r="BE23" s="7" t="n">
        <v>3</v>
      </c>
      <c r="BF23" s="7" t="n"/>
      <c r="BG23" s="7" t="n">
        <v>1</v>
      </c>
      <c r="BH23" s="7" t="n"/>
      <c r="BI23" s="7" t="n"/>
      <c r="BJ23" s="7" t="n"/>
      <c r="BK23" s="7" t="n"/>
      <c r="BL23" s="7" t="n">
        <v>2</v>
      </c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>
        <f>SUM(B23:GO23)</f>
        <v/>
      </c>
      <c r="GQ23" s="7" t="n">
        <v>4</v>
      </c>
      <c r="GR23" s="7">
        <f>GP23+GQ23</f>
        <v/>
      </c>
      <c r="GS23" s="21" t="n"/>
    </row>
    <row r="24">
      <c r="A24" s="7" t="n">
        <v>28</v>
      </c>
      <c r="B24" s="7" t="n"/>
      <c r="C24" s="7" t="n"/>
      <c r="D24" s="7" t="n"/>
      <c r="E24" s="7" t="n"/>
      <c r="F24" s="7" t="n"/>
      <c r="G24" s="7" t="n"/>
      <c r="H24" s="7" t="n"/>
      <c r="I24" s="7" t="n">
        <v>2</v>
      </c>
      <c r="J24" s="7" t="n"/>
      <c r="K24" s="7" t="n"/>
      <c r="L24" s="7" t="n"/>
      <c r="M24" s="7" t="n"/>
      <c r="N24" s="7" t="n"/>
      <c r="O24" s="7" t="n">
        <v>1</v>
      </c>
      <c r="P24" s="7" t="n"/>
      <c r="Q24" s="7" t="n"/>
      <c r="R24" s="7" t="n"/>
      <c r="S24" s="7" t="n"/>
      <c r="T24" s="7" t="n"/>
      <c r="U24" s="7" t="n"/>
      <c r="V24" s="7" t="n"/>
      <c r="W24" s="7" t="n">
        <v>2</v>
      </c>
      <c r="X24" s="7" t="n"/>
      <c r="Y24" s="7" t="n"/>
      <c r="Z24" s="7" t="n">
        <v>2</v>
      </c>
      <c r="AA24" s="7" t="n">
        <v>1</v>
      </c>
      <c r="AB24" s="7" t="n">
        <v>1</v>
      </c>
      <c r="AC24" s="7" t="n"/>
      <c r="AD24" s="7" t="n"/>
      <c r="AE24" s="7" t="n">
        <v>1</v>
      </c>
      <c r="AF24" s="7" t="n">
        <v>1</v>
      </c>
      <c r="AG24" s="7" t="n">
        <v>10</v>
      </c>
      <c r="AH24" s="7" t="n">
        <v>286</v>
      </c>
      <c r="AI24" s="7" t="n">
        <v>11</v>
      </c>
      <c r="AJ24" s="7" t="n">
        <v>1</v>
      </c>
      <c r="AK24" s="7" t="n"/>
      <c r="AL24" s="7" t="n"/>
      <c r="AM24" s="7" t="n"/>
      <c r="AN24" s="7" t="n"/>
      <c r="AO24" s="7" t="n"/>
      <c r="AP24" s="7" t="n">
        <v>1</v>
      </c>
      <c r="AQ24" s="7" t="n"/>
      <c r="AR24" s="7" t="n"/>
      <c r="AS24" s="7" t="n">
        <v>4</v>
      </c>
      <c r="AT24" s="7" t="n">
        <v>1</v>
      </c>
      <c r="AU24" s="7" t="n">
        <v>1</v>
      </c>
      <c r="AV24" s="7" t="n"/>
      <c r="AW24" s="7" t="n"/>
      <c r="AX24" s="7" t="n"/>
      <c r="AY24" s="7" t="n">
        <v>1</v>
      </c>
      <c r="AZ24" s="7" t="n">
        <v>16</v>
      </c>
      <c r="BA24" s="7" t="n">
        <v>1</v>
      </c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>
        <f>SUM(B24:GO24)</f>
        <v/>
      </c>
      <c r="GQ24" s="7" t="n">
        <v>7</v>
      </c>
      <c r="GR24" s="7">
        <f>GP24+GQ24</f>
        <v/>
      </c>
      <c r="GS24" s="21" t="n"/>
    </row>
    <row r="25">
      <c r="A25" s="7" t="n">
        <v>29</v>
      </c>
      <c r="B25" s="7" t="n"/>
      <c r="C25" s="7" t="n">
        <v>1</v>
      </c>
      <c r="D25" s="7" t="n"/>
      <c r="E25" s="7" t="n"/>
      <c r="F25" s="7" t="n"/>
      <c r="G25" s="7" t="n"/>
      <c r="H25" s="7" t="n"/>
      <c r="I25" s="7" t="n">
        <v>1</v>
      </c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>
        <v>2</v>
      </c>
      <c r="W25" s="7" t="n">
        <v>1</v>
      </c>
      <c r="X25" s="7" t="n"/>
      <c r="Y25" s="7" t="n">
        <v>1</v>
      </c>
      <c r="Z25" s="7" t="n"/>
      <c r="AA25" s="7" t="n"/>
      <c r="AB25" s="7" t="n"/>
      <c r="AC25" s="7" t="n">
        <v>4</v>
      </c>
      <c r="AD25" s="7" t="n"/>
      <c r="AE25" s="7" t="n"/>
      <c r="AF25" s="7" t="n">
        <v>1</v>
      </c>
      <c r="AG25" s="7" t="n">
        <v>7</v>
      </c>
      <c r="AH25" s="7" t="n">
        <v>252</v>
      </c>
      <c r="AI25" s="7" t="n">
        <v>14</v>
      </c>
      <c r="AJ25" s="7" t="n">
        <v>1</v>
      </c>
      <c r="AK25" s="7" t="n"/>
      <c r="AL25" s="7" t="n"/>
      <c r="AM25" s="7" t="n">
        <v>2</v>
      </c>
      <c r="AN25" s="7" t="n"/>
      <c r="AO25" s="7" t="n"/>
      <c r="AP25" s="7" t="n">
        <v>1</v>
      </c>
      <c r="AQ25" s="7" t="n"/>
      <c r="AR25" s="7" t="n"/>
      <c r="AS25" s="7" t="n">
        <v>1</v>
      </c>
      <c r="AT25" s="7" t="n"/>
      <c r="AU25" s="7" t="n"/>
      <c r="AV25" s="7" t="n"/>
      <c r="AW25" s="7" t="n"/>
      <c r="AX25" s="7" t="n">
        <v>1</v>
      </c>
      <c r="AY25" s="7" t="n">
        <v>3</v>
      </c>
      <c r="AZ25" s="7" t="n">
        <v>8</v>
      </c>
      <c r="BA25" s="7" t="n"/>
      <c r="BB25" s="7" t="n">
        <v>1</v>
      </c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>
        <f>SUM(B25:GO25)</f>
        <v/>
      </c>
      <c r="GQ25" s="7" t="n">
        <v>6</v>
      </c>
      <c r="GR25" s="7">
        <f>GP25+GQ25</f>
        <v/>
      </c>
      <c r="GS25" s="21" t="n"/>
    </row>
    <row r="26">
      <c r="A26" s="7" t="n">
        <v>30</v>
      </c>
      <c r="B26" s="7" t="n"/>
      <c r="C26" s="7" t="n"/>
      <c r="D26" s="7" t="n"/>
      <c r="E26" s="7" t="n"/>
      <c r="F26" s="7" t="n"/>
      <c r="G26" s="7" t="n"/>
      <c r="H26" s="7" t="n">
        <v>2</v>
      </c>
      <c r="I26" s="7" t="n">
        <v>1</v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>
        <v>1</v>
      </c>
      <c r="T26" s="7" t="n"/>
      <c r="U26" s="7" t="n"/>
      <c r="V26" s="7" t="n">
        <v>2</v>
      </c>
      <c r="W26" s="7" t="n">
        <v>1</v>
      </c>
      <c r="X26" s="7" t="n"/>
      <c r="Y26" s="7" t="n"/>
      <c r="Z26" s="7" t="n">
        <v>1</v>
      </c>
      <c r="AA26" s="7" t="n"/>
      <c r="AB26" s="7" t="n"/>
      <c r="AC26" s="7" t="n">
        <v>2</v>
      </c>
      <c r="AD26" s="7" t="n">
        <v>1</v>
      </c>
      <c r="AE26" s="7" t="n"/>
      <c r="AF26" s="7" t="n">
        <v>1</v>
      </c>
      <c r="AG26" s="7" t="n">
        <v>2</v>
      </c>
      <c r="AH26" s="7" t="n">
        <v>174</v>
      </c>
      <c r="AI26" s="7" t="n">
        <v>3</v>
      </c>
      <c r="AJ26" s="7" t="n">
        <v>5</v>
      </c>
      <c r="AK26" s="7" t="n"/>
      <c r="AL26" s="7" t="n"/>
      <c r="AM26" s="7" t="n">
        <v>1</v>
      </c>
      <c r="AN26" s="7" t="n"/>
      <c r="AO26" s="7" t="n">
        <v>1</v>
      </c>
      <c r="AP26" s="7" t="n">
        <v>3</v>
      </c>
      <c r="AQ26" s="7" t="n"/>
      <c r="AR26" s="7" t="n"/>
      <c r="AS26" s="7" t="n">
        <v>10</v>
      </c>
      <c r="AT26" s="7" t="n"/>
      <c r="AU26" s="7" t="n">
        <v>1</v>
      </c>
      <c r="AV26" s="7" t="n"/>
      <c r="AW26" s="7" t="n"/>
      <c r="AX26" s="7" t="n"/>
      <c r="AY26" s="7" t="n"/>
      <c r="AZ26" s="7" t="n">
        <v>2</v>
      </c>
      <c r="BA26" s="7" t="n">
        <v>1</v>
      </c>
      <c r="BB26" s="7" t="n"/>
      <c r="BC26" s="7" t="n"/>
      <c r="BD26" s="7" t="n"/>
      <c r="BE26" s="7" t="n"/>
      <c r="BF26" s="7" t="n"/>
      <c r="BG26" s="7" t="n"/>
      <c r="BH26" s="7" t="n">
        <v>1</v>
      </c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>
        <f>SUM(B26:GO26)</f>
        <v/>
      </c>
      <c r="GQ26" s="7" t="n">
        <v>13</v>
      </c>
      <c r="GR26" s="7">
        <f>GP26+GQ26</f>
        <v/>
      </c>
      <c r="GS26" s="21" t="n"/>
    </row>
    <row r="27">
      <c r="A27" s="7" t="n">
        <v>31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>
        <v>1</v>
      </c>
      <c r="P27" s="7" t="n"/>
      <c r="Q27" s="7" t="n"/>
      <c r="R27" s="7" t="n"/>
      <c r="S27" s="7" t="n"/>
      <c r="T27" s="7" t="n"/>
      <c r="U27" s="7" t="n"/>
      <c r="V27" s="7" t="n"/>
      <c r="W27" s="7" t="n">
        <v>2</v>
      </c>
      <c r="X27" s="7" t="n"/>
      <c r="Y27" s="7" t="n"/>
      <c r="Z27" s="7" t="n"/>
      <c r="AA27" s="7" t="n"/>
      <c r="AB27" s="7" t="n"/>
      <c r="AC27" s="7" t="n">
        <v>5</v>
      </c>
      <c r="AD27" s="7" t="n"/>
      <c r="AE27" s="7" t="n"/>
      <c r="AF27" s="7" t="n"/>
      <c r="AG27" s="7" t="n">
        <v>10</v>
      </c>
      <c r="AH27" s="7" t="n">
        <v>160</v>
      </c>
      <c r="AI27" s="7" t="n">
        <v>9</v>
      </c>
      <c r="AJ27" s="7" t="n"/>
      <c r="AK27" s="7" t="n"/>
      <c r="AL27" s="7" t="n"/>
      <c r="AM27" s="7" t="n">
        <v>1</v>
      </c>
      <c r="AN27" s="7" t="n"/>
      <c r="AO27" s="7" t="n"/>
      <c r="AP27" s="7" t="n">
        <v>3</v>
      </c>
      <c r="AQ27" s="7" t="n">
        <v>1</v>
      </c>
      <c r="AR27" s="7" t="n"/>
      <c r="AS27" s="7" t="n">
        <v>3</v>
      </c>
      <c r="AT27" s="7" t="n"/>
      <c r="AU27" s="7" t="n"/>
      <c r="AV27" s="7" t="n"/>
      <c r="AW27" s="7" t="n"/>
      <c r="AX27" s="7" t="n"/>
      <c r="AY27" s="7" t="n"/>
      <c r="AZ27" s="7" t="n">
        <v>15</v>
      </c>
      <c r="BA27" s="7" t="n"/>
      <c r="BB27" s="7" t="n">
        <v>1</v>
      </c>
      <c r="BC27" s="7" t="n">
        <v>3</v>
      </c>
      <c r="BD27" s="7" t="n"/>
      <c r="BE27" s="7" t="n"/>
      <c r="BF27" s="7" t="n"/>
      <c r="BG27" s="7" t="n"/>
      <c r="BH27" s="7" t="n">
        <v>5</v>
      </c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>
        <f>SUM(B27:GO27)</f>
        <v/>
      </c>
      <c r="GQ27" s="7" t="n">
        <v>12</v>
      </c>
      <c r="GR27" s="7">
        <f>GP27+GQ27</f>
        <v/>
      </c>
      <c r="GS27" s="21" t="n"/>
    </row>
    <row r="28">
      <c r="A28" s="7" t="n">
        <v>32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>
        <v>2</v>
      </c>
      <c r="AE28" s="7" t="n"/>
      <c r="AF28" s="7" t="n"/>
      <c r="AG28" s="7" t="n"/>
      <c r="AH28" s="7" t="n">
        <v>106</v>
      </c>
      <c r="AI28" s="7" t="n">
        <v>6</v>
      </c>
      <c r="AJ28" s="7" t="n"/>
      <c r="AK28" s="7" t="n">
        <v>1</v>
      </c>
      <c r="AL28" s="7" t="n">
        <v>1</v>
      </c>
      <c r="AM28" s="7" t="n"/>
      <c r="AN28" s="7" t="n"/>
      <c r="AO28" s="7" t="n"/>
      <c r="AP28" s="7" t="n">
        <v>6</v>
      </c>
      <c r="AQ28" s="7" t="n"/>
      <c r="AR28" s="7" t="n">
        <v>1</v>
      </c>
      <c r="AS28" s="7" t="n"/>
      <c r="AT28" s="7" t="n"/>
      <c r="AU28" s="7" t="n"/>
      <c r="AV28" s="7" t="n"/>
      <c r="AW28" s="7" t="n"/>
      <c r="AX28" s="7" t="n">
        <v>1</v>
      </c>
      <c r="AY28" s="7" t="n"/>
      <c r="AZ28" s="7" t="n">
        <v>5</v>
      </c>
      <c r="BA28" s="7" t="n">
        <v>1</v>
      </c>
      <c r="BB28" s="7" t="n"/>
      <c r="BC28" s="7" t="n"/>
      <c r="BD28" s="7" t="n"/>
      <c r="BE28" s="7" t="n"/>
      <c r="BF28" s="7" t="n">
        <v>1</v>
      </c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>
        <f>SUM(B28:GO28)</f>
        <v/>
      </c>
      <c r="GQ28" s="7" t="n">
        <v>3</v>
      </c>
      <c r="GR28" s="7">
        <f>GP28+GQ28</f>
        <v/>
      </c>
      <c r="GS28" s="21" t="n"/>
    </row>
    <row r="29">
      <c r="A29" s="7" t="n">
        <v>33</v>
      </c>
      <c r="B29" s="7" t="n"/>
      <c r="C29" s="7" t="n"/>
      <c r="D29" s="7" t="n"/>
      <c r="E29" s="7" t="n"/>
      <c r="F29" s="7" t="n"/>
      <c r="G29" s="7" t="n"/>
      <c r="H29" s="7" t="n"/>
      <c r="I29" s="7" t="n">
        <v>1</v>
      </c>
      <c r="J29" s="7" t="n"/>
      <c r="K29" s="7" t="n"/>
      <c r="L29" s="7" t="n"/>
      <c r="M29" s="7" t="n"/>
      <c r="N29" s="7" t="n"/>
      <c r="O29" s="7" t="n">
        <v>6</v>
      </c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>
        <v>2</v>
      </c>
      <c r="AD29" s="7" t="n"/>
      <c r="AE29" s="7" t="n"/>
      <c r="AF29" s="7" t="n"/>
      <c r="AG29" s="7" t="n">
        <v>2</v>
      </c>
      <c r="AH29" s="7" t="n">
        <v>77</v>
      </c>
      <c r="AI29" s="7" t="n">
        <v>3</v>
      </c>
      <c r="AJ29" s="7" t="n">
        <v>2</v>
      </c>
      <c r="AK29" s="7" t="n"/>
      <c r="AL29" s="7" t="n"/>
      <c r="AM29" s="7" t="n">
        <v>2</v>
      </c>
      <c r="AN29" s="7" t="n"/>
      <c r="AO29" s="7" t="n"/>
      <c r="AP29" s="7" t="n">
        <v>2</v>
      </c>
      <c r="AQ29" s="7" t="n"/>
      <c r="AR29" s="7" t="n"/>
      <c r="AS29" s="7" t="n">
        <v>3</v>
      </c>
      <c r="AT29" s="7" t="n"/>
      <c r="AU29" s="7" t="n"/>
      <c r="AV29" s="7" t="n">
        <v>2</v>
      </c>
      <c r="AW29" s="7" t="n"/>
      <c r="AX29" s="7" t="n"/>
      <c r="AY29" s="7" t="n"/>
      <c r="AZ29" s="7" t="n">
        <v>5</v>
      </c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>
        <f>SUM(B29:GO29)</f>
        <v/>
      </c>
      <c r="GQ29" s="7" t="n">
        <v>5</v>
      </c>
      <c r="GR29" s="7">
        <f>GP29+GQ29</f>
        <v/>
      </c>
      <c r="GS29" s="21" t="n"/>
    </row>
    <row r="30">
      <c r="A30" s="7" t="n">
        <v>34</v>
      </c>
      <c r="B30" s="7" t="n"/>
      <c r="C30" s="7" t="n"/>
      <c r="D30" s="7" t="n"/>
      <c r="E30" s="7" t="n"/>
      <c r="F30" s="7" t="n"/>
      <c r="G30" s="7" t="n"/>
      <c r="H30" s="7" t="n"/>
      <c r="I30" s="7" t="n">
        <v>1</v>
      </c>
      <c r="J30" s="7" t="n"/>
      <c r="K30" s="7" t="n"/>
      <c r="L30" s="7" t="n"/>
      <c r="M30" s="7" t="n"/>
      <c r="N30" s="7" t="n"/>
      <c r="O30" s="7" t="n">
        <v>8</v>
      </c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>
        <v>3</v>
      </c>
      <c r="AD30" s="7" t="n">
        <v>3</v>
      </c>
      <c r="AE30" s="7" t="n"/>
      <c r="AF30" s="7" t="n"/>
      <c r="AG30" s="7" t="n">
        <v>2</v>
      </c>
      <c r="AH30" s="7" t="n">
        <v>63</v>
      </c>
      <c r="AI30" s="7" t="n">
        <v>2</v>
      </c>
      <c r="AJ30" s="7" t="n"/>
      <c r="AK30" s="7" t="n"/>
      <c r="AL30" s="7" t="n"/>
      <c r="AM30" s="7" t="n">
        <v>1</v>
      </c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>
        <v>3</v>
      </c>
      <c r="BA30" s="7" t="n">
        <v>3</v>
      </c>
      <c r="BB30" s="7" t="n"/>
      <c r="BC30" s="7" t="n"/>
      <c r="BD30" s="7" t="n"/>
      <c r="BE30" s="7" t="n"/>
      <c r="BF30" s="7" t="n"/>
      <c r="BG30" s="7" t="n"/>
      <c r="BH30" s="7" t="n">
        <v>1</v>
      </c>
      <c r="BI30" s="7" t="n">
        <v>1</v>
      </c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>
        <v>1</v>
      </c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>
        <f>SUM(B30:GO30)</f>
        <v/>
      </c>
      <c r="GQ30" s="7" t="n">
        <v>9</v>
      </c>
      <c r="GR30" s="7">
        <f>GP30+GQ30</f>
        <v/>
      </c>
      <c r="GS30" s="21" t="n"/>
    </row>
    <row r="31">
      <c r="A31" s="7" t="n">
        <v>35</v>
      </c>
      <c r="B31" s="7" t="n"/>
      <c r="C31" s="7" t="n">
        <v>1</v>
      </c>
      <c r="D31" s="7" t="n"/>
      <c r="E31" s="7" t="n"/>
      <c r="F31" s="7" t="n"/>
      <c r="G31" s="7" t="n"/>
      <c r="H31" s="7" t="n"/>
      <c r="I31" s="7" t="n">
        <v>2</v>
      </c>
      <c r="J31" s="7" t="n"/>
      <c r="K31" s="7" t="n"/>
      <c r="L31" s="7" t="n"/>
      <c r="M31" s="7" t="n"/>
      <c r="N31" s="7" t="n"/>
      <c r="O31" s="7" t="n">
        <v>28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>
        <v>1</v>
      </c>
      <c r="AG31" s="7" t="n"/>
      <c r="AH31" s="7" t="n">
        <v>22</v>
      </c>
      <c r="AI31" s="7" t="n">
        <v>1</v>
      </c>
      <c r="AJ31" s="7" t="n">
        <v>1</v>
      </c>
      <c r="AK31" s="7" t="n"/>
      <c r="AL31" s="7" t="n"/>
      <c r="AM31" s="7" t="n">
        <v>1</v>
      </c>
      <c r="AN31" s="7" t="n"/>
      <c r="AO31" s="7" t="n"/>
      <c r="AP31" s="7" t="n"/>
      <c r="AQ31" s="7" t="n"/>
      <c r="AR31" s="7" t="n"/>
      <c r="AS31" s="7" t="n">
        <v>2</v>
      </c>
      <c r="AT31" s="7" t="n"/>
      <c r="AU31" s="7" t="n"/>
      <c r="AV31" s="7" t="n"/>
      <c r="AW31" s="7" t="n"/>
      <c r="AX31" s="7" t="n">
        <v>1</v>
      </c>
      <c r="AY31" s="7" t="n"/>
      <c r="AZ31" s="7" t="n">
        <v>1</v>
      </c>
      <c r="BA31" s="7" t="n">
        <v>3</v>
      </c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>
        <v>3</v>
      </c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>
        <v>2</v>
      </c>
      <c r="GO31" s="7" t="n"/>
      <c r="GP31" s="7">
        <f>SUM(B31:GO31)</f>
        <v/>
      </c>
      <c r="GQ31" s="7" t="n">
        <v>1</v>
      </c>
      <c r="GR31" s="7">
        <f>GP31+GQ31</f>
        <v/>
      </c>
      <c r="GS31" s="21" t="n"/>
    </row>
    <row r="32">
      <c r="A32" s="7" t="n">
        <v>36</v>
      </c>
      <c r="B32" s="7" t="n"/>
      <c r="C32" s="7" t="n"/>
      <c r="D32" s="7" t="n"/>
      <c r="E32" s="7" t="n"/>
      <c r="F32" s="7" t="n"/>
      <c r="G32" s="7" t="n"/>
      <c r="H32" s="7" t="n"/>
      <c r="I32" s="7" t="n">
        <v>6</v>
      </c>
      <c r="J32" s="7" t="n"/>
      <c r="K32" s="7" t="n"/>
      <c r="L32" s="7" t="n"/>
      <c r="M32" s="7" t="n"/>
      <c r="N32" s="7" t="n"/>
      <c r="O32" s="7" t="n">
        <v>31</v>
      </c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>
        <v>3</v>
      </c>
      <c r="AH32" s="7" t="n">
        <v>10</v>
      </c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>
        <v>1</v>
      </c>
      <c r="AT32" s="7" t="n"/>
      <c r="AU32" s="7" t="n"/>
      <c r="AV32" s="7" t="n"/>
      <c r="AW32" s="7" t="n"/>
      <c r="AX32" s="7" t="n"/>
      <c r="AY32" s="7" t="n"/>
      <c r="AZ32" s="7" t="n">
        <v>6</v>
      </c>
      <c r="BA32" s="7" t="n">
        <v>2</v>
      </c>
      <c r="BB32" s="7" t="n"/>
      <c r="BC32" s="7" t="n"/>
      <c r="BD32" s="7" t="n"/>
      <c r="BE32" s="7" t="n"/>
      <c r="BF32" s="7" t="n"/>
      <c r="BG32" s="7" t="n"/>
      <c r="BH32" s="7" t="n"/>
      <c r="BI32" s="7" t="n">
        <v>1</v>
      </c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1</v>
      </c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>
        <v>16</v>
      </c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>
        <f>SUM(B32:GO32)</f>
        <v/>
      </c>
      <c r="GQ32" s="7" t="n">
        <v>1</v>
      </c>
      <c r="GR32" s="7">
        <f>GP32+GQ32</f>
        <v/>
      </c>
      <c r="GS32" s="21" t="n"/>
    </row>
    <row r="33">
      <c r="A33" s="7" t="n">
        <v>37</v>
      </c>
      <c r="B33" s="7" t="n"/>
      <c r="C33" s="7" t="n"/>
      <c r="D33" s="7" t="n"/>
      <c r="E33" s="7" t="n"/>
      <c r="F33" s="7" t="n"/>
      <c r="G33" s="7" t="n"/>
      <c r="H33" s="7" t="n">
        <v>1</v>
      </c>
      <c r="I33" s="7" t="n">
        <v>6</v>
      </c>
      <c r="J33" s="7" t="n"/>
      <c r="K33" s="7" t="n"/>
      <c r="L33" s="7" t="n"/>
      <c r="M33" s="7" t="n"/>
      <c r="N33" s="7" t="n"/>
      <c r="O33" s="7" t="n">
        <v>45</v>
      </c>
      <c r="P33" s="7" t="n">
        <v>1</v>
      </c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>
        <v>17</v>
      </c>
      <c r="AI33" s="7" t="n">
        <v>2</v>
      </c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>
        <v>1</v>
      </c>
      <c r="BA33" s="7" t="n">
        <v>1</v>
      </c>
      <c r="BB33" s="7" t="n">
        <v>1</v>
      </c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>
        <v>60</v>
      </c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>
        <v>5</v>
      </c>
      <c r="GO33" s="7" t="n"/>
      <c r="GP33" s="7">
        <f>SUM(B33:GO33)</f>
        <v/>
      </c>
      <c r="GQ33" s="7" t="n">
        <v>11</v>
      </c>
      <c r="GR33" s="7">
        <f>GP33+GQ33</f>
        <v/>
      </c>
      <c r="GS33" s="21" t="n"/>
    </row>
    <row r="34">
      <c r="A34" s="7" t="n">
        <v>38</v>
      </c>
      <c r="B34" s="7" t="n">
        <v>1</v>
      </c>
      <c r="C34" s="7" t="n">
        <v>2</v>
      </c>
      <c r="D34" s="7" t="n"/>
      <c r="E34" s="7" t="n"/>
      <c r="F34" s="7" t="n"/>
      <c r="G34" s="7" t="n"/>
      <c r="H34" s="7" t="n">
        <v>1</v>
      </c>
      <c r="I34" s="7" t="n">
        <v>6</v>
      </c>
      <c r="J34" s="7" t="n"/>
      <c r="K34" s="7" t="n"/>
      <c r="L34" s="7" t="n"/>
      <c r="M34" s="7" t="n"/>
      <c r="N34" s="7" t="n"/>
      <c r="O34" s="7" t="n">
        <v>65</v>
      </c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>
        <v>5</v>
      </c>
      <c r="AI34" s="7" t="n">
        <v>1</v>
      </c>
      <c r="AJ34" s="7" t="n">
        <v>2</v>
      </c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>
        <v>3</v>
      </c>
      <c r="BA34" s="7" t="n">
        <v>2</v>
      </c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>
        <v>112</v>
      </c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>
        <v>1</v>
      </c>
      <c r="GO34" s="7" t="n"/>
      <c r="GP34" s="7">
        <f>SUM(B34:GO34)</f>
        <v/>
      </c>
      <c r="GQ34" s="7" t="n">
        <v>23</v>
      </c>
      <c r="GR34" s="7">
        <f>GP34+GQ34</f>
        <v/>
      </c>
      <c r="GS34" s="21" t="n"/>
    </row>
    <row r="35">
      <c r="A35" s="7" t="n">
        <v>39</v>
      </c>
      <c r="B35" s="7" t="n"/>
      <c r="C35" s="7" t="n">
        <v>1</v>
      </c>
      <c r="D35" s="7" t="n"/>
      <c r="E35" s="7" t="n"/>
      <c r="F35" s="7" t="n"/>
      <c r="G35" s="7" t="n"/>
      <c r="H35" s="7" t="n"/>
      <c r="I35" s="7" t="n">
        <v>4</v>
      </c>
      <c r="J35" s="7" t="n"/>
      <c r="K35" s="7" t="n"/>
      <c r="L35" s="7" t="n"/>
      <c r="M35" s="7" t="n"/>
      <c r="N35" s="7" t="n"/>
      <c r="O35" s="7" t="n">
        <v>59</v>
      </c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>
        <v>3</v>
      </c>
      <c r="AI35" s="7" t="n">
        <v>1</v>
      </c>
      <c r="AJ35" s="7" t="n">
        <v>2</v>
      </c>
      <c r="AK35" s="7" t="n"/>
      <c r="AL35" s="7" t="n"/>
      <c r="AM35" s="7" t="n">
        <v>2</v>
      </c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>
        <v>1</v>
      </c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>
        <v>152</v>
      </c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>
        <v>6</v>
      </c>
      <c r="GO35" s="7" t="n"/>
      <c r="GP35" s="7">
        <f>SUM(B35:GO35)</f>
        <v/>
      </c>
      <c r="GQ35" s="7" t="n">
        <v>9</v>
      </c>
      <c r="GR35" s="7">
        <f>GP35+GQ35</f>
        <v/>
      </c>
      <c r="GS35" s="21" t="n"/>
    </row>
    <row r="36">
      <c r="A36" s="7" t="n">
        <v>40</v>
      </c>
      <c r="B36" s="7" t="n"/>
      <c r="C36" s="7" t="n"/>
      <c r="D36" s="7" t="n"/>
      <c r="E36" s="7" t="n"/>
      <c r="F36" s="7" t="n"/>
      <c r="G36" s="7" t="n"/>
      <c r="H36" s="7" t="n"/>
      <c r="I36" s="7" t="n">
        <v>3</v>
      </c>
      <c r="J36" s="7" t="n"/>
      <c r="K36" s="7" t="n"/>
      <c r="L36" s="7" t="n"/>
      <c r="M36" s="7" t="n"/>
      <c r="N36" s="7" t="n"/>
      <c r="O36" s="7" t="n">
        <v>31</v>
      </c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1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>
        <v>1</v>
      </c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>
        <v>87</v>
      </c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>
        <v>1</v>
      </c>
      <c r="GO36" s="7" t="n"/>
      <c r="GP36" s="7">
        <f>SUM(B36:GO36)</f>
        <v/>
      </c>
      <c r="GQ36" s="7" t="n">
        <v>4</v>
      </c>
      <c r="GR36" s="7">
        <f>GP36+GQ36</f>
        <v/>
      </c>
      <c r="GS36" s="21" t="n"/>
    </row>
    <row r="37">
      <c r="A37" s="7" t="n">
        <v>41</v>
      </c>
      <c r="B37" s="7" t="n"/>
      <c r="C37" s="7" t="n"/>
      <c r="D37" s="7" t="n"/>
      <c r="E37" s="7" t="n">
        <v>1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>
        <v>60</v>
      </c>
      <c r="P37" s="7" t="n">
        <v>5</v>
      </c>
      <c r="Q37" s="7" t="n"/>
      <c r="R37" s="7" t="n">
        <v>8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>
        <v>1</v>
      </c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>
        <v>1</v>
      </c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4</v>
      </c>
      <c r="BT37" s="7" t="n">
        <v>6</v>
      </c>
      <c r="BU37" s="7" t="n">
        <v>3</v>
      </c>
      <c r="BV37" s="7" t="n"/>
      <c r="BW37" s="7" t="n"/>
      <c r="BX37" s="7" t="n"/>
      <c r="BY37" s="7" t="n">
        <v>2</v>
      </c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>
        <v>89</v>
      </c>
      <c r="FF37" s="7" t="n">
        <v>1</v>
      </c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>
        <v>1</v>
      </c>
      <c r="GN37" s="7" t="n">
        <v>3</v>
      </c>
      <c r="GO37" s="7" t="n"/>
      <c r="GP37" s="7">
        <f>SUM(B37:GO37)</f>
        <v/>
      </c>
      <c r="GQ37" s="7" t="n">
        <v>11</v>
      </c>
      <c r="GR37" s="7">
        <f>GP37+GQ37</f>
        <v/>
      </c>
      <c r="GS37" s="21" t="n"/>
    </row>
    <row r="38">
      <c r="A38" s="7" t="n">
        <v>42</v>
      </c>
      <c r="B38" s="7" t="n"/>
      <c r="C38" s="7" t="n"/>
      <c r="D38" s="7" t="n"/>
      <c r="E38" s="7" t="n"/>
      <c r="F38" s="7" t="n"/>
      <c r="G38" s="7" t="n"/>
      <c r="H38" s="7" t="n"/>
      <c r="I38" s="7" t="n">
        <v>7</v>
      </c>
      <c r="J38" s="7" t="n"/>
      <c r="K38" s="7" t="n"/>
      <c r="L38" s="7" t="n"/>
      <c r="M38" s="7" t="n"/>
      <c r="N38" s="7" t="n"/>
      <c r="O38" s="7" t="n">
        <v>62</v>
      </c>
      <c r="P38" s="7" t="n">
        <v>1</v>
      </c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>
        <v>1</v>
      </c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>
        <v>3</v>
      </c>
      <c r="BT38" s="7" t="n">
        <v>6</v>
      </c>
      <c r="BU38" s="7" t="n">
        <v>7</v>
      </c>
      <c r="BV38" s="7" t="n">
        <v>5</v>
      </c>
      <c r="BW38" s="7" t="n"/>
      <c r="BX38" s="7" t="n">
        <v>2</v>
      </c>
      <c r="BY38" s="7" t="n">
        <v>2</v>
      </c>
      <c r="BZ38" s="7" t="n">
        <v>1</v>
      </c>
      <c r="CA38" s="7" t="n"/>
      <c r="CB38" s="7" t="n"/>
      <c r="CC38" s="7" t="n"/>
      <c r="CD38" s="7" t="n"/>
      <c r="CE38" s="7" t="n"/>
      <c r="CF38" s="7" t="n">
        <v>1</v>
      </c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>
        <v>86</v>
      </c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>
        <v>1</v>
      </c>
      <c r="GO38" s="7" t="n"/>
      <c r="GP38" s="7">
        <f>SUM(B38:GO38)</f>
        <v/>
      </c>
      <c r="GQ38" s="7" t="n">
        <v>7</v>
      </c>
      <c r="GR38" s="7">
        <f>GP38+GQ38</f>
        <v/>
      </c>
      <c r="GS38" s="21" t="n"/>
    </row>
    <row r="39">
      <c r="A39" s="7" t="n">
        <v>43</v>
      </c>
      <c r="B39" s="7" t="n"/>
      <c r="C39" s="7" t="n"/>
      <c r="D39" s="7" t="n"/>
      <c r="E39" s="7" t="n"/>
      <c r="F39" s="7" t="n"/>
      <c r="G39" s="7" t="n"/>
      <c r="H39" s="7" t="n"/>
      <c r="I39" s="7" t="n">
        <v>1</v>
      </c>
      <c r="J39" s="7" t="n"/>
      <c r="K39" s="7" t="n"/>
      <c r="L39" s="7" t="n"/>
      <c r="M39" s="7" t="n"/>
      <c r="N39" s="7" t="n"/>
      <c r="O39" s="7" t="n">
        <v>19</v>
      </c>
      <c r="P39" s="7" t="n">
        <v>1</v>
      </c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>
        <v>1</v>
      </c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>
        <v>1</v>
      </c>
      <c r="BN39" s="7" t="n"/>
      <c r="BO39" s="7" t="n"/>
      <c r="BP39" s="7" t="n"/>
      <c r="BQ39" s="7" t="n"/>
      <c r="BR39" s="7" t="n"/>
      <c r="BS39" s="7" t="n">
        <v>1</v>
      </c>
      <c r="BT39" s="7" t="n">
        <v>1</v>
      </c>
      <c r="BU39" s="7" t="n">
        <v>2</v>
      </c>
      <c r="BV39" s="7" t="n">
        <v>3</v>
      </c>
      <c r="BW39" s="7" t="n"/>
      <c r="BX39" s="7" t="n"/>
      <c r="BY39" s="7" t="n">
        <v>2</v>
      </c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>
        <v>41</v>
      </c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>
        <v>2</v>
      </c>
      <c r="GO39" s="7" t="n"/>
      <c r="GP39" s="7">
        <f>SUM(B39:GO39)</f>
        <v/>
      </c>
      <c r="GQ39" s="7" t="n">
        <v>3</v>
      </c>
      <c r="GR39" s="7">
        <f>GP39+GQ39</f>
        <v/>
      </c>
      <c r="GS39" s="21" t="n"/>
    </row>
    <row r="40">
      <c r="A40" s="7" t="n">
        <v>44</v>
      </c>
      <c r="B40" s="7" t="n"/>
      <c r="C40" s="7" t="n"/>
      <c r="D40" s="7" t="n"/>
      <c r="E40" s="7" t="n">
        <v>1</v>
      </c>
      <c r="F40" s="7" t="n"/>
      <c r="G40" s="7" t="n"/>
      <c r="H40" s="7" t="n"/>
      <c r="I40" s="7" t="n">
        <v>2</v>
      </c>
      <c r="J40" s="7" t="n"/>
      <c r="K40" s="7" t="n"/>
      <c r="L40" s="7" t="n"/>
      <c r="M40" s="7" t="n"/>
      <c r="N40" s="7" t="n"/>
      <c r="O40" s="7" t="n">
        <v>13</v>
      </c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>
        <v>2</v>
      </c>
      <c r="BV40" s="7" t="n"/>
      <c r="BW40" s="7" t="n"/>
      <c r="BX40" s="7" t="n">
        <v>2</v>
      </c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>
        <v>39</v>
      </c>
      <c r="FF40" s="7" t="n">
        <v>1</v>
      </c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>
        <v>1</v>
      </c>
      <c r="GM40" s="7" t="n"/>
      <c r="GN40" s="7" t="n">
        <v>1</v>
      </c>
      <c r="GO40" s="7" t="n"/>
      <c r="GP40" s="7">
        <f>SUM(B40:GO40)</f>
        <v/>
      </c>
      <c r="GQ40" s="7" t="n">
        <v>0</v>
      </c>
      <c r="GR40" s="7">
        <f>GP40+GQ40</f>
        <v/>
      </c>
      <c r="GS40" s="21" t="n"/>
    </row>
    <row r="41">
      <c r="A41" s="7" t="n">
        <v>45</v>
      </c>
      <c r="B41" s="7" t="n"/>
      <c r="C41" s="7" t="n"/>
      <c r="D41" s="7" t="n"/>
      <c r="E41" s="7" t="n"/>
      <c r="F41" s="7" t="n"/>
      <c r="G41" s="7" t="n"/>
      <c r="H41" s="7" t="n"/>
      <c r="I41" s="7" t="n">
        <v>5</v>
      </c>
      <c r="J41" s="7" t="n"/>
      <c r="K41" s="7" t="n"/>
      <c r="L41" s="7" t="n"/>
      <c r="M41" s="7" t="n"/>
      <c r="N41" s="7" t="n"/>
      <c r="O41" s="7" t="n">
        <v>18</v>
      </c>
      <c r="P41" s="7" t="n">
        <v>5</v>
      </c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>
        <v>1</v>
      </c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1</v>
      </c>
      <c r="BT41" s="7" t="n">
        <v>3</v>
      </c>
      <c r="BU41" s="7" t="n">
        <v>4</v>
      </c>
      <c r="BV41" s="7" t="n">
        <v>2</v>
      </c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>
        <v>33</v>
      </c>
      <c r="FF41" s="7" t="n">
        <v>2</v>
      </c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>
        <f>SUM(B41:GO41)</f>
        <v/>
      </c>
      <c r="GQ41" s="7" t="n">
        <v>2</v>
      </c>
      <c r="GR41" s="7">
        <f>GP41+GQ41</f>
        <v/>
      </c>
      <c r="GS41" s="21" t="n"/>
    </row>
    <row r="42">
      <c r="A42" s="7" t="n">
        <v>46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>
        <v>7</v>
      </c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>
        <v>1</v>
      </c>
      <c r="BV42" s="7" t="n"/>
      <c r="BW42" s="7" t="n"/>
      <c r="BX42" s="7" t="n"/>
      <c r="BY42" s="7" t="n"/>
      <c r="BZ42" s="7" t="n"/>
      <c r="CA42" s="7" t="n"/>
      <c r="CB42" s="7" t="n">
        <v>3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>
        <v>12</v>
      </c>
      <c r="FF42" s="7" t="n">
        <v>3</v>
      </c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>
        <f>SUM(B42:GO42)</f>
        <v/>
      </c>
      <c r="GQ42" s="7" t="n">
        <v>1</v>
      </c>
      <c r="GR42" s="7">
        <f>GP42+GQ42</f>
        <v/>
      </c>
      <c r="GS42" s="21" t="n"/>
    </row>
    <row r="43">
      <c r="A43" s="7" t="n">
        <v>47</v>
      </c>
      <c r="B43" s="7" t="n"/>
      <c r="C43" s="7" t="n"/>
      <c r="D43" s="7" t="n"/>
      <c r="E43" s="7" t="n"/>
      <c r="F43" s="7" t="n"/>
      <c r="G43" s="7" t="n"/>
      <c r="H43" s="7" t="n"/>
      <c r="I43" s="7" t="n">
        <v>2</v>
      </c>
      <c r="J43" s="7" t="n"/>
      <c r="K43" s="7" t="n"/>
      <c r="L43" s="7" t="n"/>
      <c r="M43" s="7" t="n"/>
      <c r="N43" s="7" t="n"/>
      <c r="O43" s="7" t="n">
        <v>19</v>
      </c>
      <c r="P43" s="7" t="n">
        <v>1</v>
      </c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>
        <v>1</v>
      </c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>
        <v>1</v>
      </c>
      <c r="BL43" s="7" t="n"/>
      <c r="BM43" s="7" t="n"/>
      <c r="BN43" s="7" t="n"/>
      <c r="BO43" s="7" t="n"/>
      <c r="BP43" s="7" t="n">
        <v>1</v>
      </c>
      <c r="BQ43" s="7" t="n"/>
      <c r="BR43" s="7" t="n"/>
      <c r="BS43" s="7" t="n">
        <v>1</v>
      </c>
      <c r="BT43" s="7" t="n"/>
      <c r="BU43" s="7" t="n">
        <v>6</v>
      </c>
      <c r="BV43" s="7" t="n"/>
      <c r="BW43" s="7" t="n"/>
      <c r="BX43" s="7" t="n"/>
      <c r="BY43" s="7" t="n"/>
      <c r="BZ43" s="7" t="n"/>
      <c r="CA43" s="7" t="n">
        <v>3</v>
      </c>
      <c r="CB43" s="7" t="n">
        <v>10</v>
      </c>
      <c r="CC43" s="7" t="n"/>
      <c r="CD43" s="7" t="n"/>
      <c r="CE43" s="7" t="n"/>
      <c r="CF43" s="7" t="n"/>
      <c r="CG43" s="7" t="n">
        <v>1</v>
      </c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>
        <v>22</v>
      </c>
      <c r="FF43" s="7" t="n">
        <v>4</v>
      </c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>
        <v>1</v>
      </c>
      <c r="GO43" s="7" t="n">
        <v>1</v>
      </c>
      <c r="GP43" s="7">
        <f>SUM(B43:GO43)</f>
        <v/>
      </c>
      <c r="GQ43" s="7" t="n">
        <v>0</v>
      </c>
      <c r="GR43" s="7">
        <f>GP43+GQ43</f>
        <v/>
      </c>
      <c r="GS43" s="21" t="n"/>
    </row>
    <row r="44">
      <c r="A44" s="7" t="n">
        <v>48</v>
      </c>
      <c r="B44" s="7" t="n"/>
      <c r="C44" s="7" t="n"/>
      <c r="D44" s="7" t="n"/>
      <c r="E44" s="7" t="n"/>
      <c r="F44" s="7" t="n"/>
      <c r="G44" s="7" t="n"/>
      <c r="H44" s="7" t="n"/>
      <c r="I44" s="7" t="n">
        <v>2</v>
      </c>
      <c r="J44" s="7" t="n"/>
      <c r="K44" s="7" t="n"/>
      <c r="L44" s="7" t="n"/>
      <c r="M44" s="7" t="n"/>
      <c r="N44" s="7" t="n"/>
      <c r="O44" s="7" t="n">
        <v>3</v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1</v>
      </c>
      <c r="BL44" s="7" t="n"/>
      <c r="BM44" s="7" t="n"/>
      <c r="BN44" s="7" t="n">
        <v>1</v>
      </c>
      <c r="BO44" s="7" t="n"/>
      <c r="BP44" s="7" t="n"/>
      <c r="BQ44" s="7" t="n"/>
      <c r="BR44" s="7" t="n"/>
      <c r="BS44" s="7" t="n"/>
      <c r="BT44" s="7" t="n"/>
      <c r="BU44" s="7" t="n">
        <v>3</v>
      </c>
      <c r="BV44" s="7" t="n"/>
      <c r="BW44" s="7" t="n"/>
      <c r="BX44" s="7" t="n"/>
      <c r="BY44" s="7" t="n"/>
      <c r="BZ44" s="7" t="n"/>
      <c r="CA44" s="7" t="n"/>
      <c r="CB44" s="7" t="n">
        <v>4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>
        <v>5</v>
      </c>
      <c r="FF44" s="7" t="n">
        <v>3</v>
      </c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>
        <v>1</v>
      </c>
      <c r="GO44" s="7" t="n">
        <v>1</v>
      </c>
      <c r="GP44" s="7">
        <f>SUM(B44:GO44)</f>
        <v/>
      </c>
      <c r="GQ44" s="7" t="n">
        <v>0</v>
      </c>
      <c r="GR44" s="7">
        <f>GP44+GQ44</f>
        <v/>
      </c>
      <c r="GS44" s="21" t="n"/>
    </row>
    <row r="45">
      <c r="A45" s="7" t="n">
        <v>49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>
        <v>2</v>
      </c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>
        <v>1</v>
      </c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>
        <v>1</v>
      </c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>
        <v>1</v>
      </c>
      <c r="BU45" s="7" t="n">
        <v>2</v>
      </c>
      <c r="BV45" s="7" t="n"/>
      <c r="BW45" s="7" t="n"/>
      <c r="BX45" s="7" t="n"/>
      <c r="BY45" s="7" t="n"/>
      <c r="BZ45" s="7" t="n"/>
      <c r="CA45" s="7" t="n"/>
      <c r="CB45" s="7" t="n">
        <v>2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>
        <v>5</v>
      </c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>
        <f>SUM(B45:GO45)</f>
        <v/>
      </c>
      <c r="GQ45" s="7" t="n">
        <v>0</v>
      </c>
      <c r="GR45" s="7">
        <f>GP45+GQ45</f>
        <v/>
      </c>
      <c r="GS45" s="21" t="n"/>
    </row>
    <row r="46">
      <c r="A46" s="7" t="n">
        <v>50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>
        <v>3</v>
      </c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>
        <v>1</v>
      </c>
      <c r="BR46" s="7" t="n"/>
      <c r="BS46" s="7" t="n"/>
      <c r="BT46" s="7" t="n"/>
      <c r="BU46" s="7" t="n">
        <v>6</v>
      </c>
      <c r="BV46" s="7" t="n"/>
      <c r="BW46" s="7" t="n"/>
      <c r="BX46" s="7" t="n">
        <v>2</v>
      </c>
      <c r="BY46" s="7" t="n"/>
      <c r="BZ46" s="7" t="n"/>
      <c r="CA46" s="7" t="n">
        <v>1</v>
      </c>
      <c r="CB46" s="7" t="n">
        <v>3</v>
      </c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>
        <v>6</v>
      </c>
      <c r="FF46" s="7" t="n">
        <v>1</v>
      </c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>
        <f>SUM(B46:GO46)</f>
        <v/>
      </c>
      <c r="GQ46" s="7" t="n">
        <v>4</v>
      </c>
      <c r="GR46" s="7">
        <f>GP46+GQ46</f>
        <v/>
      </c>
      <c r="GS46" s="21" t="n"/>
    </row>
    <row r="47">
      <c r="A47" s="7" t="n">
        <v>52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>
        <v>3</v>
      </c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>
        <v>1</v>
      </c>
      <c r="BP47" s="7" t="n"/>
      <c r="BQ47" s="7" t="n"/>
      <c r="BR47" s="7" t="n"/>
      <c r="BS47" s="7" t="n"/>
      <c r="BT47" s="7" t="n"/>
      <c r="BU47" s="7" t="n">
        <v>1</v>
      </c>
      <c r="BV47" s="7" t="n"/>
      <c r="BW47" s="7" t="n">
        <v>1</v>
      </c>
      <c r="BX47" s="7" t="n"/>
      <c r="BY47" s="7" t="n"/>
      <c r="BZ47" s="7" t="n"/>
      <c r="CA47" s="7" t="n"/>
      <c r="CB47" s="7" t="n">
        <v>9</v>
      </c>
      <c r="CC47" s="7" t="n"/>
      <c r="CD47" s="7" t="n"/>
      <c r="CE47" s="7" t="n">
        <v>1</v>
      </c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>
        <v>3</v>
      </c>
      <c r="FF47" s="7" t="n"/>
      <c r="FG47" s="7" t="n">
        <v>1</v>
      </c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>
        <f>SUM(B47:GO47)</f>
        <v/>
      </c>
      <c r="GQ47" s="7" t="n">
        <v>1</v>
      </c>
      <c r="GR47" s="7">
        <f>GP47+GQ47</f>
        <v/>
      </c>
      <c r="GS47" s="21" t="n"/>
    </row>
    <row r="48">
      <c r="A48" s="7" t="n">
        <v>53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>
        <v>1</v>
      </c>
      <c r="BO48" s="7" t="n"/>
      <c r="BP48" s="7" t="n"/>
      <c r="BQ48" s="7" t="n"/>
      <c r="BR48" s="7" t="n"/>
      <c r="BS48" s="7" t="n"/>
      <c r="BT48" s="7" t="n"/>
      <c r="BU48" s="7" t="n">
        <v>2</v>
      </c>
      <c r="BV48" s="7" t="n"/>
      <c r="BW48" s="7" t="n"/>
      <c r="BX48" s="7" t="n"/>
      <c r="BY48" s="7" t="n"/>
      <c r="BZ48" s="7" t="n"/>
      <c r="CA48" s="7" t="n"/>
      <c r="CB48" s="7" t="n">
        <v>5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>
        <v>1</v>
      </c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>
        <f>SUM(B48:GO48)</f>
        <v/>
      </c>
      <c r="GQ48" s="7" t="n">
        <v>5</v>
      </c>
      <c r="GR48" s="7">
        <f>GP48+GQ48</f>
        <v/>
      </c>
      <c r="GS48" s="21" t="n"/>
    </row>
    <row r="49">
      <c r="A49" s="7" t="n">
        <v>54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>
        <v>1</v>
      </c>
      <c r="CC49" s="7" t="n"/>
      <c r="CD49" s="7" t="n">
        <v>3</v>
      </c>
      <c r="CE49" s="7" t="n">
        <v>5</v>
      </c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>
        <v>1</v>
      </c>
      <c r="FG49" s="7" t="n"/>
      <c r="FH49" s="7" t="n">
        <v>3</v>
      </c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>
        <f>SUM(B49:GO49)</f>
        <v/>
      </c>
      <c r="GQ49" s="7" t="n">
        <v>0</v>
      </c>
      <c r="GR49" s="7">
        <f>GP49+GQ49</f>
        <v/>
      </c>
      <c r="GS49" s="21" t="n"/>
    </row>
    <row r="50">
      <c r="A50" s="7" t="n">
        <v>55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>
        <v>1</v>
      </c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>
        <v>1</v>
      </c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>
        <v>1</v>
      </c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>
        <v>4</v>
      </c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>
        <f>SUM(B50:GO50)</f>
        <v/>
      </c>
      <c r="GQ50" s="7" t="n">
        <v>0</v>
      </c>
      <c r="GR50" s="7">
        <f>GP50+GQ50</f>
        <v/>
      </c>
      <c r="GS50" s="21" t="n"/>
    </row>
    <row r="51">
      <c r="A51" s="7" t="n">
        <v>56</v>
      </c>
      <c r="B51" s="7" t="n"/>
      <c r="C51" s="7" t="n"/>
      <c r="D51" s="7" t="n"/>
      <c r="E51" s="7" t="n"/>
      <c r="F51" s="7" t="n"/>
      <c r="G51" s="7" t="n"/>
      <c r="H51" s="7" t="n"/>
      <c r="I51" s="7" t="n">
        <v>1</v>
      </c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>
        <v>1</v>
      </c>
      <c r="CC51" s="7" t="n"/>
      <c r="CD51" s="7" t="n">
        <v>3</v>
      </c>
      <c r="CE51" s="7" t="n">
        <v>1</v>
      </c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>
        <v>3</v>
      </c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>
        <v>3</v>
      </c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>
        <f>SUM(B51:GO51)</f>
        <v/>
      </c>
      <c r="GQ51" s="7" t="n">
        <v>1</v>
      </c>
      <c r="GR51" s="7">
        <f>GP51+GQ51</f>
        <v/>
      </c>
      <c r="GS51" s="21" t="n"/>
    </row>
    <row r="52">
      <c r="A52" s="7" t="n">
        <v>57</v>
      </c>
      <c r="B52" s="7" t="n"/>
      <c r="C52" s="7" t="n"/>
      <c r="D52" s="7" t="n"/>
      <c r="E52" s="7" t="n"/>
      <c r="F52" s="7" t="n"/>
      <c r="G52" s="7" t="n"/>
      <c r="H52" s="7" t="n"/>
      <c r="I52" s="7" t="n">
        <v>1</v>
      </c>
      <c r="J52" s="7" t="n"/>
      <c r="K52" s="7" t="n"/>
      <c r="L52" s="7" t="n"/>
      <c r="M52" s="7" t="n"/>
      <c r="N52" s="7" t="n"/>
      <c r="O52" s="7" t="n">
        <v>1</v>
      </c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>
        <v>4</v>
      </c>
      <c r="CC52" s="7" t="n"/>
      <c r="CD52" s="7" t="n">
        <v>4</v>
      </c>
      <c r="CE52" s="7" t="n">
        <v>2</v>
      </c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>
        <v>5</v>
      </c>
      <c r="FG52" s="7" t="n"/>
      <c r="FH52" s="7" t="n">
        <v>4</v>
      </c>
      <c r="FI52" s="7" t="n">
        <v>3</v>
      </c>
      <c r="FJ52" s="7" t="n"/>
      <c r="FK52" s="7" t="n"/>
      <c r="FL52" s="7" t="n"/>
      <c r="FM52" s="7" t="n">
        <v>2</v>
      </c>
      <c r="FN52" s="7" t="n">
        <v>1</v>
      </c>
      <c r="FO52" s="7" t="n"/>
      <c r="FP52" s="7" t="n"/>
      <c r="FQ52" s="7" t="n"/>
      <c r="FR52" s="7" t="n"/>
      <c r="FS52" s="7" t="n"/>
      <c r="FT52" s="7" t="n"/>
      <c r="FU52" s="7" t="n">
        <v>2</v>
      </c>
      <c r="FV52" s="7" t="n">
        <v>12</v>
      </c>
      <c r="FW52" s="7" t="n"/>
      <c r="FX52" s="7" t="n"/>
      <c r="FY52" s="7" t="n"/>
      <c r="FZ52" s="7" t="n"/>
      <c r="GA52" s="7" t="n"/>
      <c r="GB52" s="7" t="n"/>
      <c r="GC52" s="7" t="n"/>
      <c r="GD52" s="7" t="n">
        <v>2</v>
      </c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>
        <v>1</v>
      </c>
      <c r="GN52" s="7" t="n"/>
      <c r="GO52" s="7" t="n"/>
      <c r="GP52" s="7">
        <f>SUM(B52:GO52)</f>
        <v/>
      </c>
      <c r="GQ52" s="7" t="n">
        <v>1</v>
      </c>
      <c r="GR52" s="7">
        <f>GP52+GQ52</f>
        <v/>
      </c>
      <c r="GS52" s="21" t="n"/>
    </row>
    <row r="53">
      <c r="A53" s="7" t="n">
        <v>58</v>
      </c>
      <c r="B53" s="7" t="n"/>
      <c r="C53" s="7" t="n"/>
      <c r="D53" s="7" t="n">
        <v>1</v>
      </c>
      <c r="E53" s="7" t="n"/>
      <c r="F53" s="7" t="n"/>
      <c r="G53" s="7" t="n"/>
      <c r="H53" s="7" t="n"/>
      <c r="I53" s="7" t="n">
        <v>2</v>
      </c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>
        <v>4</v>
      </c>
      <c r="CD53" s="7" t="n"/>
      <c r="CE53" s="7" t="n">
        <v>8</v>
      </c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>
        <v>6</v>
      </c>
      <c r="FI53" s="7" t="n">
        <v>2</v>
      </c>
      <c r="FJ53" s="7" t="n">
        <v>1</v>
      </c>
      <c r="FK53" s="7" t="n">
        <v>1</v>
      </c>
      <c r="FL53" s="7" t="n">
        <v>1</v>
      </c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>
        <v>2</v>
      </c>
      <c r="FV53" s="7" t="n">
        <v>40</v>
      </c>
      <c r="FW53" s="7" t="n">
        <v>3</v>
      </c>
      <c r="FX53" s="7" t="n">
        <v>2</v>
      </c>
      <c r="FY53" s="7" t="n">
        <v>1</v>
      </c>
      <c r="FZ53" s="7" t="n"/>
      <c r="GA53" s="7" t="n"/>
      <c r="GB53" s="7" t="n"/>
      <c r="GC53" s="7" t="n">
        <v>1</v>
      </c>
      <c r="GD53" s="7" t="n">
        <v>1</v>
      </c>
      <c r="GE53" s="7" t="n"/>
      <c r="GF53" s="7" t="n"/>
      <c r="GG53" s="7" t="n">
        <v>1</v>
      </c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>
        <f>SUM(B53:GO53)</f>
        <v/>
      </c>
      <c r="GQ53" s="7" t="n">
        <v>2</v>
      </c>
      <c r="GR53" s="7">
        <f>GP53+GQ53</f>
        <v/>
      </c>
      <c r="GS53" s="21" t="n"/>
    </row>
    <row r="54">
      <c r="A54" s="7" t="n">
        <v>59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>
        <v>3</v>
      </c>
      <c r="CC54" s="7" t="n">
        <v>15</v>
      </c>
      <c r="CD54" s="7" t="n"/>
      <c r="CE54" s="7" t="n"/>
      <c r="CF54" s="7" t="n"/>
      <c r="CG54" s="7" t="n"/>
      <c r="CH54" s="7" t="n">
        <v>1</v>
      </c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>
        <v>5</v>
      </c>
      <c r="FI54" s="7" t="n"/>
      <c r="FJ54" s="7" t="n"/>
      <c r="FK54" s="7" t="n"/>
      <c r="FL54" s="7" t="n"/>
      <c r="FM54" s="7" t="n">
        <v>1</v>
      </c>
      <c r="FN54" s="7" t="n"/>
      <c r="FO54" s="7" t="n"/>
      <c r="FP54" s="7" t="n"/>
      <c r="FQ54" s="7" t="n"/>
      <c r="FR54" s="7" t="n"/>
      <c r="FS54" s="7" t="n"/>
      <c r="FT54" s="7" t="n"/>
      <c r="FU54" s="7" t="n">
        <v>4</v>
      </c>
      <c r="FV54" s="7" t="n">
        <v>17</v>
      </c>
      <c r="FW54" s="7" t="n">
        <v>4</v>
      </c>
      <c r="FX54" s="7" t="n">
        <v>2</v>
      </c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>
        <v>1</v>
      </c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>
        <f>SUM(B54:GO54)</f>
        <v/>
      </c>
      <c r="GQ54" s="7" t="n">
        <v>0</v>
      </c>
      <c r="GR54" s="7">
        <f>GP54+GQ54</f>
        <v/>
      </c>
      <c r="GS54" s="21" t="n"/>
    </row>
    <row r="55">
      <c r="A55" s="7" t="n">
        <v>60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>
        <v>1</v>
      </c>
      <c r="CC55" s="7" t="n">
        <v>25</v>
      </c>
      <c r="CD55" s="7" t="n"/>
      <c r="CE55" s="7" t="n">
        <v>2</v>
      </c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>
        <v>5</v>
      </c>
      <c r="FI55" s="7" t="n"/>
      <c r="FJ55" s="7" t="n">
        <v>1</v>
      </c>
      <c r="FK55" s="7" t="n">
        <v>3</v>
      </c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>
        <v>1</v>
      </c>
      <c r="FV55" s="7" t="n">
        <v>39</v>
      </c>
      <c r="FW55" s="7" t="n">
        <v>11</v>
      </c>
      <c r="FX55" s="7" t="n">
        <v>6</v>
      </c>
      <c r="FY55" s="7" t="n">
        <v>1</v>
      </c>
      <c r="FZ55" s="7" t="n"/>
      <c r="GA55" s="7" t="n"/>
      <c r="GB55" s="7" t="n"/>
      <c r="GC55" s="7" t="n"/>
      <c r="GD55" s="7" t="n">
        <v>2</v>
      </c>
      <c r="GE55" s="7" t="n"/>
      <c r="GF55" s="7" t="n"/>
      <c r="GG55" s="7" t="n">
        <v>3</v>
      </c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>
        <f>SUM(B55:GO55)</f>
        <v/>
      </c>
      <c r="GQ55" s="7" t="n">
        <v>2</v>
      </c>
      <c r="GR55" s="7">
        <f>GP55+GQ55</f>
        <v/>
      </c>
      <c r="GS55" s="21" t="n"/>
    </row>
    <row r="56">
      <c r="A56" s="7" t="n">
        <v>61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>
        <v>28</v>
      </c>
      <c r="CD56" s="7" t="n"/>
      <c r="CE56" s="7" t="n"/>
      <c r="CF56" s="7" t="n"/>
      <c r="CG56" s="7" t="n"/>
      <c r="CH56" s="7" t="n">
        <v>1</v>
      </c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>
        <v>10</v>
      </c>
      <c r="FI56" s="7" t="n">
        <v>1</v>
      </c>
      <c r="FJ56" s="7" t="n"/>
      <c r="FK56" s="7" t="n"/>
      <c r="FL56" s="7" t="n"/>
      <c r="FM56" s="7" t="n">
        <v>1</v>
      </c>
      <c r="FN56" s="7" t="n"/>
      <c r="FO56" s="7" t="n"/>
      <c r="FP56" s="7" t="n"/>
      <c r="FQ56" s="7" t="n"/>
      <c r="FR56" s="7" t="n"/>
      <c r="FS56" s="7" t="n"/>
      <c r="FT56" s="7" t="n"/>
      <c r="FU56" s="7" t="n">
        <v>1</v>
      </c>
      <c r="FV56" s="7" t="n">
        <v>44</v>
      </c>
      <c r="FW56" s="7" t="n">
        <v>9</v>
      </c>
      <c r="FX56" s="7" t="n">
        <v>14</v>
      </c>
      <c r="FY56" s="7" t="n">
        <v>2</v>
      </c>
      <c r="FZ56" s="7" t="n"/>
      <c r="GA56" s="7" t="n"/>
      <c r="GB56" s="7" t="n"/>
      <c r="GC56" s="7" t="n"/>
      <c r="GD56" s="7" t="n">
        <v>4</v>
      </c>
      <c r="GE56" s="7" t="n"/>
      <c r="GF56" s="7" t="n"/>
      <c r="GG56" s="7" t="n">
        <v>7</v>
      </c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>
        <f>SUM(B56:GO56)</f>
        <v/>
      </c>
      <c r="GQ56" s="7" t="n">
        <v>4</v>
      </c>
      <c r="GR56" s="7">
        <f>GP56+GQ56</f>
        <v/>
      </c>
      <c r="GS56" s="21" t="n"/>
    </row>
    <row r="57">
      <c r="A57" s="7" t="n">
        <v>62</v>
      </c>
      <c r="B57" s="7" t="n"/>
      <c r="C57" s="7" t="n"/>
      <c r="D57" s="7" t="n"/>
      <c r="E57" s="7" t="n"/>
      <c r="F57" s="7" t="n"/>
      <c r="G57" s="7" t="n"/>
      <c r="H57" s="7" t="n"/>
      <c r="I57" s="7" t="n">
        <v>1</v>
      </c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>
        <v>1</v>
      </c>
      <c r="CF57" s="7" t="n"/>
      <c r="CG57" s="7" t="n"/>
      <c r="CH57" s="7" t="n">
        <v>2</v>
      </c>
      <c r="CI57" s="7" t="n"/>
      <c r="CJ57" s="7" t="n"/>
      <c r="CK57" s="7" t="n"/>
      <c r="CL57" s="7" t="n"/>
      <c r="CM57" s="7" t="n"/>
      <c r="CN57" s="7" t="n">
        <v>3</v>
      </c>
      <c r="CO57" s="7" t="n">
        <v>6</v>
      </c>
      <c r="CP57" s="7" t="n"/>
      <c r="CQ57" s="7" t="n">
        <v>1</v>
      </c>
      <c r="CR57" s="7" t="n">
        <v>2</v>
      </c>
      <c r="CS57" s="7" t="n">
        <v>2</v>
      </c>
      <c r="CT57" s="7" t="n">
        <v>4</v>
      </c>
      <c r="CU57" s="7" t="n"/>
      <c r="CV57" s="7" t="n">
        <v>1</v>
      </c>
      <c r="CW57" s="7" t="n">
        <v>4</v>
      </c>
      <c r="CX57" s="7" t="n">
        <v>1</v>
      </c>
      <c r="CY57" s="7" t="n"/>
      <c r="CZ57" s="7" t="n">
        <v>28</v>
      </c>
      <c r="DA57" s="7" t="n">
        <v>1</v>
      </c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>
        <v>1</v>
      </c>
      <c r="FG57" s="7" t="n"/>
      <c r="FH57" s="7" t="n">
        <v>6</v>
      </c>
      <c r="FI57" s="7" t="n"/>
      <c r="FJ57" s="7" t="n">
        <v>2</v>
      </c>
      <c r="FK57" s="7" t="n">
        <v>1</v>
      </c>
      <c r="FL57" s="7" t="n"/>
      <c r="FM57" s="7" t="n">
        <v>3</v>
      </c>
      <c r="FN57" s="7" t="n"/>
      <c r="FO57" s="7" t="n">
        <v>4</v>
      </c>
      <c r="FP57" s="7" t="n"/>
      <c r="FQ57" s="7" t="n"/>
      <c r="FR57" s="7" t="n"/>
      <c r="FS57" s="7" t="n"/>
      <c r="FT57" s="7" t="n"/>
      <c r="FU57" s="7" t="n"/>
      <c r="FV57" s="7" t="n">
        <v>17</v>
      </c>
      <c r="FW57" s="7" t="n">
        <v>13</v>
      </c>
      <c r="FX57" s="7" t="n">
        <v>19</v>
      </c>
      <c r="FY57" s="7" t="n">
        <v>3</v>
      </c>
      <c r="FZ57" s="7" t="n">
        <v>1</v>
      </c>
      <c r="GA57" s="7" t="n"/>
      <c r="GB57" s="7" t="n"/>
      <c r="GC57" s="7" t="n"/>
      <c r="GD57" s="7" t="n">
        <v>1</v>
      </c>
      <c r="GE57" s="7" t="n">
        <v>1</v>
      </c>
      <c r="GF57" s="7" t="n"/>
      <c r="GG57" s="7" t="n">
        <v>1</v>
      </c>
      <c r="GH57" s="7" t="n">
        <v>7</v>
      </c>
      <c r="GI57" s="7" t="n"/>
      <c r="GJ57" s="7" t="n"/>
      <c r="GK57" s="7" t="n"/>
      <c r="GL57" s="7" t="n"/>
      <c r="GM57" s="7" t="n"/>
      <c r="GN57" s="7" t="n"/>
      <c r="GO57" s="7" t="n"/>
      <c r="GP57" s="7">
        <f>SUM(B57:GO57)</f>
        <v/>
      </c>
      <c r="GQ57" s="7" t="n">
        <v>2</v>
      </c>
      <c r="GR57" s="7">
        <f>GP57+GQ57</f>
        <v/>
      </c>
      <c r="GS57" s="21" t="n"/>
    </row>
    <row r="58">
      <c r="A58" s="7" t="n">
        <v>63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>
        <v>1</v>
      </c>
      <c r="CC58" s="7" t="n"/>
      <c r="CD58" s="7" t="n"/>
      <c r="CE58" s="7" t="n"/>
      <c r="CF58" s="7" t="n"/>
      <c r="CG58" s="7" t="n"/>
      <c r="CH58" s="7" t="n">
        <v>1</v>
      </c>
      <c r="CI58" s="7" t="n"/>
      <c r="CJ58" s="7" t="n"/>
      <c r="CK58" s="7" t="n"/>
      <c r="CL58" s="7" t="n"/>
      <c r="CM58" s="7" t="n"/>
      <c r="CN58" s="7" t="n">
        <v>2</v>
      </c>
      <c r="CO58" s="7" t="n">
        <v>2</v>
      </c>
      <c r="CP58" s="7" t="n"/>
      <c r="CQ58" s="7" t="n">
        <v>1</v>
      </c>
      <c r="CR58" s="7" t="n">
        <v>1</v>
      </c>
      <c r="CS58" s="7" t="n">
        <v>2</v>
      </c>
      <c r="CT58" s="7" t="n">
        <v>1</v>
      </c>
      <c r="CU58" s="7" t="n"/>
      <c r="CV58" s="7" t="n">
        <v>1</v>
      </c>
      <c r="CW58" s="7" t="n">
        <v>1</v>
      </c>
      <c r="CX58" s="7" t="n">
        <v>2</v>
      </c>
      <c r="CY58" s="7" t="n"/>
      <c r="CZ58" s="7" t="n">
        <v>36</v>
      </c>
      <c r="DA58" s="7" t="n">
        <v>4</v>
      </c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>
        <v>1</v>
      </c>
      <c r="FG58" s="7" t="n"/>
      <c r="FH58" s="7" t="n">
        <v>4</v>
      </c>
      <c r="FI58" s="7" t="n"/>
      <c r="FJ58" s="7" t="n"/>
      <c r="FK58" s="7" t="n"/>
      <c r="FL58" s="7" t="n"/>
      <c r="FM58" s="7" t="n">
        <v>1</v>
      </c>
      <c r="FN58" s="7" t="n"/>
      <c r="FO58" s="7" t="n">
        <v>8</v>
      </c>
      <c r="FP58" s="7" t="n">
        <v>1</v>
      </c>
      <c r="FQ58" s="7" t="n"/>
      <c r="FR58" s="7" t="n"/>
      <c r="FS58" s="7" t="n"/>
      <c r="FT58" s="7" t="n"/>
      <c r="FU58" s="7" t="n"/>
      <c r="FV58" s="7" t="n">
        <v>19</v>
      </c>
      <c r="FW58" s="7" t="n">
        <v>9</v>
      </c>
      <c r="FX58" s="7" t="n">
        <v>24</v>
      </c>
      <c r="FY58" s="7" t="n">
        <v>7</v>
      </c>
      <c r="FZ58" s="7" t="n">
        <v>2</v>
      </c>
      <c r="GA58" s="7" t="n"/>
      <c r="GB58" s="7" t="n"/>
      <c r="GC58" s="7" t="n"/>
      <c r="GD58" s="7" t="n"/>
      <c r="GE58" s="7" t="n"/>
      <c r="GF58" s="7" t="n">
        <v>1</v>
      </c>
      <c r="GG58" s="7" t="n">
        <v>2</v>
      </c>
      <c r="GH58" s="7" t="n"/>
      <c r="GI58" s="7" t="n">
        <v>14</v>
      </c>
      <c r="GJ58" s="7" t="n"/>
      <c r="GK58" s="7" t="n"/>
      <c r="GL58" s="7" t="n"/>
      <c r="GM58" s="7" t="n"/>
      <c r="GN58" s="7" t="n"/>
      <c r="GO58" s="7" t="n"/>
      <c r="GP58" s="7">
        <f>SUM(B58:GO58)</f>
        <v/>
      </c>
      <c r="GQ58" s="7" t="n">
        <v>4</v>
      </c>
      <c r="GR58" s="7">
        <f>GP58+GQ58</f>
        <v/>
      </c>
      <c r="GS58" s="21" t="n"/>
    </row>
    <row r="59">
      <c r="A59" s="7" t="n">
        <v>64</v>
      </c>
      <c r="B59" s="7" t="n"/>
      <c r="C59" s="7" t="n">
        <v>1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>
        <v>1</v>
      </c>
      <c r="CC59" s="7" t="n">
        <v>1</v>
      </c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>
        <v>2</v>
      </c>
      <c r="CP59" s="7" t="n"/>
      <c r="CQ59" s="7" t="n"/>
      <c r="CR59" s="7" t="n"/>
      <c r="CS59" s="7" t="n">
        <v>1</v>
      </c>
      <c r="CT59" s="7" t="n"/>
      <c r="CU59" s="7" t="n">
        <v>1</v>
      </c>
      <c r="CV59" s="7" t="n"/>
      <c r="CW59" s="7" t="n">
        <v>1</v>
      </c>
      <c r="CX59" s="7" t="n">
        <v>1</v>
      </c>
      <c r="CY59" s="7" t="n"/>
      <c r="CZ59" s="7" t="n">
        <v>16</v>
      </c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>
        <v>1</v>
      </c>
      <c r="FG59" s="7" t="n"/>
      <c r="FH59" s="7" t="n">
        <v>3</v>
      </c>
      <c r="FI59" s="7" t="n"/>
      <c r="FJ59" s="7" t="n"/>
      <c r="FK59" s="7" t="n"/>
      <c r="FL59" s="7" t="n"/>
      <c r="FM59" s="7" t="n"/>
      <c r="FN59" s="7" t="n"/>
      <c r="FO59" s="7" t="n">
        <v>6</v>
      </c>
      <c r="FP59" s="7" t="n"/>
      <c r="FQ59" s="7" t="n"/>
      <c r="FR59" s="7" t="n"/>
      <c r="FS59" s="7" t="n"/>
      <c r="FT59" s="7" t="n"/>
      <c r="FU59" s="7" t="n">
        <v>4</v>
      </c>
      <c r="FV59" s="7" t="n">
        <v>3</v>
      </c>
      <c r="FW59" s="7" t="n">
        <v>4</v>
      </c>
      <c r="FX59" s="7" t="n">
        <v>17</v>
      </c>
      <c r="FY59" s="7" t="n">
        <v>3</v>
      </c>
      <c r="FZ59" s="7" t="n">
        <v>1</v>
      </c>
      <c r="GA59" s="7" t="n"/>
      <c r="GB59" s="7" t="n"/>
      <c r="GC59" s="7" t="n"/>
      <c r="GD59" s="7" t="n">
        <v>1</v>
      </c>
      <c r="GE59" s="7" t="n"/>
      <c r="GF59" s="7" t="n"/>
      <c r="GG59" s="7" t="n">
        <v>1</v>
      </c>
      <c r="GH59" s="7" t="n"/>
      <c r="GI59" s="7" t="n">
        <v>4</v>
      </c>
      <c r="GJ59" s="7" t="n"/>
      <c r="GK59" s="7" t="n"/>
      <c r="GL59" s="7" t="n"/>
      <c r="GM59" s="7" t="n"/>
      <c r="GN59" s="7" t="n"/>
      <c r="GO59" s="7" t="n"/>
      <c r="GP59" s="7">
        <f>SUM(B59:GO59)</f>
        <v/>
      </c>
      <c r="GQ59" s="7" t="n">
        <v>1</v>
      </c>
      <c r="GR59" s="7">
        <f>GP59+GQ59</f>
        <v/>
      </c>
      <c r="GS59" s="21" t="n"/>
    </row>
    <row r="60">
      <c r="A60" s="7" t="n">
        <v>65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>
        <v>1</v>
      </c>
      <c r="CO60" s="7" t="n">
        <v>1</v>
      </c>
      <c r="CP60" s="7" t="n"/>
      <c r="CQ60" s="7" t="n"/>
      <c r="CR60" s="7" t="n"/>
      <c r="CS60" s="7" t="n"/>
      <c r="CT60" s="7" t="n"/>
      <c r="CU60" s="7" t="n"/>
      <c r="CV60" s="7" t="n"/>
      <c r="CW60" s="7" t="n">
        <v>1</v>
      </c>
      <c r="CX60" s="7" t="n"/>
      <c r="CY60" s="7" t="n"/>
      <c r="CZ60" s="7" t="n">
        <v>7</v>
      </c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>
        <v>1</v>
      </c>
      <c r="FN60" s="7" t="n"/>
      <c r="FO60" s="7" t="n">
        <v>1</v>
      </c>
      <c r="FP60" s="7" t="n"/>
      <c r="FQ60" s="7" t="n"/>
      <c r="FR60" s="7" t="n"/>
      <c r="FS60" s="7" t="n"/>
      <c r="FT60" s="7" t="n"/>
      <c r="FU60" s="7" t="n"/>
      <c r="FV60" s="7" t="n"/>
      <c r="FW60" s="7" t="n">
        <v>1</v>
      </c>
      <c r="FX60" s="7" t="n">
        <v>8</v>
      </c>
      <c r="FY60" s="7" t="n">
        <v>1</v>
      </c>
      <c r="FZ60" s="7" t="n">
        <v>3</v>
      </c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>
        <v>5</v>
      </c>
      <c r="GJ60" s="7" t="n"/>
      <c r="GK60" s="7" t="n"/>
      <c r="GL60" s="7" t="n"/>
      <c r="GM60" s="7" t="n"/>
      <c r="GN60" s="7" t="n"/>
      <c r="GO60" s="7" t="n"/>
      <c r="GP60" s="7">
        <f>SUM(B60:GO60)</f>
        <v/>
      </c>
      <c r="GQ60" s="7" t="n">
        <v>0</v>
      </c>
      <c r="GR60" s="7">
        <f>GP60+GQ60</f>
        <v/>
      </c>
      <c r="GS60" s="21" t="n"/>
    </row>
    <row r="61">
      <c r="A61" s="7" t="n">
        <v>66</v>
      </c>
      <c r="B61" s="7" t="n"/>
      <c r="C61" s="7" t="n"/>
      <c r="D61" s="7" t="n">
        <v>1</v>
      </c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>
        <v>2</v>
      </c>
      <c r="CO61" s="7" t="n">
        <v>2</v>
      </c>
      <c r="CP61" s="7" t="n"/>
      <c r="CQ61" s="7" t="n"/>
      <c r="CR61" s="7" t="n">
        <v>1</v>
      </c>
      <c r="CS61" s="7" t="n"/>
      <c r="CT61" s="7" t="n"/>
      <c r="CU61" s="7" t="n"/>
      <c r="CV61" s="7" t="n"/>
      <c r="CW61" s="7" t="n"/>
      <c r="CX61" s="7" t="n"/>
      <c r="CY61" s="7" t="n"/>
      <c r="CZ61" s="7" t="n">
        <v>2</v>
      </c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>
        <v>1</v>
      </c>
      <c r="FV61" s="7" t="n">
        <v>4</v>
      </c>
      <c r="FW61" s="7" t="n">
        <v>1</v>
      </c>
      <c r="FX61" s="7" t="n">
        <v>15</v>
      </c>
      <c r="FY61" s="7" t="n">
        <v>1</v>
      </c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>
        <v>11</v>
      </c>
      <c r="GJ61" s="7" t="n">
        <v>2</v>
      </c>
      <c r="GK61" s="7" t="n"/>
      <c r="GL61" s="7" t="n"/>
      <c r="GM61" s="7" t="n"/>
      <c r="GN61" s="7" t="n"/>
      <c r="GO61" s="7" t="n"/>
      <c r="GP61" s="7">
        <f>SUM(B61:GO61)</f>
        <v/>
      </c>
      <c r="GQ61" s="7" t="n">
        <v>0</v>
      </c>
      <c r="GR61" s="7">
        <f>GP61+GQ61</f>
        <v/>
      </c>
      <c r="GS61" s="21" t="n"/>
    </row>
    <row r="62">
      <c r="A62" s="7" t="n">
        <v>67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>
        <v>1</v>
      </c>
      <c r="CK62" s="7" t="n"/>
      <c r="CL62" s="7" t="n">
        <v>5</v>
      </c>
      <c r="CM62" s="7" t="n"/>
      <c r="CN62" s="7" t="n">
        <v>1</v>
      </c>
      <c r="CO62" s="7" t="n">
        <v>3</v>
      </c>
      <c r="CP62" s="7" t="n"/>
      <c r="CQ62" s="7" t="n"/>
      <c r="CR62" s="7" t="n">
        <v>1</v>
      </c>
      <c r="CS62" s="7" t="n">
        <v>4</v>
      </c>
      <c r="CT62" s="7" t="n"/>
      <c r="CU62" s="7" t="n"/>
      <c r="CV62" s="7" t="n"/>
      <c r="CW62" s="7" t="n"/>
      <c r="CX62" s="7" t="n">
        <v>2</v>
      </c>
      <c r="CY62" s="7" t="n"/>
      <c r="CZ62" s="7" t="n">
        <v>4</v>
      </c>
      <c r="DA62" s="7" t="n">
        <v>2</v>
      </c>
      <c r="DB62" s="7" t="n"/>
      <c r="DC62" s="7" t="n"/>
      <c r="DD62" s="7" t="n"/>
      <c r="DE62" s="7" t="n"/>
      <c r="DF62" s="7" t="n">
        <v>17</v>
      </c>
      <c r="DG62" s="7" t="n"/>
      <c r="DH62" s="7" t="n"/>
      <c r="DI62" s="7" t="n"/>
      <c r="DJ62" s="7" t="n"/>
      <c r="DK62" s="7" t="n">
        <v>2</v>
      </c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>
        <v>1</v>
      </c>
      <c r="FG62" s="7" t="n"/>
      <c r="FH62" s="7" t="n"/>
      <c r="FI62" s="7" t="n">
        <v>1</v>
      </c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>
        <v>2</v>
      </c>
      <c r="FW62" s="7" t="n">
        <v>2</v>
      </c>
      <c r="FX62" s="7" t="n">
        <v>18</v>
      </c>
      <c r="FY62" s="7" t="n">
        <v>7</v>
      </c>
      <c r="FZ62" s="7" t="n">
        <v>4</v>
      </c>
      <c r="GA62" s="7" t="n">
        <v>6</v>
      </c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>
        <f>SUM(B62:GO62)</f>
        <v/>
      </c>
      <c r="GQ62" s="7" t="n">
        <v>10</v>
      </c>
      <c r="GR62" s="7">
        <f>GP62+GQ62</f>
        <v/>
      </c>
      <c r="GS62" s="21" t="n"/>
    </row>
    <row r="63">
      <c r="A63" s="7" t="n">
        <v>68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>
        <v>1</v>
      </c>
      <c r="CP63" s="7" t="n"/>
      <c r="CQ63" s="7" t="n"/>
      <c r="CR63" s="7" t="n">
        <v>1</v>
      </c>
      <c r="CS63" s="7" t="n"/>
      <c r="CT63" s="7" t="n"/>
      <c r="CU63" s="7" t="n"/>
      <c r="CV63" s="7" t="n"/>
      <c r="CW63" s="7" t="n"/>
      <c r="CX63" s="7" t="n"/>
      <c r="CY63" s="7" t="n">
        <v>1</v>
      </c>
      <c r="CZ63" s="7" t="n">
        <v>1</v>
      </c>
      <c r="DA63" s="7" t="n">
        <v>1</v>
      </c>
      <c r="DB63" s="7" t="n"/>
      <c r="DC63" s="7" t="n"/>
      <c r="DD63" s="7" t="n"/>
      <c r="DE63" s="7" t="n"/>
      <c r="DF63" s="7" t="n">
        <v>5</v>
      </c>
      <c r="DG63" s="7" t="n"/>
      <c r="DH63" s="7" t="n"/>
      <c r="DI63" s="7" t="n"/>
      <c r="DJ63" s="7" t="n"/>
      <c r="DK63" s="7" t="n">
        <v>1</v>
      </c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>
        <v>2</v>
      </c>
      <c r="FW63" s="7" t="n">
        <v>1</v>
      </c>
      <c r="FX63" s="7" t="n">
        <v>11</v>
      </c>
      <c r="FY63" s="7" t="n"/>
      <c r="FZ63" s="7" t="n">
        <v>1</v>
      </c>
      <c r="GA63" s="7" t="n">
        <v>4</v>
      </c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>
        <v>1</v>
      </c>
      <c r="GK63" s="7" t="n">
        <v>1</v>
      </c>
      <c r="GL63" s="7" t="n"/>
      <c r="GM63" s="7" t="n"/>
      <c r="GN63" s="7" t="n"/>
      <c r="GO63" s="7" t="n"/>
      <c r="GP63" s="7">
        <f>SUM(B63:GO63)</f>
        <v/>
      </c>
      <c r="GQ63" s="7" t="n">
        <v>6</v>
      </c>
      <c r="GR63" s="7">
        <f>GP63+GQ63</f>
        <v/>
      </c>
      <c r="GS63" s="21" t="n"/>
    </row>
    <row r="64">
      <c r="A64" s="7" t="n">
        <v>69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>
        <v>3</v>
      </c>
      <c r="CN64" s="7" t="n">
        <v>3</v>
      </c>
      <c r="CO64" s="7" t="n"/>
      <c r="CP64" s="7" t="n"/>
      <c r="CQ64" s="7" t="n"/>
      <c r="CR64" s="7" t="n">
        <v>2</v>
      </c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>
        <v>1</v>
      </c>
      <c r="DC64" s="7" t="n">
        <v>1</v>
      </c>
      <c r="DD64" s="7" t="n"/>
      <c r="DE64" s="7" t="n">
        <v>9</v>
      </c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>
        <v>5</v>
      </c>
      <c r="FS64" s="7" t="n">
        <v>1</v>
      </c>
      <c r="FT64" s="7" t="n">
        <v>3</v>
      </c>
      <c r="FU64" s="7" t="n">
        <v>1</v>
      </c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>
        <v>2</v>
      </c>
      <c r="GK64" s="7" t="n"/>
      <c r="GL64" s="7" t="n"/>
      <c r="GM64" s="7" t="n"/>
      <c r="GN64" s="7" t="n"/>
      <c r="GO64" s="7" t="n"/>
      <c r="GP64" s="7">
        <f>SUM(B64:GO64)</f>
        <v/>
      </c>
      <c r="GQ64" s="7" t="n">
        <v>0</v>
      </c>
      <c r="GR64" s="7">
        <f>GP64+GQ64</f>
        <v/>
      </c>
      <c r="GS64" s="21" t="n"/>
    </row>
    <row r="65">
      <c r="A65" s="7" t="n">
        <v>70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>
        <v>1</v>
      </c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>
        <v>1</v>
      </c>
      <c r="DE65" s="7" t="n"/>
      <c r="DF65" s="7" t="n">
        <v>1</v>
      </c>
      <c r="DG65" s="7" t="n"/>
      <c r="DH65" s="7" t="n"/>
      <c r="DI65" s="7" t="n"/>
      <c r="DJ65" s="7" t="n"/>
      <c r="DK65" s="7" t="n">
        <v>1</v>
      </c>
      <c r="DL65" s="7" t="n">
        <v>1</v>
      </c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>
        <v>5</v>
      </c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>
        <v>2</v>
      </c>
      <c r="GI65" s="7" t="n"/>
      <c r="GJ65" s="7" t="n">
        <v>2</v>
      </c>
      <c r="GK65" s="7" t="n"/>
      <c r="GL65" s="7" t="n"/>
      <c r="GM65" s="7" t="n"/>
      <c r="GN65" s="7" t="n"/>
      <c r="GO65" s="7" t="n"/>
      <c r="GP65" s="7">
        <f>SUM(B65:GO65)</f>
        <v/>
      </c>
      <c r="GQ65" s="7" t="n">
        <v>0</v>
      </c>
      <c r="GR65" s="7">
        <f>GP65+GQ65</f>
        <v/>
      </c>
      <c r="GS65" s="21" t="n"/>
    </row>
    <row r="66">
      <c r="A66" s="7" t="n">
        <v>71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>
        <v>1</v>
      </c>
      <c r="CJ66" s="7" t="n"/>
      <c r="CK66" s="7" t="n">
        <v>1</v>
      </c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>
        <v>1</v>
      </c>
      <c r="DE66" s="7" t="n"/>
      <c r="DF66" s="7" t="n"/>
      <c r="DG66" s="7" t="n"/>
      <c r="DH66" s="7" t="n"/>
      <c r="DI66" s="7" t="n"/>
      <c r="DJ66" s="7" t="n">
        <v>1</v>
      </c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>
        <v>1</v>
      </c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>
        <f>SUM(B66:GO66)</f>
        <v/>
      </c>
      <c r="GQ66" s="7" t="n">
        <v>0</v>
      </c>
      <c r="GR66" s="7">
        <f>GP66+GQ66</f>
        <v/>
      </c>
      <c r="GS66" s="21" t="n"/>
    </row>
    <row r="67">
      <c r="A67" s="7" t="n">
        <v>72</v>
      </c>
      <c r="B67" s="7" t="n"/>
      <c r="C67" s="7" t="n">
        <v>1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>
        <v>1</v>
      </c>
      <c r="CM67" s="7" t="n"/>
      <c r="CN67" s="7" t="n"/>
      <c r="CO67" s="7" t="n"/>
      <c r="CP67" s="7" t="n">
        <v>2</v>
      </c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>
        <v>12</v>
      </c>
      <c r="DG67" s="7" t="n">
        <v>4</v>
      </c>
      <c r="DH67" s="7" t="n">
        <v>2</v>
      </c>
      <c r="DI67" s="7" t="n">
        <v>1</v>
      </c>
      <c r="DJ67" s="7" t="n"/>
      <c r="DK67" s="7" t="n"/>
      <c r="DL67" s="7" t="n"/>
      <c r="DM67" s="7" t="n">
        <v>1</v>
      </c>
      <c r="DN67" s="7" t="n">
        <v>1</v>
      </c>
      <c r="DO67" s="7" t="n">
        <v>3</v>
      </c>
      <c r="DP67" s="7" t="n">
        <v>4</v>
      </c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>
        <f>SUM(B67:GO67)</f>
        <v/>
      </c>
      <c r="GQ67" s="7" t="n">
        <v>1</v>
      </c>
      <c r="GR67" s="7">
        <f>GP67+GQ67</f>
        <v/>
      </c>
      <c r="GS67" s="21" t="n"/>
    </row>
    <row r="68">
      <c r="A68" s="7" t="n">
        <v>73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>
        <v>2</v>
      </c>
      <c r="DG68" s="7" t="n">
        <v>1</v>
      </c>
      <c r="DH68" s="7" t="n">
        <v>2</v>
      </c>
      <c r="DI68" s="7" t="n"/>
      <c r="DJ68" s="7" t="n"/>
      <c r="DK68" s="7" t="n"/>
      <c r="DL68" s="7" t="n"/>
      <c r="DM68" s="7" t="n"/>
      <c r="DN68" s="7" t="n"/>
      <c r="DO68" s="7" t="n">
        <v>3</v>
      </c>
      <c r="DP68" s="7" t="n">
        <v>15</v>
      </c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>
        <v>2</v>
      </c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>
        <v>1</v>
      </c>
      <c r="GB68" s="7" t="n">
        <v>1</v>
      </c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>
        <f>SUM(B68:GO68)</f>
        <v/>
      </c>
      <c r="GQ68" s="7" t="n">
        <v>0</v>
      </c>
      <c r="GR68" s="7">
        <f>GP68+GQ68</f>
        <v/>
      </c>
      <c r="GS68" s="21" t="n"/>
    </row>
    <row r="69">
      <c r="A69" s="7" t="n">
        <v>74</v>
      </c>
      <c r="B69" s="7" t="n"/>
      <c r="C69" s="7" t="n"/>
      <c r="D69" s="7" t="n"/>
      <c r="E69" s="7" t="n"/>
      <c r="F69" s="7" t="n"/>
      <c r="G69" s="7" t="n">
        <v>4</v>
      </c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>
        <v>3</v>
      </c>
      <c r="DG69" s="7" t="n"/>
      <c r="DH69" s="7" t="n"/>
      <c r="DI69" s="7" t="n">
        <v>2</v>
      </c>
      <c r="DJ69" s="7" t="n"/>
      <c r="DK69" s="7" t="n"/>
      <c r="DL69" s="7" t="n"/>
      <c r="DM69" s="7" t="n"/>
      <c r="DN69" s="7" t="n"/>
      <c r="DO69" s="7" t="n">
        <v>11</v>
      </c>
      <c r="DP69" s="7" t="n">
        <v>35</v>
      </c>
      <c r="DQ69" s="7" t="n">
        <v>18</v>
      </c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>
        <v>1</v>
      </c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>
        <f>SUM(B69:GO69)</f>
        <v/>
      </c>
      <c r="GQ69" s="7" t="n">
        <v>9</v>
      </c>
      <c r="GR69" s="7">
        <f>GP69+GQ69</f>
        <v/>
      </c>
      <c r="GS69" s="21" t="n"/>
    </row>
    <row r="70">
      <c r="A70" s="7" t="n">
        <v>75</v>
      </c>
      <c r="B70" s="7" t="n"/>
      <c r="C70" s="7" t="n"/>
      <c r="D70" s="7" t="n"/>
      <c r="E70" s="7" t="n"/>
      <c r="F70" s="7" t="n"/>
      <c r="G70" s="7" t="n">
        <v>10</v>
      </c>
      <c r="H70" s="7" t="n">
        <v>1</v>
      </c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>
        <v>2</v>
      </c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>
        <v>8</v>
      </c>
      <c r="DP70" s="7" t="n">
        <v>51</v>
      </c>
      <c r="DQ70" s="7" t="n">
        <v>176</v>
      </c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>
        <v>6</v>
      </c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>
        <f>SUM(B70:GO70)</f>
        <v/>
      </c>
      <c r="GQ70" s="7" t="n">
        <v>36</v>
      </c>
      <c r="GR70" s="7">
        <f>GP70+GQ70</f>
        <v/>
      </c>
      <c r="GS70" s="21" t="n"/>
    </row>
    <row r="71">
      <c r="A71" s="7" t="n">
        <v>76</v>
      </c>
      <c r="B71" s="7" t="n"/>
      <c r="C71" s="7" t="n"/>
      <c r="D71" s="7" t="n"/>
      <c r="E71" s="7" t="n"/>
      <c r="F71" s="7" t="n"/>
      <c r="G71" s="7" t="n">
        <v>1</v>
      </c>
      <c r="H71" s="7" t="n">
        <v>1</v>
      </c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>
        <v>13</v>
      </c>
      <c r="DP71" s="7" t="n"/>
      <c r="DQ71" s="7" t="n">
        <v>100</v>
      </c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>
        <f>SUM(B71:GO71)</f>
        <v/>
      </c>
      <c r="GQ71" s="7" t="n">
        <v>14</v>
      </c>
      <c r="GR71" s="7">
        <f>GP71+GQ71</f>
        <v/>
      </c>
      <c r="GS71" s="21" t="n"/>
    </row>
    <row r="72">
      <c r="A72" s="7" t="n">
        <v>77</v>
      </c>
      <c r="B72" s="7" t="n"/>
      <c r="C72" s="7" t="n"/>
      <c r="D72" s="7" t="n"/>
      <c r="E72" s="7" t="n"/>
      <c r="F72" s="7" t="n"/>
      <c r="G72" s="7" t="n"/>
      <c r="H72" s="7" t="n">
        <v>1</v>
      </c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>
        <v>8</v>
      </c>
      <c r="DR72" s="7" t="n">
        <v>27</v>
      </c>
      <c r="DS72" s="7" t="n"/>
      <c r="DT72" s="7" t="n">
        <v>1</v>
      </c>
      <c r="DU72" s="7" t="n">
        <v>1</v>
      </c>
      <c r="DV72" s="7" t="n">
        <v>1</v>
      </c>
      <c r="DW72" s="7" t="n"/>
      <c r="DX72" s="7" t="n"/>
      <c r="DY72" s="7" t="n"/>
      <c r="DZ72" s="7" t="n"/>
      <c r="EA72" s="7" t="n"/>
      <c r="EB72" s="7" t="n"/>
      <c r="EC72" s="7" t="n">
        <v>1</v>
      </c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>
        <f>SUM(B72:GO72)</f>
        <v/>
      </c>
      <c r="GQ72" s="7" t="n">
        <v>6</v>
      </c>
      <c r="GR72" s="7">
        <f>GP72+GQ72</f>
        <v/>
      </c>
      <c r="GS72" s="21" t="n"/>
    </row>
    <row r="73">
      <c r="A73" s="7" t="n">
        <v>78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>
        <f>SUM(B73:GO73)</f>
        <v/>
      </c>
      <c r="GQ73" s="7" t="n">
        <v>0</v>
      </c>
      <c r="GR73" s="7">
        <f>GP73+GQ73</f>
        <v/>
      </c>
      <c r="GS73" s="21" t="n"/>
    </row>
    <row r="74">
      <c r="A74" s="7" t="n">
        <v>79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>
        <f>SUM(B74:GO74)</f>
        <v/>
      </c>
      <c r="GQ74" s="7" t="n">
        <v>0</v>
      </c>
      <c r="GR74" s="7">
        <f>GP74+GQ74</f>
        <v/>
      </c>
      <c r="GS74" s="21" t="n"/>
    </row>
    <row r="75">
      <c r="A75" s="7" t="n">
        <v>80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>
        <v>4</v>
      </c>
      <c r="DR75" s="7" t="n">
        <v>2</v>
      </c>
      <c r="DS75" s="7" t="n"/>
      <c r="DT75" s="7" t="n"/>
      <c r="DU75" s="7" t="n"/>
      <c r="DV75" s="7" t="n"/>
      <c r="DW75" s="7" t="n"/>
      <c r="DX75" s="7" t="n"/>
      <c r="DY75" s="7" t="n"/>
      <c r="DZ75" s="7" t="n">
        <v>1</v>
      </c>
      <c r="EA75" s="7" t="n"/>
      <c r="EB75" s="7" t="n">
        <v>1</v>
      </c>
      <c r="EC75" s="7" t="n"/>
      <c r="ED75" s="7" t="n"/>
      <c r="EE75" s="7" t="n">
        <v>2</v>
      </c>
      <c r="EF75" s="7" t="n"/>
      <c r="EG75" s="7" t="n"/>
      <c r="EH75" s="7" t="n"/>
      <c r="EI75" s="7" t="n">
        <v>1</v>
      </c>
      <c r="EJ75" s="7" t="n">
        <v>1</v>
      </c>
      <c r="EK75" s="7" t="n"/>
      <c r="EL75" s="7" t="n"/>
      <c r="EM75" s="7" t="n"/>
      <c r="EN75" s="7" t="n"/>
      <c r="EO75" s="7" t="n"/>
      <c r="EP75" s="7" t="n"/>
      <c r="EQ75" s="7" t="n">
        <v>2</v>
      </c>
      <c r="ER75" s="7" t="n"/>
      <c r="ES75" s="7" t="n"/>
      <c r="ET75" s="7" t="n">
        <v>11</v>
      </c>
      <c r="EU75" s="7" t="n"/>
      <c r="EV75" s="7" t="n"/>
      <c r="EW75" s="7" t="n"/>
      <c r="EX75" s="7" t="n"/>
      <c r="EY75" s="7" t="n"/>
      <c r="EZ75" s="7" t="n">
        <v>1</v>
      </c>
      <c r="FA75" s="7" t="n">
        <v>1</v>
      </c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>
        <f>SUM(B75:GO75)</f>
        <v/>
      </c>
      <c r="GQ75" s="7" t="n">
        <v>1</v>
      </c>
      <c r="GR75" s="7">
        <f>GP75+GQ75</f>
        <v/>
      </c>
      <c r="GS75" s="21" t="n"/>
    </row>
    <row r="76">
      <c r="A76" s="7" t="n">
        <v>81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>
        <v>2</v>
      </c>
      <c r="DT76" s="7" t="n"/>
      <c r="DU76" s="7" t="n"/>
      <c r="DV76" s="7" t="n"/>
      <c r="DW76" s="7" t="n">
        <v>1</v>
      </c>
      <c r="DX76" s="7" t="n">
        <v>1</v>
      </c>
      <c r="DY76" s="7" t="n">
        <v>2</v>
      </c>
      <c r="DZ76" s="7" t="n">
        <v>1</v>
      </c>
      <c r="EA76" s="7" t="n">
        <v>2</v>
      </c>
      <c r="EB76" s="7" t="n">
        <v>4</v>
      </c>
      <c r="EC76" s="7" t="n"/>
      <c r="ED76" s="7" t="n">
        <v>4</v>
      </c>
      <c r="EE76" s="7" t="n">
        <v>5</v>
      </c>
      <c r="EF76" s="7" t="n"/>
      <c r="EG76" s="7" t="n"/>
      <c r="EH76" s="7" t="n"/>
      <c r="EI76" s="7" t="n">
        <v>7</v>
      </c>
      <c r="EJ76" s="7" t="n"/>
      <c r="EK76" s="7" t="n">
        <v>3</v>
      </c>
      <c r="EL76" s="7" t="n">
        <v>8</v>
      </c>
      <c r="EM76" s="7" t="n"/>
      <c r="EN76" s="7" t="n"/>
      <c r="EO76" s="7" t="n"/>
      <c r="EP76" s="7" t="n"/>
      <c r="EQ76" s="7" t="n">
        <v>1</v>
      </c>
      <c r="ER76" s="7" t="n">
        <v>2</v>
      </c>
      <c r="ES76" s="7" t="n"/>
      <c r="ET76" s="7" t="n">
        <v>69</v>
      </c>
      <c r="EU76" s="7" t="n"/>
      <c r="EV76" s="7" t="n"/>
      <c r="EW76" s="7" t="n"/>
      <c r="EX76" s="7" t="n"/>
      <c r="EY76" s="7" t="n">
        <v>3</v>
      </c>
      <c r="EZ76" s="7" t="n"/>
      <c r="FA76" s="7" t="n">
        <v>4</v>
      </c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>
        <f>SUM(B76:GO76)</f>
        <v/>
      </c>
      <c r="GQ76" s="7" t="n">
        <v>23</v>
      </c>
      <c r="GR76" s="7">
        <f>GP76+GQ76</f>
        <v/>
      </c>
      <c r="GS76" s="21" t="n"/>
    </row>
    <row r="77">
      <c r="A77" s="7" t="n">
        <v>82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>
        <v>3</v>
      </c>
      <c r="EB77" s="7" t="n"/>
      <c r="EC77" s="7" t="n"/>
      <c r="ED77" s="7" t="n">
        <v>8</v>
      </c>
      <c r="EE77" s="7" t="n">
        <v>5</v>
      </c>
      <c r="EF77" s="7" t="n">
        <v>1</v>
      </c>
      <c r="EG77" s="7" t="n">
        <v>5</v>
      </c>
      <c r="EH77" s="7" t="n">
        <v>1</v>
      </c>
      <c r="EI77" s="7" t="n">
        <v>4</v>
      </c>
      <c r="EJ77" s="7" t="n">
        <v>4</v>
      </c>
      <c r="EK77" s="7" t="n">
        <v>11</v>
      </c>
      <c r="EL77" s="7" t="n"/>
      <c r="EM77" s="7" t="n"/>
      <c r="EN77" s="7" t="n">
        <v>1</v>
      </c>
      <c r="EO77" s="7" t="n">
        <v>2</v>
      </c>
      <c r="EP77" s="7" t="n">
        <v>4</v>
      </c>
      <c r="EQ77" s="7" t="n"/>
      <c r="ER77" s="7" t="n"/>
      <c r="ES77" s="7" t="n">
        <v>2</v>
      </c>
      <c r="ET77" s="7" t="n">
        <v>7</v>
      </c>
      <c r="EU77" s="7" t="n">
        <v>43</v>
      </c>
      <c r="EV77" s="7" t="n">
        <v>1</v>
      </c>
      <c r="EW77" s="7" t="n">
        <v>1</v>
      </c>
      <c r="EX77" s="7" t="n">
        <v>2</v>
      </c>
      <c r="EY77" s="7" t="n"/>
      <c r="EZ77" s="7" t="n"/>
      <c r="FA77" s="7" t="n"/>
      <c r="FB77" s="7" t="n">
        <v>7</v>
      </c>
      <c r="FC77" s="7" t="n">
        <v>1</v>
      </c>
      <c r="FD77" s="7" t="n">
        <v>3</v>
      </c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>
        <f>SUM(B77:GO77)</f>
        <v/>
      </c>
      <c r="GQ77" s="7" t="n">
        <v>18</v>
      </c>
      <c r="GR77" s="7">
        <f>GP77+GQ77</f>
        <v/>
      </c>
      <c r="GS77" s="21" t="n"/>
    </row>
    <row r="78">
      <c r="A78" s="7" t="n">
        <v>83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>
        <v>2</v>
      </c>
      <c r="EE78" s="7" t="n">
        <v>3</v>
      </c>
      <c r="EF78" s="7" t="n"/>
      <c r="EG78" s="7" t="n">
        <v>3</v>
      </c>
      <c r="EH78" s="7" t="n"/>
      <c r="EI78" s="7" t="n">
        <v>1</v>
      </c>
      <c r="EJ78" s="7" t="n">
        <v>1</v>
      </c>
      <c r="EK78" s="7" t="n">
        <v>3</v>
      </c>
      <c r="EL78" s="7" t="n"/>
      <c r="EM78" s="7" t="n">
        <v>1</v>
      </c>
      <c r="EN78" s="7" t="n"/>
      <c r="EO78" s="7" t="n"/>
      <c r="EP78" s="7" t="n">
        <v>3</v>
      </c>
      <c r="EQ78" s="7" t="n"/>
      <c r="ER78" s="7" t="n"/>
      <c r="ES78" s="7" t="n"/>
      <c r="ET78" s="7" t="n">
        <v>1</v>
      </c>
      <c r="EU78" s="7" t="n">
        <v>4</v>
      </c>
      <c r="EV78" s="7" t="n"/>
      <c r="EW78" s="7" t="n"/>
      <c r="EX78" s="7" t="n"/>
      <c r="EY78" s="7" t="n"/>
      <c r="EZ78" s="7" t="n"/>
      <c r="FA78" s="7" t="n"/>
      <c r="FB78" s="7" t="n">
        <v>1</v>
      </c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>
        <f>SUM(B78:GO78)</f>
        <v/>
      </c>
      <c r="GQ78" s="7" t="n">
        <v>0</v>
      </c>
      <c r="GR78" s="7">
        <f>GP78+GQ78</f>
        <v/>
      </c>
      <c r="GS78" s="21" t="n"/>
    </row>
    <row r="79">
      <c r="A79" s="7" t="n">
        <v>84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>
        <f>SUM(B79:GO79)</f>
        <v/>
      </c>
      <c r="GQ79" s="7" t="n">
        <v>0</v>
      </c>
      <c r="GR79" s="7">
        <f>GP79+GQ79</f>
        <v/>
      </c>
      <c r="GS79" s="21" t="n"/>
    </row>
    <row r="80">
      <c r="A80" s="7" t="n">
        <v>85</v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>
        <f>SUM(B80:GO80)</f>
        <v/>
      </c>
      <c r="GQ80" s="7" t="n">
        <v>0</v>
      </c>
      <c r="GR80" s="7">
        <f>GP80+GQ80</f>
        <v/>
      </c>
      <c r="GS80" s="21" t="n"/>
    </row>
    <row r="81">
      <c r="A81" s="7" t="n">
        <v>86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>
        <f>SUM(B81:GO81)</f>
        <v/>
      </c>
      <c r="GQ81" s="7" t="n">
        <v>0</v>
      </c>
      <c r="GR81" s="7">
        <f>GP81+GQ81</f>
        <v/>
      </c>
      <c r="GS81" s="21" t="n"/>
    </row>
    <row r="82">
      <c r="A82" s="15" t="inlineStr">
        <is>
          <t>TOTAL</t>
        </is>
      </c>
      <c r="B82" s="15">
        <f>SUM(B2:B81)</f>
        <v/>
      </c>
      <c r="C82" s="15">
        <f>SUM(C2:C81)</f>
        <v/>
      </c>
      <c r="D82" s="15">
        <f>SUM(D2:D81)</f>
        <v/>
      </c>
      <c r="E82" s="15">
        <f>SUM(E2:E81)</f>
        <v/>
      </c>
      <c r="F82" s="15">
        <f>SUM(F2:F81)</f>
        <v/>
      </c>
      <c r="G82" s="15">
        <f>SUM(G2:G81)</f>
        <v/>
      </c>
      <c r="H82" s="15">
        <f>SUM(H2:H81)</f>
        <v/>
      </c>
      <c r="I82" s="15">
        <f>SUM(I2:I81)</f>
        <v/>
      </c>
      <c r="J82" s="15">
        <f>SUM(J2:J81)</f>
        <v/>
      </c>
      <c r="K82" s="15">
        <f>SUM(K2:K81)</f>
        <v/>
      </c>
      <c r="L82" s="15">
        <f>SUM(L2:L81)</f>
        <v/>
      </c>
      <c r="M82" s="15">
        <f>SUM(M2:M81)</f>
        <v/>
      </c>
      <c r="N82" s="15">
        <f>SUM(N2:N81)</f>
        <v/>
      </c>
      <c r="O82" s="15">
        <f>SUM(O2:O81)</f>
        <v/>
      </c>
      <c r="P82" s="15">
        <f>SUM(P2:P81)</f>
        <v/>
      </c>
      <c r="Q82" s="15">
        <f>SUM(Q2:Q81)</f>
        <v/>
      </c>
      <c r="R82" s="15">
        <f>SUM(R2:R81)</f>
        <v/>
      </c>
      <c r="S82" s="15">
        <f>SUM(S2:S81)</f>
        <v/>
      </c>
      <c r="T82" s="15">
        <f>SUM(T2:T81)</f>
        <v/>
      </c>
      <c r="U82" s="15">
        <f>SUM(U2:U81)</f>
        <v/>
      </c>
      <c r="V82" s="15">
        <f>SUM(V2:V81)</f>
        <v/>
      </c>
      <c r="W82" s="15">
        <f>SUM(W2:W81)</f>
        <v/>
      </c>
      <c r="X82" s="15">
        <f>SUM(X2:X81)</f>
        <v/>
      </c>
      <c r="Y82" s="15">
        <f>SUM(Y2:Y81)</f>
        <v/>
      </c>
      <c r="Z82" s="15">
        <f>SUM(Z2:Z81)</f>
        <v/>
      </c>
      <c r="AA82" s="15">
        <f>SUM(AA2:AA81)</f>
        <v/>
      </c>
      <c r="AB82" s="15">
        <f>SUM(AB2:AB81)</f>
        <v/>
      </c>
      <c r="AC82" s="15">
        <f>SUM(AC2:AC81)</f>
        <v/>
      </c>
      <c r="AD82" s="15">
        <f>SUM(AD2:AD81)</f>
        <v/>
      </c>
      <c r="AE82" s="15">
        <f>SUM(AE2:AE81)</f>
        <v/>
      </c>
      <c r="AF82" s="15">
        <f>SUM(AF2:AF81)</f>
        <v/>
      </c>
      <c r="AG82" s="15">
        <f>SUM(AG2:AG81)</f>
        <v/>
      </c>
      <c r="AH82" s="15">
        <f>SUM(AH2:AH81)</f>
        <v/>
      </c>
      <c r="AI82" s="15">
        <f>SUM(AI2:AI81)</f>
        <v/>
      </c>
      <c r="AJ82" s="15">
        <f>SUM(AJ2:AJ81)</f>
        <v/>
      </c>
      <c r="AK82" s="15">
        <f>SUM(AK2:AK81)</f>
        <v/>
      </c>
      <c r="AL82" s="15">
        <f>SUM(AL2:AL81)</f>
        <v/>
      </c>
      <c r="AM82" s="15">
        <f>SUM(AM2:AM81)</f>
        <v/>
      </c>
      <c r="AN82" s="15">
        <f>SUM(AN2:AN81)</f>
        <v/>
      </c>
      <c r="AO82" s="15">
        <f>SUM(AO2:AO81)</f>
        <v/>
      </c>
      <c r="AP82" s="15">
        <f>SUM(AP2:AP81)</f>
        <v/>
      </c>
      <c r="AQ82" s="15">
        <f>SUM(AQ2:AQ81)</f>
        <v/>
      </c>
      <c r="AR82" s="15">
        <f>SUM(AR2:AR81)</f>
        <v/>
      </c>
      <c r="AS82" s="15">
        <f>SUM(AS2:AS81)</f>
        <v/>
      </c>
      <c r="AT82" s="15">
        <f>SUM(AT2:AT81)</f>
        <v/>
      </c>
      <c r="AU82" s="15">
        <f>SUM(AU2:AU81)</f>
        <v/>
      </c>
      <c r="AV82" s="15">
        <f>SUM(AV2:AV81)</f>
        <v/>
      </c>
      <c r="AW82" s="15">
        <f>SUM(AW2:AW81)</f>
        <v/>
      </c>
      <c r="AX82" s="15">
        <f>SUM(AX2:AX81)</f>
        <v/>
      </c>
      <c r="AY82" s="15">
        <f>SUM(AY2:AY81)</f>
        <v/>
      </c>
      <c r="AZ82" s="15">
        <f>SUM(AZ2:AZ81)</f>
        <v/>
      </c>
      <c r="BA82" s="15">
        <f>SUM(BA2:BA81)</f>
        <v/>
      </c>
      <c r="BB82" s="15">
        <f>SUM(BB2:BB81)</f>
        <v/>
      </c>
      <c r="BC82" s="15">
        <f>SUM(BC2:BC81)</f>
        <v/>
      </c>
      <c r="BD82" s="15">
        <f>SUM(BD2:BD81)</f>
        <v/>
      </c>
      <c r="BE82" s="15">
        <f>SUM(BE2:BE81)</f>
        <v/>
      </c>
      <c r="BF82" s="15">
        <f>SUM(BF2:BF81)</f>
        <v/>
      </c>
      <c r="BG82" s="15">
        <f>SUM(BG2:BG81)</f>
        <v/>
      </c>
      <c r="BH82" s="15">
        <f>SUM(BH2:BH81)</f>
        <v/>
      </c>
      <c r="BI82" s="15">
        <f>SUM(BI2:BI81)</f>
        <v/>
      </c>
      <c r="BJ82" s="15">
        <f>SUM(BJ2:BJ81)</f>
        <v/>
      </c>
      <c r="BK82" s="15">
        <f>SUM(BK2:BK81)</f>
        <v/>
      </c>
      <c r="BL82" s="15">
        <f>SUM(BL2:BL81)</f>
        <v/>
      </c>
      <c r="BM82" s="15">
        <f>SUM(BM2:BM81)</f>
        <v/>
      </c>
      <c r="BN82" s="15">
        <f>SUM(BN2:BN81)</f>
        <v/>
      </c>
      <c r="BO82" s="15">
        <f>SUM(BO2:BO81)</f>
        <v/>
      </c>
      <c r="BP82" s="15">
        <f>SUM(BP2:BP81)</f>
        <v/>
      </c>
      <c r="BQ82" s="15">
        <f>SUM(BQ2:BQ81)</f>
        <v/>
      </c>
      <c r="BR82" s="15">
        <f>SUM(BR2:BR81)</f>
        <v/>
      </c>
      <c r="BS82" s="15">
        <f>SUM(BS2:BS81)</f>
        <v/>
      </c>
      <c r="BT82" s="15">
        <f>SUM(BT2:BT81)</f>
        <v/>
      </c>
      <c r="BU82" s="15">
        <f>SUM(BU2:BU81)</f>
        <v/>
      </c>
      <c r="BV82" s="15">
        <f>SUM(BV2:BV81)</f>
        <v/>
      </c>
      <c r="BW82" s="15">
        <f>SUM(BW2:BW81)</f>
        <v/>
      </c>
      <c r="BX82" s="15">
        <f>SUM(BX2:BX81)</f>
        <v/>
      </c>
      <c r="BY82" s="15">
        <f>SUM(BY2:BY81)</f>
        <v/>
      </c>
      <c r="BZ82" s="15">
        <f>SUM(BZ2:BZ81)</f>
        <v/>
      </c>
      <c r="CA82" s="15">
        <f>SUM(CA2:CA81)</f>
        <v/>
      </c>
      <c r="CB82" s="15">
        <f>SUM(CB2:CB81)</f>
        <v/>
      </c>
      <c r="CC82" s="15">
        <f>SUM(CC2:CC81)</f>
        <v/>
      </c>
      <c r="CD82" s="15">
        <f>SUM(CD2:CD81)</f>
        <v/>
      </c>
      <c r="CE82" s="15">
        <f>SUM(CE2:CE81)</f>
        <v/>
      </c>
      <c r="CF82" s="15">
        <f>SUM(CF2:CF81)</f>
        <v/>
      </c>
      <c r="CG82" s="15">
        <f>SUM(CG2:CG81)</f>
        <v/>
      </c>
      <c r="CH82" s="15">
        <f>SUM(CH2:CH81)</f>
        <v/>
      </c>
      <c r="CI82" s="15">
        <f>SUM(CI2:CI81)</f>
        <v/>
      </c>
      <c r="CJ82" s="15">
        <f>SUM(CJ2:CJ81)</f>
        <v/>
      </c>
      <c r="CK82" s="15">
        <f>SUM(CK2:CK81)</f>
        <v/>
      </c>
      <c r="CL82" s="15">
        <f>SUM(CL2:CL81)</f>
        <v/>
      </c>
      <c r="CM82" s="15">
        <f>SUM(CM2:CM81)</f>
        <v/>
      </c>
      <c r="CN82" s="15">
        <f>SUM(CN2:CN81)</f>
        <v/>
      </c>
      <c r="CO82" s="15">
        <f>SUM(CO2:CO81)</f>
        <v/>
      </c>
      <c r="CP82" s="15">
        <f>SUM(CP2:CP81)</f>
        <v/>
      </c>
      <c r="CQ82" s="15">
        <f>SUM(CQ2:CQ81)</f>
        <v/>
      </c>
      <c r="CR82" s="15">
        <f>SUM(CR2:CR81)</f>
        <v/>
      </c>
      <c r="CS82" s="15">
        <f>SUM(CS2:CS81)</f>
        <v/>
      </c>
      <c r="CT82" s="15">
        <f>SUM(CT2:CT81)</f>
        <v/>
      </c>
      <c r="CU82" s="15">
        <f>SUM(CU2:CU81)</f>
        <v/>
      </c>
      <c r="CV82" s="15">
        <f>SUM(CV2:CV81)</f>
        <v/>
      </c>
      <c r="CW82" s="15">
        <f>SUM(CW2:CW81)</f>
        <v/>
      </c>
      <c r="CX82" s="15">
        <f>SUM(CX2:CX81)</f>
        <v/>
      </c>
      <c r="CY82" s="15">
        <f>SUM(CY2:CY81)</f>
        <v/>
      </c>
      <c r="CZ82" s="15">
        <f>SUM(CZ2:CZ81)</f>
        <v/>
      </c>
      <c r="DA82" s="15">
        <f>SUM(DA2:DA81)</f>
        <v/>
      </c>
      <c r="DB82" s="15">
        <f>SUM(DB2:DB81)</f>
        <v/>
      </c>
      <c r="DC82" s="15">
        <f>SUM(DC2:DC81)</f>
        <v/>
      </c>
      <c r="DD82" s="15">
        <f>SUM(DD2:DD81)</f>
        <v/>
      </c>
      <c r="DE82" s="15">
        <f>SUM(DE2:DE81)</f>
        <v/>
      </c>
      <c r="DF82" s="15">
        <f>SUM(DF2:DF81)</f>
        <v/>
      </c>
      <c r="DG82" s="15">
        <f>SUM(DG2:DG81)</f>
        <v/>
      </c>
      <c r="DH82" s="15">
        <f>SUM(DH2:DH81)</f>
        <v/>
      </c>
      <c r="DI82" s="15">
        <f>SUM(DI2:DI81)</f>
        <v/>
      </c>
      <c r="DJ82" s="15">
        <f>SUM(DJ2:DJ81)</f>
        <v/>
      </c>
      <c r="DK82" s="15">
        <f>SUM(DK2:DK81)</f>
        <v/>
      </c>
      <c r="DL82" s="15">
        <f>SUM(DL2:DL81)</f>
        <v/>
      </c>
      <c r="DM82" s="15">
        <f>SUM(DM2:DM81)</f>
        <v/>
      </c>
      <c r="DN82" s="15">
        <f>SUM(DN2:DN81)</f>
        <v/>
      </c>
      <c r="DO82" s="15">
        <f>SUM(DO2:DO81)</f>
        <v/>
      </c>
      <c r="DP82" s="15">
        <f>SUM(DP2:DP81)</f>
        <v/>
      </c>
      <c r="DQ82" s="15">
        <f>SUM(DQ2:DQ81)</f>
        <v/>
      </c>
      <c r="DR82" s="15">
        <f>SUM(DR2:DR81)</f>
        <v/>
      </c>
      <c r="DS82" s="15">
        <f>SUM(DS2:DS81)</f>
        <v/>
      </c>
      <c r="DT82" s="15">
        <f>SUM(DT2:DT81)</f>
        <v/>
      </c>
      <c r="DU82" s="15">
        <f>SUM(DU2:DU81)</f>
        <v/>
      </c>
      <c r="DV82" s="15">
        <f>SUM(DV2:DV81)</f>
        <v/>
      </c>
      <c r="DW82" s="15">
        <f>SUM(DW2:DW81)</f>
        <v/>
      </c>
      <c r="DX82" s="15">
        <f>SUM(DX2:DX81)</f>
        <v/>
      </c>
      <c r="DY82" s="15">
        <f>SUM(DY2:DY81)</f>
        <v/>
      </c>
      <c r="DZ82" s="15">
        <f>SUM(DZ2:DZ81)</f>
        <v/>
      </c>
      <c r="EA82" s="15">
        <f>SUM(EA2:EA81)</f>
        <v/>
      </c>
      <c r="EB82" s="15">
        <f>SUM(EB2:EB81)</f>
        <v/>
      </c>
      <c r="EC82" s="15">
        <f>SUM(EC2:EC81)</f>
        <v/>
      </c>
      <c r="ED82" s="15">
        <f>SUM(ED2:ED81)</f>
        <v/>
      </c>
      <c r="EE82" s="15">
        <f>SUM(EE2:EE81)</f>
        <v/>
      </c>
      <c r="EF82" s="15">
        <f>SUM(EF2:EF81)</f>
        <v/>
      </c>
      <c r="EG82" s="15">
        <f>SUM(EG2:EG81)</f>
        <v/>
      </c>
      <c r="EH82" s="15">
        <f>SUM(EH2:EH81)</f>
        <v/>
      </c>
      <c r="EI82" s="15">
        <f>SUM(EI2:EI81)</f>
        <v/>
      </c>
      <c r="EJ82" s="15">
        <f>SUM(EJ2:EJ81)</f>
        <v/>
      </c>
      <c r="EK82" s="15">
        <f>SUM(EK2:EK81)</f>
        <v/>
      </c>
      <c r="EL82" s="15">
        <f>SUM(EL2:EL81)</f>
        <v/>
      </c>
      <c r="EM82" s="15">
        <f>SUM(EM2:EM81)</f>
        <v/>
      </c>
      <c r="EN82" s="15">
        <f>SUM(EN2:EN81)</f>
        <v/>
      </c>
      <c r="EO82" s="15">
        <f>SUM(EO2:EO81)</f>
        <v/>
      </c>
      <c r="EP82" s="15">
        <f>SUM(EP2:EP81)</f>
        <v/>
      </c>
      <c r="EQ82" s="15">
        <f>SUM(EQ2:EQ81)</f>
        <v/>
      </c>
      <c r="ER82" s="15">
        <f>SUM(ER2:ER81)</f>
        <v/>
      </c>
      <c r="ES82" s="15">
        <f>SUM(ES2:ES81)</f>
        <v/>
      </c>
      <c r="ET82" s="15">
        <f>SUM(ET2:ET81)</f>
        <v/>
      </c>
      <c r="EU82" s="15">
        <f>SUM(EU2:EU81)</f>
        <v/>
      </c>
      <c r="EV82" s="15">
        <f>SUM(EV2:EV81)</f>
        <v/>
      </c>
      <c r="EW82" s="15">
        <f>SUM(EW2:EW81)</f>
        <v/>
      </c>
      <c r="EX82" s="15">
        <f>SUM(EX2:EX81)</f>
        <v/>
      </c>
      <c r="EY82" s="15">
        <f>SUM(EY2:EY81)</f>
        <v/>
      </c>
      <c r="EZ82" s="15">
        <f>SUM(EZ2:EZ81)</f>
        <v/>
      </c>
      <c r="FA82" s="15">
        <f>SUM(FA2:FA81)</f>
        <v/>
      </c>
      <c r="FB82" s="15">
        <f>SUM(FB2:FB81)</f>
        <v/>
      </c>
      <c r="FC82" s="15">
        <f>SUM(FC2:FC81)</f>
        <v/>
      </c>
      <c r="FD82" s="15">
        <f>SUM(FD2:FD81)</f>
        <v/>
      </c>
      <c r="FE82" s="15">
        <f>SUM(FE2:FE81)</f>
        <v/>
      </c>
      <c r="FF82" s="15">
        <f>SUM(FF2:FF81)</f>
        <v/>
      </c>
      <c r="FG82" s="15">
        <f>SUM(FG2:FG81)</f>
        <v/>
      </c>
      <c r="FH82" s="15">
        <f>SUM(FH2:FH81)</f>
        <v/>
      </c>
      <c r="FI82" s="15">
        <f>SUM(FI2:FI81)</f>
        <v/>
      </c>
      <c r="FJ82" s="15">
        <f>SUM(FJ2:FJ81)</f>
        <v/>
      </c>
      <c r="FK82" s="15">
        <f>SUM(FK2:FK81)</f>
        <v/>
      </c>
      <c r="FL82" s="15">
        <f>SUM(FL2:FL81)</f>
        <v/>
      </c>
      <c r="FM82" s="15">
        <f>SUM(FM2:FM81)</f>
        <v/>
      </c>
      <c r="FN82" s="15">
        <f>SUM(FN2:FN81)</f>
        <v/>
      </c>
      <c r="FO82" s="15">
        <f>SUM(FO2:FO81)</f>
        <v/>
      </c>
      <c r="FP82" s="15">
        <f>SUM(FP2:FP81)</f>
        <v/>
      </c>
      <c r="FQ82" s="15">
        <f>SUM(FQ2:FQ81)</f>
        <v/>
      </c>
      <c r="FR82" s="15">
        <f>SUM(FR2:FR81)</f>
        <v/>
      </c>
      <c r="FS82" s="15">
        <f>SUM(FS2:FS81)</f>
        <v/>
      </c>
      <c r="FT82" s="15">
        <f>SUM(FT2:FT81)</f>
        <v/>
      </c>
      <c r="FU82" s="15">
        <f>SUM(FU2:FU81)</f>
        <v/>
      </c>
      <c r="FV82" s="15">
        <f>SUM(FV2:FV81)</f>
        <v/>
      </c>
      <c r="FW82" s="15">
        <f>SUM(FW2:FW81)</f>
        <v/>
      </c>
      <c r="FX82" s="15">
        <f>SUM(FX2:FX81)</f>
        <v/>
      </c>
      <c r="FY82" s="15">
        <f>SUM(FY2:FY81)</f>
        <v/>
      </c>
      <c r="FZ82" s="15">
        <f>SUM(FZ2:FZ81)</f>
        <v/>
      </c>
      <c r="GA82" s="15">
        <f>SUM(GA2:GA81)</f>
        <v/>
      </c>
      <c r="GB82" s="15">
        <f>SUM(GB2:GB81)</f>
        <v/>
      </c>
      <c r="GC82" s="15">
        <f>SUM(GC2:GC81)</f>
        <v/>
      </c>
      <c r="GD82" s="15">
        <f>SUM(GD2:GD81)</f>
        <v/>
      </c>
      <c r="GE82" s="15">
        <f>SUM(GE2:GE81)</f>
        <v/>
      </c>
      <c r="GF82" s="15">
        <f>SUM(GF2:GF81)</f>
        <v/>
      </c>
      <c r="GG82" s="15">
        <f>SUM(GG2:GG81)</f>
        <v/>
      </c>
      <c r="GH82" s="15">
        <f>SUM(GH2:GH81)</f>
        <v/>
      </c>
      <c r="GI82" s="15">
        <f>SUM(GI2:GI81)</f>
        <v/>
      </c>
      <c r="GJ82" s="15">
        <f>SUM(GJ2:GJ81)</f>
        <v/>
      </c>
      <c r="GK82" s="15">
        <f>SUM(GK2:GK81)</f>
        <v/>
      </c>
      <c r="GL82" s="15">
        <f>SUM(GL2:GL81)</f>
        <v/>
      </c>
      <c r="GM82" s="15">
        <f>SUM(GM2:GM81)</f>
        <v/>
      </c>
      <c r="GN82" s="15">
        <f>SUM(GN2:GN81)</f>
        <v/>
      </c>
      <c r="GO82" s="15">
        <f>SUM(GO2:GO81)</f>
        <v/>
      </c>
      <c r="GP82" s="15">
        <f>SUM(GP2:GP81)</f>
        <v/>
      </c>
      <c r="GQ82" s="15">
        <f>SUM(GQ2:GQ81)</f>
        <v/>
      </c>
      <c r="GR82" s="15">
        <f>SUM(GR2:GR81)</f>
        <v/>
      </c>
    </row>
    <row r="83">
      <c r="A83" s="15" t="inlineStr">
        <is>
          <t>% of all sequenced</t>
        </is>
      </c>
      <c r="B83" s="16">
        <f>IFERROR(B82/$GR$82,"")</f>
        <v/>
      </c>
      <c r="C83" s="16">
        <f>IFERROR(C82/$GR$82,"")</f>
        <v/>
      </c>
      <c r="D83" s="16">
        <f>IFERROR(D82/$GR$82,"")</f>
        <v/>
      </c>
      <c r="E83" s="16">
        <f>IFERROR(E82/$GR$82,"")</f>
        <v/>
      </c>
      <c r="F83" s="16">
        <f>IFERROR(F82/$GR$82,"")</f>
        <v/>
      </c>
      <c r="G83" s="16">
        <f>IFERROR(G82/$GR$82,"")</f>
        <v/>
      </c>
      <c r="H83" s="16">
        <f>IFERROR(H82/$GR$82,"")</f>
        <v/>
      </c>
      <c r="I83" s="16">
        <f>IFERROR(I82/$GR$82,"")</f>
        <v/>
      </c>
      <c r="J83" s="16">
        <f>IFERROR(J82/$GR$82,"")</f>
        <v/>
      </c>
      <c r="K83" s="16">
        <f>IFERROR(K82/$GR$82,"")</f>
        <v/>
      </c>
      <c r="L83" s="16">
        <f>IFERROR(L82/$GR$82,"")</f>
        <v/>
      </c>
      <c r="M83" s="16">
        <f>IFERROR(M82/$GR$82,"")</f>
        <v/>
      </c>
      <c r="N83" s="16">
        <f>IFERROR(N82/$GR$82,"")</f>
        <v/>
      </c>
      <c r="O83" s="16">
        <f>IFERROR(O82/$GR$82,"")</f>
        <v/>
      </c>
      <c r="P83" s="16">
        <f>IFERROR(P82/$GR$82,"")</f>
        <v/>
      </c>
      <c r="Q83" s="16">
        <f>IFERROR(Q82/$GR$82,"")</f>
        <v/>
      </c>
      <c r="R83" s="16">
        <f>IFERROR(R82/$GR$82,"")</f>
        <v/>
      </c>
      <c r="S83" s="16">
        <f>IFERROR(S82/$GR$82,"")</f>
        <v/>
      </c>
      <c r="T83" s="16">
        <f>IFERROR(T82/$GR$82,"")</f>
        <v/>
      </c>
      <c r="U83" s="16">
        <f>IFERROR(U82/$GR$82,"")</f>
        <v/>
      </c>
      <c r="V83" s="16">
        <f>IFERROR(V82/$GR$82,"")</f>
        <v/>
      </c>
      <c r="W83" s="16">
        <f>IFERROR(W82/$GR$82,"")</f>
        <v/>
      </c>
      <c r="X83" s="16">
        <f>IFERROR(X82/$GR$82,"")</f>
        <v/>
      </c>
      <c r="Y83" s="16">
        <f>IFERROR(Y82/$GR$82,"")</f>
        <v/>
      </c>
      <c r="Z83" s="16">
        <f>IFERROR(Z82/$GR$82,"")</f>
        <v/>
      </c>
      <c r="AA83" s="16">
        <f>IFERROR(AA82/$GR$82,"")</f>
        <v/>
      </c>
      <c r="AB83" s="16">
        <f>IFERROR(AB82/$GR$82,"")</f>
        <v/>
      </c>
      <c r="AC83" s="16">
        <f>IFERROR(AC82/$GR$82,"")</f>
        <v/>
      </c>
      <c r="AD83" s="16">
        <f>IFERROR(AD82/$GR$82,"")</f>
        <v/>
      </c>
      <c r="AE83" s="16">
        <f>IFERROR(AE82/$GR$82,"")</f>
        <v/>
      </c>
      <c r="AF83" s="16">
        <f>IFERROR(AF82/$GR$82,"")</f>
        <v/>
      </c>
      <c r="AG83" s="16">
        <f>IFERROR(AG82/$GR$82,"")</f>
        <v/>
      </c>
      <c r="AH83" s="16">
        <f>IFERROR(AH82/$GR$82,"")</f>
        <v/>
      </c>
      <c r="AI83" s="16">
        <f>IFERROR(AI82/$GR$82,"")</f>
        <v/>
      </c>
      <c r="AJ83" s="16">
        <f>IFERROR(AJ82/$GR$82,"")</f>
        <v/>
      </c>
      <c r="AK83" s="16">
        <f>IFERROR(AK82/$GR$82,"")</f>
        <v/>
      </c>
      <c r="AL83" s="16">
        <f>IFERROR(AL82/$GR$82,"")</f>
        <v/>
      </c>
      <c r="AM83" s="16">
        <f>IFERROR(AM82/$GR$82,"")</f>
        <v/>
      </c>
      <c r="AN83" s="16">
        <f>IFERROR(AN82/$GR$82,"")</f>
        <v/>
      </c>
      <c r="AO83" s="16">
        <f>IFERROR(AO82/$GR$82,"")</f>
        <v/>
      </c>
      <c r="AP83" s="16">
        <f>IFERROR(AP82/$GR$82,"")</f>
        <v/>
      </c>
      <c r="AQ83" s="16">
        <f>IFERROR(AQ82/$GR$82,"")</f>
        <v/>
      </c>
      <c r="AR83" s="16">
        <f>IFERROR(AR82/$GR$82,"")</f>
        <v/>
      </c>
      <c r="AS83" s="16">
        <f>IFERROR(AS82/$GR$82,"")</f>
        <v/>
      </c>
      <c r="AT83" s="16">
        <f>IFERROR(AT82/$GR$82,"")</f>
        <v/>
      </c>
      <c r="AU83" s="16">
        <f>IFERROR(AU82/$GR$82,"")</f>
        <v/>
      </c>
      <c r="AV83" s="16">
        <f>IFERROR(AV82/$GR$82,"")</f>
        <v/>
      </c>
      <c r="AW83" s="16">
        <f>IFERROR(AW82/$GR$82,"")</f>
        <v/>
      </c>
      <c r="AX83" s="16">
        <f>IFERROR(AX82/$GR$82,"")</f>
        <v/>
      </c>
      <c r="AY83" s="16">
        <f>IFERROR(AY82/$GR$82,"")</f>
        <v/>
      </c>
      <c r="AZ83" s="16">
        <f>IFERROR(AZ82/$GR$82,"")</f>
        <v/>
      </c>
      <c r="BA83" s="16">
        <f>IFERROR(BA82/$GR$82,"")</f>
        <v/>
      </c>
      <c r="BB83" s="16">
        <f>IFERROR(BB82/$GR$82,"")</f>
        <v/>
      </c>
      <c r="BC83" s="16">
        <f>IFERROR(BC82/$GR$82,"")</f>
        <v/>
      </c>
      <c r="BD83" s="16">
        <f>IFERROR(BD82/$GR$82,"")</f>
        <v/>
      </c>
      <c r="BE83" s="16">
        <f>IFERROR(BE82/$GR$82,"")</f>
        <v/>
      </c>
      <c r="BF83" s="16">
        <f>IFERROR(BF82/$GR$82,"")</f>
        <v/>
      </c>
      <c r="BG83" s="16">
        <f>IFERROR(BG82/$GR$82,"")</f>
        <v/>
      </c>
      <c r="BH83" s="16">
        <f>IFERROR(BH82/$GR$82,"")</f>
        <v/>
      </c>
      <c r="BI83" s="16">
        <f>IFERROR(BI82/$GR$82,"")</f>
        <v/>
      </c>
      <c r="BJ83" s="16">
        <f>IFERROR(BJ82/$GR$82,"")</f>
        <v/>
      </c>
      <c r="BK83" s="16">
        <f>IFERROR(BK82/$GR$82,"")</f>
        <v/>
      </c>
      <c r="BL83" s="16">
        <f>IFERROR(BL82/$GR$82,"")</f>
        <v/>
      </c>
      <c r="BM83" s="16">
        <f>IFERROR(BM82/$GR$82,"")</f>
        <v/>
      </c>
      <c r="BN83" s="16">
        <f>IFERROR(BN82/$GR$82,"")</f>
        <v/>
      </c>
      <c r="BO83" s="16">
        <f>IFERROR(BO82/$GR$82,"")</f>
        <v/>
      </c>
      <c r="BP83" s="16">
        <f>IFERROR(BP82/$GR$82,"")</f>
        <v/>
      </c>
      <c r="BQ83" s="16">
        <f>IFERROR(BQ82/$GR$82,"")</f>
        <v/>
      </c>
      <c r="BR83" s="16">
        <f>IFERROR(BR82/$GR$82,"")</f>
        <v/>
      </c>
      <c r="BS83" s="16">
        <f>IFERROR(BS82/$GR$82,"")</f>
        <v/>
      </c>
      <c r="BT83" s="16">
        <f>IFERROR(BT82/$GR$82,"")</f>
        <v/>
      </c>
      <c r="BU83" s="16">
        <f>IFERROR(BU82/$GR$82,"")</f>
        <v/>
      </c>
      <c r="BV83" s="16">
        <f>IFERROR(BV82/$GR$82,"")</f>
        <v/>
      </c>
      <c r="BW83" s="16">
        <f>IFERROR(BW82/$GR$82,"")</f>
        <v/>
      </c>
      <c r="BX83" s="16">
        <f>IFERROR(BX82/$GR$82,"")</f>
        <v/>
      </c>
      <c r="BY83" s="16">
        <f>IFERROR(BY82/$GR$82,"")</f>
        <v/>
      </c>
      <c r="BZ83" s="16">
        <f>IFERROR(BZ82/$GR$82,"")</f>
        <v/>
      </c>
      <c r="CA83" s="16">
        <f>IFERROR(CA82/$GR$82,"")</f>
        <v/>
      </c>
      <c r="CB83" s="16">
        <f>IFERROR(CB82/$GR$82,"")</f>
        <v/>
      </c>
      <c r="CC83" s="16">
        <f>IFERROR(CC82/$GR$82,"")</f>
        <v/>
      </c>
      <c r="CD83" s="16">
        <f>IFERROR(CD82/$GR$82,"")</f>
        <v/>
      </c>
      <c r="CE83" s="16">
        <f>IFERROR(CE82/$GR$82,"")</f>
        <v/>
      </c>
      <c r="CF83" s="16">
        <f>IFERROR(CF82/$GR$82,"")</f>
        <v/>
      </c>
      <c r="CG83" s="16">
        <f>IFERROR(CG82/$GR$82,"")</f>
        <v/>
      </c>
      <c r="CH83" s="16">
        <f>IFERROR(CH82/$GR$82,"")</f>
        <v/>
      </c>
      <c r="CI83" s="16">
        <f>IFERROR(CI82/$GR$82,"")</f>
        <v/>
      </c>
      <c r="CJ83" s="16">
        <f>IFERROR(CJ82/$GR$82,"")</f>
        <v/>
      </c>
      <c r="CK83" s="16">
        <f>IFERROR(CK82/$GR$82,"")</f>
        <v/>
      </c>
      <c r="CL83" s="16">
        <f>IFERROR(CL82/$GR$82,"")</f>
        <v/>
      </c>
      <c r="CM83" s="16">
        <f>IFERROR(CM82/$GR$82,"")</f>
        <v/>
      </c>
      <c r="CN83" s="16">
        <f>IFERROR(CN82/$GR$82,"")</f>
        <v/>
      </c>
      <c r="CO83" s="16">
        <f>IFERROR(CO82/$GR$82,"")</f>
        <v/>
      </c>
      <c r="CP83" s="16">
        <f>IFERROR(CP82/$GR$82,"")</f>
        <v/>
      </c>
      <c r="CQ83" s="16">
        <f>IFERROR(CQ82/$GR$82,"")</f>
        <v/>
      </c>
      <c r="CR83" s="16">
        <f>IFERROR(CR82/$GR$82,"")</f>
        <v/>
      </c>
      <c r="CS83" s="16">
        <f>IFERROR(CS82/$GR$82,"")</f>
        <v/>
      </c>
      <c r="CT83" s="16">
        <f>IFERROR(CT82/$GR$82,"")</f>
        <v/>
      </c>
      <c r="CU83" s="16">
        <f>IFERROR(CU82/$GR$82,"")</f>
        <v/>
      </c>
      <c r="CV83" s="16">
        <f>IFERROR(CV82/$GR$82,"")</f>
        <v/>
      </c>
      <c r="CW83" s="16">
        <f>IFERROR(CW82/$GR$82,"")</f>
        <v/>
      </c>
      <c r="CX83" s="16">
        <f>IFERROR(CX82/$GR$82,"")</f>
        <v/>
      </c>
      <c r="CY83" s="16">
        <f>IFERROR(CY82/$GR$82,"")</f>
        <v/>
      </c>
      <c r="CZ83" s="16">
        <f>IFERROR(CZ82/$GR$82,"")</f>
        <v/>
      </c>
      <c r="DA83" s="16">
        <f>IFERROR(DA82/$GR$82,"")</f>
        <v/>
      </c>
      <c r="DB83" s="16">
        <f>IFERROR(DB82/$GR$82,"")</f>
        <v/>
      </c>
      <c r="DC83" s="16">
        <f>IFERROR(DC82/$GR$82,"")</f>
        <v/>
      </c>
      <c r="DD83" s="16">
        <f>IFERROR(DD82/$GR$82,"")</f>
        <v/>
      </c>
      <c r="DE83" s="16">
        <f>IFERROR(DE82/$GR$82,"")</f>
        <v/>
      </c>
      <c r="DF83" s="16">
        <f>IFERROR(DF82/$GR$82,"")</f>
        <v/>
      </c>
      <c r="DG83" s="16">
        <f>IFERROR(DG82/$GR$82,"")</f>
        <v/>
      </c>
      <c r="DH83" s="16">
        <f>IFERROR(DH82/$GR$82,"")</f>
        <v/>
      </c>
      <c r="DI83" s="16">
        <f>IFERROR(DI82/$GR$82,"")</f>
        <v/>
      </c>
      <c r="DJ83" s="16">
        <f>IFERROR(DJ82/$GR$82,"")</f>
        <v/>
      </c>
      <c r="DK83" s="16">
        <f>IFERROR(DK82/$GR$82,"")</f>
        <v/>
      </c>
      <c r="DL83" s="16">
        <f>IFERROR(DL82/$GR$82,"")</f>
        <v/>
      </c>
      <c r="DM83" s="16">
        <f>IFERROR(DM82/$GR$82,"")</f>
        <v/>
      </c>
      <c r="DN83" s="16">
        <f>IFERROR(DN82/$GR$82,"")</f>
        <v/>
      </c>
      <c r="DO83" s="16">
        <f>IFERROR(DO82/$GR$82,"")</f>
        <v/>
      </c>
      <c r="DP83" s="16">
        <f>IFERROR(DP82/$GR$82,"")</f>
        <v/>
      </c>
      <c r="DQ83" s="16">
        <f>IFERROR(DQ82/$GR$82,"")</f>
        <v/>
      </c>
      <c r="DR83" s="16">
        <f>IFERROR(DR82/$GR$82,"")</f>
        <v/>
      </c>
      <c r="DS83" s="16">
        <f>IFERROR(DS82/$GR$82,"")</f>
        <v/>
      </c>
      <c r="DT83" s="16">
        <f>IFERROR(DT82/$GR$82,"")</f>
        <v/>
      </c>
      <c r="DU83" s="16">
        <f>IFERROR(DU82/$GR$82,"")</f>
        <v/>
      </c>
      <c r="DV83" s="16">
        <f>IFERROR(DV82/$GR$82,"")</f>
        <v/>
      </c>
      <c r="DW83" s="16">
        <f>IFERROR(DW82/$GR$82,"")</f>
        <v/>
      </c>
      <c r="DX83" s="16">
        <f>IFERROR(DX82/$GR$82,"")</f>
        <v/>
      </c>
      <c r="DY83" s="16">
        <f>IFERROR(DY82/$GR$82,"")</f>
        <v/>
      </c>
      <c r="DZ83" s="16">
        <f>IFERROR(DZ82/$GR$82,"")</f>
        <v/>
      </c>
      <c r="EA83" s="16">
        <f>IFERROR(EA82/$GR$82,"")</f>
        <v/>
      </c>
      <c r="EB83" s="16">
        <f>IFERROR(EB82/$GR$82,"")</f>
        <v/>
      </c>
      <c r="EC83" s="16">
        <f>IFERROR(EC82/$GR$82,"")</f>
        <v/>
      </c>
      <c r="ED83" s="16">
        <f>IFERROR(ED82/$GR$82,"")</f>
        <v/>
      </c>
      <c r="EE83" s="16">
        <f>IFERROR(EE82/$GR$82,"")</f>
        <v/>
      </c>
      <c r="EF83" s="16">
        <f>IFERROR(EF82/$GR$82,"")</f>
        <v/>
      </c>
      <c r="EG83" s="16">
        <f>IFERROR(EG82/$GR$82,"")</f>
        <v/>
      </c>
      <c r="EH83" s="16">
        <f>IFERROR(EH82/$GR$82,"")</f>
        <v/>
      </c>
      <c r="EI83" s="16">
        <f>IFERROR(EI82/$GR$82,"")</f>
        <v/>
      </c>
      <c r="EJ83" s="16">
        <f>IFERROR(EJ82/$GR$82,"")</f>
        <v/>
      </c>
      <c r="EK83" s="16">
        <f>IFERROR(EK82/$GR$82,"")</f>
        <v/>
      </c>
      <c r="EL83" s="16">
        <f>IFERROR(EL82/$GR$82,"")</f>
        <v/>
      </c>
      <c r="EM83" s="16">
        <f>IFERROR(EM82/$GR$82,"")</f>
        <v/>
      </c>
      <c r="EN83" s="16">
        <f>IFERROR(EN82/$GR$82,"")</f>
        <v/>
      </c>
      <c r="EO83" s="16">
        <f>IFERROR(EO82/$GR$82,"")</f>
        <v/>
      </c>
      <c r="EP83" s="16">
        <f>IFERROR(EP82/$GR$82,"")</f>
        <v/>
      </c>
      <c r="EQ83" s="16">
        <f>IFERROR(EQ82/$GR$82,"")</f>
        <v/>
      </c>
      <c r="ER83" s="16">
        <f>IFERROR(ER82/$GR$82,"")</f>
        <v/>
      </c>
      <c r="ES83" s="16">
        <f>IFERROR(ES82/$GR$82,"")</f>
        <v/>
      </c>
      <c r="ET83" s="16">
        <f>IFERROR(ET82/$GR$82,"")</f>
        <v/>
      </c>
      <c r="EU83" s="16">
        <f>IFERROR(EU82/$GR$82,"")</f>
        <v/>
      </c>
      <c r="EV83" s="16">
        <f>IFERROR(EV82/$GR$82,"")</f>
        <v/>
      </c>
      <c r="EW83" s="16">
        <f>IFERROR(EW82/$GR$82,"")</f>
        <v/>
      </c>
      <c r="EX83" s="16">
        <f>IFERROR(EX82/$GR$82,"")</f>
        <v/>
      </c>
      <c r="EY83" s="16">
        <f>IFERROR(EY82/$GR$82,"")</f>
        <v/>
      </c>
      <c r="EZ83" s="16">
        <f>IFERROR(EZ82/$GR$82,"")</f>
        <v/>
      </c>
      <c r="FA83" s="16">
        <f>IFERROR(FA82/$GR$82,"")</f>
        <v/>
      </c>
      <c r="FB83" s="16">
        <f>IFERROR(FB82/$GR$82,"")</f>
        <v/>
      </c>
      <c r="FC83" s="16">
        <f>IFERROR(FC82/$GR$82,"")</f>
        <v/>
      </c>
      <c r="FD83" s="16">
        <f>IFERROR(FD82/$GR$82,"")</f>
        <v/>
      </c>
      <c r="FE83" s="16">
        <f>IFERROR(FE82/$GR$82,"")</f>
        <v/>
      </c>
      <c r="FF83" s="16">
        <f>IFERROR(FF82/$GR$82,"")</f>
        <v/>
      </c>
      <c r="FG83" s="16">
        <f>IFERROR(FG82/$GR$82,"")</f>
        <v/>
      </c>
      <c r="FH83" s="16">
        <f>IFERROR(FH82/$GR$82,"")</f>
        <v/>
      </c>
      <c r="FI83" s="16">
        <f>IFERROR(FI82/$GR$82,"")</f>
        <v/>
      </c>
      <c r="FJ83" s="16">
        <f>IFERROR(FJ82/$GR$82,"")</f>
        <v/>
      </c>
      <c r="FK83" s="16">
        <f>IFERROR(FK82/$GR$82,"")</f>
        <v/>
      </c>
      <c r="FL83" s="16">
        <f>IFERROR(FL82/$GR$82,"")</f>
        <v/>
      </c>
      <c r="FM83" s="16">
        <f>IFERROR(FM82/$GR$82,"")</f>
        <v/>
      </c>
      <c r="FN83" s="16">
        <f>IFERROR(FN82/$GR$82,"")</f>
        <v/>
      </c>
      <c r="FO83" s="16">
        <f>IFERROR(FO82/$GR$82,"")</f>
        <v/>
      </c>
      <c r="FP83" s="16">
        <f>IFERROR(FP82/$GR$82,"")</f>
        <v/>
      </c>
      <c r="FQ83" s="16">
        <f>IFERROR(FQ82/$GR$82,"")</f>
        <v/>
      </c>
      <c r="FR83" s="16">
        <f>IFERROR(FR82/$GR$82,"")</f>
        <v/>
      </c>
      <c r="FS83" s="16">
        <f>IFERROR(FS82/$GR$82,"")</f>
        <v/>
      </c>
      <c r="FT83" s="16">
        <f>IFERROR(FT82/$GR$82,"")</f>
        <v/>
      </c>
      <c r="FU83" s="16">
        <f>IFERROR(FU82/$GR$82,"")</f>
        <v/>
      </c>
      <c r="FV83" s="16">
        <f>IFERROR(FV82/$GR$82,"")</f>
        <v/>
      </c>
      <c r="FW83" s="16">
        <f>IFERROR(FW82/$GR$82,"")</f>
        <v/>
      </c>
      <c r="FX83" s="16">
        <f>IFERROR(FX82/$GR$82,"")</f>
        <v/>
      </c>
      <c r="FY83" s="16">
        <f>IFERROR(FY82/$GR$82,"")</f>
        <v/>
      </c>
      <c r="FZ83" s="16">
        <f>IFERROR(FZ82/$GR$82,"")</f>
        <v/>
      </c>
      <c r="GA83" s="16">
        <f>IFERROR(GA82/$GR$82,"")</f>
        <v/>
      </c>
      <c r="GB83" s="16">
        <f>IFERROR(GB82/$GR$82,"")</f>
        <v/>
      </c>
      <c r="GC83" s="16">
        <f>IFERROR(GC82/$GR$82,"")</f>
        <v/>
      </c>
      <c r="GD83" s="16">
        <f>IFERROR(GD82/$GR$82,"")</f>
        <v/>
      </c>
      <c r="GE83" s="16">
        <f>IFERROR(GE82/$GR$82,"")</f>
        <v/>
      </c>
      <c r="GF83" s="16">
        <f>IFERROR(GF82/$GR$82,"")</f>
        <v/>
      </c>
      <c r="GG83" s="16">
        <f>IFERROR(GG82/$GR$82,"")</f>
        <v/>
      </c>
      <c r="GH83" s="16">
        <f>IFERROR(GH82/$GR$82,"")</f>
        <v/>
      </c>
      <c r="GI83" s="16">
        <f>IFERROR(GI82/$GR$82,"")</f>
        <v/>
      </c>
      <c r="GJ83" s="16">
        <f>IFERROR(GJ82/$GR$82,"")</f>
        <v/>
      </c>
      <c r="GK83" s="16">
        <f>IFERROR(GK82/$GR$82,"")</f>
        <v/>
      </c>
      <c r="GL83" s="16">
        <f>IFERROR(GL82/$GR$82,"")</f>
        <v/>
      </c>
      <c r="GM83" s="16">
        <f>IFERROR(GM82/$GR$82,"")</f>
        <v/>
      </c>
      <c r="GN83" s="16">
        <f>IFERROR(GN82/$GR$82,"")</f>
        <v/>
      </c>
      <c r="GO83" s="16">
        <f>IFERROR(GO82/$GR$82,"")</f>
        <v/>
      </c>
      <c r="GP83" s="16">
        <f>IFERROR(GP82/$GR$82,"")</f>
        <v/>
      </c>
      <c r="GQ83" s="16">
        <f>IFERROR(GQ82/$GR$82,"")</f>
        <v/>
      </c>
      <c r="GR83" s="16">
        <f>IFERROR(GR82/$GR$82,"")</f>
        <v/>
      </c>
    </row>
    <row r="84">
      <c r="A84" s="15" t="inlineStr">
        <is>
          <t>% of assigned</t>
        </is>
      </c>
      <c r="B84" s="16">
        <f>IFERROR(B82/$GP$82,"")</f>
        <v/>
      </c>
      <c r="C84" s="16">
        <f>IFERROR(C82/$GP$82,"")</f>
        <v/>
      </c>
      <c r="D84" s="16">
        <f>IFERROR(D82/$GP$82,"")</f>
        <v/>
      </c>
      <c r="E84" s="16">
        <f>IFERROR(E82/$GP$82,"")</f>
        <v/>
      </c>
      <c r="F84" s="16">
        <f>IFERROR(F82/$GP$82,"")</f>
        <v/>
      </c>
      <c r="G84" s="16">
        <f>IFERROR(G82/$GP$82,"")</f>
        <v/>
      </c>
      <c r="H84" s="16">
        <f>IFERROR(H82/$GP$82,"")</f>
        <v/>
      </c>
      <c r="I84" s="16">
        <f>IFERROR(I82/$GP$82,"")</f>
        <v/>
      </c>
      <c r="J84" s="16">
        <f>IFERROR(J82/$GP$82,"")</f>
        <v/>
      </c>
      <c r="K84" s="16">
        <f>IFERROR(K82/$GP$82,"")</f>
        <v/>
      </c>
      <c r="L84" s="16">
        <f>IFERROR(L82/$GP$82,"")</f>
        <v/>
      </c>
      <c r="M84" s="16">
        <f>IFERROR(M82/$GP$82,"")</f>
        <v/>
      </c>
      <c r="N84" s="16">
        <f>IFERROR(N82/$GP$82,"")</f>
        <v/>
      </c>
      <c r="O84" s="16">
        <f>IFERROR(O82/$GP$82,"")</f>
        <v/>
      </c>
      <c r="P84" s="16">
        <f>IFERROR(P82/$GP$82,"")</f>
        <v/>
      </c>
      <c r="Q84" s="16">
        <f>IFERROR(Q82/$GP$82,"")</f>
        <v/>
      </c>
      <c r="R84" s="16">
        <f>IFERROR(R82/$GP$82,"")</f>
        <v/>
      </c>
      <c r="S84" s="16">
        <f>IFERROR(S82/$GP$82,"")</f>
        <v/>
      </c>
      <c r="T84" s="16">
        <f>IFERROR(T82/$GP$82,"")</f>
        <v/>
      </c>
      <c r="U84" s="16">
        <f>IFERROR(U82/$GP$82,"")</f>
        <v/>
      </c>
      <c r="V84" s="16">
        <f>IFERROR(V82/$GP$82,"")</f>
        <v/>
      </c>
      <c r="W84" s="16">
        <f>IFERROR(W82/$GP$82,"")</f>
        <v/>
      </c>
      <c r="X84" s="16">
        <f>IFERROR(X82/$GP$82,"")</f>
        <v/>
      </c>
      <c r="Y84" s="16">
        <f>IFERROR(Y82/$GP$82,"")</f>
        <v/>
      </c>
      <c r="Z84" s="16">
        <f>IFERROR(Z82/$GP$82,"")</f>
        <v/>
      </c>
      <c r="AA84" s="16">
        <f>IFERROR(AA82/$GP$82,"")</f>
        <v/>
      </c>
      <c r="AB84" s="16">
        <f>IFERROR(AB82/$GP$82,"")</f>
        <v/>
      </c>
      <c r="AC84" s="16">
        <f>IFERROR(AC82/$GP$82,"")</f>
        <v/>
      </c>
      <c r="AD84" s="16">
        <f>IFERROR(AD82/$GP$82,"")</f>
        <v/>
      </c>
      <c r="AE84" s="16">
        <f>IFERROR(AE82/$GP$82,"")</f>
        <v/>
      </c>
      <c r="AF84" s="16">
        <f>IFERROR(AF82/$GP$82,"")</f>
        <v/>
      </c>
      <c r="AG84" s="16">
        <f>IFERROR(AG82/$GP$82,"")</f>
        <v/>
      </c>
      <c r="AH84" s="16">
        <f>IFERROR(AH82/$GP$82,"")</f>
        <v/>
      </c>
      <c r="AI84" s="16">
        <f>IFERROR(AI82/$GP$82,"")</f>
        <v/>
      </c>
      <c r="AJ84" s="16">
        <f>IFERROR(AJ82/$GP$82,"")</f>
        <v/>
      </c>
      <c r="AK84" s="16">
        <f>IFERROR(AK82/$GP$82,"")</f>
        <v/>
      </c>
      <c r="AL84" s="16">
        <f>IFERROR(AL82/$GP$82,"")</f>
        <v/>
      </c>
      <c r="AM84" s="16">
        <f>IFERROR(AM82/$GP$82,"")</f>
        <v/>
      </c>
      <c r="AN84" s="16">
        <f>IFERROR(AN82/$GP$82,"")</f>
        <v/>
      </c>
      <c r="AO84" s="16">
        <f>IFERROR(AO82/$GP$82,"")</f>
        <v/>
      </c>
      <c r="AP84" s="16">
        <f>IFERROR(AP82/$GP$82,"")</f>
        <v/>
      </c>
      <c r="AQ84" s="16">
        <f>IFERROR(AQ82/$GP$82,"")</f>
        <v/>
      </c>
      <c r="AR84" s="16">
        <f>IFERROR(AR82/$GP$82,"")</f>
        <v/>
      </c>
      <c r="AS84" s="16">
        <f>IFERROR(AS82/$GP$82,"")</f>
        <v/>
      </c>
      <c r="AT84" s="16">
        <f>IFERROR(AT82/$GP$82,"")</f>
        <v/>
      </c>
      <c r="AU84" s="16">
        <f>IFERROR(AU82/$GP$82,"")</f>
        <v/>
      </c>
      <c r="AV84" s="16">
        <f>IFERROR(AV82/$GP$82,"")</f>
        <v/>
      </c>
      <c r="AW84" s="16">
        <f>IFERROR(AW82/$GP$82,"")</f>
        <v/>
      </c>
      <c r="AX84" s="16">
        <f>IFERROR(AX82/$GP$82,"")</f>
        <v/>
      </c>
      <c r="AY84" s="16">
        <f>IFERROR(AY82/$GP$82,"")</f>
        <v/>
      </c>
      <c r="AZ84" s="16">
        <f>IFERROR(AZ82/$GP$82,"")</f>
        <v/>
      </c>
      <c r="BA84" s="16">
        <f>IFERROR(BA82/$GP$82,"")</f>
        <v/>
      </c>
      <c r="BB84" s="16">
        <f>IFERROR(BB82/$GP$82,"")</f>
        <v/>
      </c>
      <c r="BC84" s="16">
        <f>IFERROR(BC82/$GP$82,"")</f>
        <v/>
      </c>
      <c r="BD84" s="16">
        <f>IFERROR(BD82/$GP$82,"")</f>
        <v/>
      </c>
      <c r="BE84" s="16">
        <f>IFERROR(BE82/$GP$82,"")</f>
        <v/>
      </c>
      <c r="BF84" s="16">
        <f>IFERROR(BF82/$GP$82,"")</f>
        <v/>
      </c>
      <c r="BG84" s="16">
        <f>IFERROR(BG82/$GP$82,"")</f>
        <v/>
      </c>
      <c r="BH84" s="16">
        <f>IFERROR(BH82/$GP$82,"")</f>
        <v/>
      </c>
      <c r="BI84" s="16">
        <f>IFERROR(BI82/$GP$82,"")</f>
        <v/>
      </c>
      <c r="BJ84" s="16">
        <f>IFERROR(BJ82/$GP$82,"")</f>
        <v/>
      </c>
      <c r="BK84" s="16">
        <f>IFERROR(BK82/$GP$82,"")</f>
        <v/>
      </c>
      <c r="BL84" s="16">
        <f>IFERROR(BL82/$GP$82,"")</f>
        <v/>
      </c>
      <c r="BM84" s="16">
        <f>IFERROR(BM82/$GP$82,"")</f>
        <v/>
      </c>
      <c r="BN84" s="16">
        <f>IFERROR(BN82/$GP$82,"")</f>
        <v/>
      </c>
      <c r="BO84" s="16">
        <f>IFERROR(BO82/$GP$82,"")</f>
        <v/>
      </c>
      <c r="BP84" s="16">
        <f>IFERROR(BP82/$GP$82,"")</f>
        <v/>
      </c>
      <c r="BQ84" s="16">
        <f>IFERROR(BQ82/$GP$82,"")</f>
        <v/>
      </c>
      <c r="BR84" s="16">
        <f>IFERROR(BR82/$GP$82,"")</f>
        <v/>
      </c>
      <c r="BS84" s="16">
        <f>IFERROR(BS82/$GP$82,"")</f>
        <v/>
      </c>
      <c r="BT84" s="16">
        <f>IFERROR(BT82/$GP$82,"")</f>
        <v/>
      </c>
      <c r="BU84" s="16">
        <f>IFERROR(BU82/$GP$82,"")</f>
        <v/>
      </c>
      <c r="BV84" s="16">
        <f>IFERROR(BV82/$GP$82,"")</f>
        <v/>
      </c>
      <c r="BW84" s="16">
        <f>IFERROR(BW82/$GP$82,"")</f>
        <v/>
      </c>
      <c r="BX84" s="16">
        <f>IFERROR(BX82/$GP$82,"")</f>
        <v/>
      </c>
      <c r="BY84" s="16">
        <f>IFERROR(BY82/$GP$82,"")</f>
        <v/>
      </c>
      <c r="BZ84" s="16">
        <f>IFERROR(BZ82/$GP$82,"")</f>
        <v/>
      </c>
      <c r="CA84" s="16">
        <f>IFERROR(CA82/$GP$82,"")</f>
        <v/>
      </c>
      <c r="CB84" s="16">
        <f>IFERROR(CB82/$GP$82,"")</f>
        <v/>
      </c>
      <c r="CC84" s="16">
        <f>IFERROR(CC82/$GP$82,"")</f>
        <v/>
      </c>
      <c r="CD84" s="16">
        <f>IFERROR(CD82/$GP$82,"")</f>
        <v/>
      </c>
      <c r="CE84" s="16">
        <f>IFERROR(CE82/$GP$82,"")</f>
        <v/>
      </c>
      <c r="CF84" s="16">
        <f>IFERROR(CF82/$GP$82,"")</f>
        <v/>
      </c>
      <c r="CG84" s="16">
        <f>IFERROR(CG82/$GP$82,"")</f>
        <v/>
      </c>
      <c r="CH84" s="16">
        <f>IFERROR(CH82/$GP$82,"")</f>
        <v/>
      </c>
      <c r="CI84" s="16">
        <f>IFERROR(CI82/$GP$82,"")</f>
        <v/>
      </c>
      <c r="CJ84" s="16">
        <f>IFERROR(CJ82/$GP$82,"")</f>
        <v/>
      </c>
      <c r="CK84" s="16">
        <f>IFERROR(CK82/$GP$82,"")</f>
        <v/>
      </c>
      <c r="CL84" s="16">
        <f>IFERROR(CL82/$GP$82,"")</f>
        <v/>
      </c>
      <c r="CM84" s="16">
        <f>IFERROR(CM82/$GP$82,"")</f>
        <v/>
      </c>
      <c r="CN84" s="16">
        <f>IFERROR(CN82/$GP$82,"")</f>
        <v/>
      </c>
      <c r="CO84" s="16">
        <f>IFERROR(CO82/$GP$82,"")</f>
        <v/>
      </c>
      <c r="CP84" s="16">
        <f>IFERROR(CP82/$GP$82,"")</f>
        <v/>
      </c>
      <c r="CQ84" s="16">
        <f>IFERROR(CQ82/$GP$82,"")</f>
        <v/>
      </c>
      <c r="CR84" s="16">
        <f>IFERROR(CR82/$GP$82,"")</f>
        <v/>
      </c>
      <c r="CS84" s="16">
        <f>IFERROR(CS82/$GP$82,"")</f>
        <v/>
      </c>
      <c r="CT84" s="16">
        <f>IFERROR(CT82/$GP$82,"")</f>
        <v/>
      </c>
      <c r="CU84" s="16">
        <f>IFERROR(CU82/$GP$82,"")</f>
        <v/>
      </c>
      <c r="CV84" s="16">
        <f>IFERROR(CV82/$GP$82,"")</f>
        <v/>
      </c>
      <c r="CW84" s="16">
        <f>IFERROR(CW82/$GP$82,"")</f>
        <v/>
      </c>
      <c r="CX84" s="16">
        <f>IFERROR(CX82/$GP$82,"")</f>
        <v/>
      </c>
      <c r="CY84" s="16">
        <f>IFERROR(CY82/$GP$82,"")</f>
        <v/>
      </c>
      <c r="CZ84" s="16">
        <f>IFERROR(CZ82/$GP$82,"")</f>
        <v/>
      </c>
      <c r="DA84" s="16">
        <f>IFERROR(DA82/$GP$82,"")</f>
        <v/>
      </c>
      <c r="DB84" s="16">
        <f>IFERROR(DB82/$GP$82,"")</f>
        <v/>
      </c>
      <c r="DC84" s="16">
        <f>IFERROR(DC82/$GP$82,"")</f>
        <v/>
      </c>
      <c r="DD84" s="16">
        <f>IFERROR(DD82/$GP$82,"")</f>
        <v/>
      </c>
      <c r="DE84" s="16">
        <f>IFERROR(DE82/$GP$82,"")</f>
        <v/>
      </c>
      <c r="DF84" s="16">
        <f>IFERROR(DF82/$GP$82,"")</f>
        <v/>
      </c>
      <c r="DG84" s="16">
        <f>IFERROR(DG82/$GP$82,"")</f>
        <v/>
      </c>
      <c r="DH84" s="16">
        <f>IFERROR(DH82/$GP$82,"")</f>
        <v/>
      </c>
      <c r="DI84" s="16">
        <f>IFERROR(DI82/$GP$82,"")</f>
        <v/>
      </c>
      <c r="DJ84" s="16">
        <f>IFERROR(DJ82/$GP$82,"")</f>
        <v/>
      </c>
      <c r="DK84" s="16">
        <f>IFERROR(DK82/$GP$82,"")</f>
        <v/>
      </c>
      <c r="DL84" s="16">
        <f>IFERROR(DL82/$GP$82,"")</f>
        <v/>
      </c>
      <c r="DM84" s="16">
        <f>IFERROR(DM82/$GP$82,"")</f>
        <v/>
      </c>
      <c r="DN84" s="16">
        <f>IFERROR(DN82/$GP$82,"")</f>
        <v/>
      </c>
      <c r="DO84" s="16">
        <f>IFERROR(DO82/$GP$82,"")</f>
        <v/>
      </c>
      <c r="DP84" s="16">
        <f>IFERROR(DP82/$GP$82,"")</f>
        <v/>
      </c>
      <c r="DQ84" s="16">
        <f>IFERROR(DQ82/$GP$82,"")</f>
        <v/>
      </c>
      <c r="DR84" s="16">
        <f>IFERROR(DR82/$GP$82,"")</f>
        <v/>
      </c>
      <c r="DS84" s="16">
        <f>IFERROR(DS82/$GP$82,"")</f>
        <v/>
      </c>
      <c r="DT84" s="16">
        <f>IFERROR(DT82/$GP$82,"")</f>
        <v/>
      </c>
      <c r="DU84" s="16">
        <f>IFERROR(DU82/$GP$82,"")</f>
        <v/>
      </c>
      <c r="DV84" s="16">
        <f>IFERROR(DV82/$GP$82,"")</f>
        <v/>
      </c>
      <c r="DW84" s="16">
        <f>IFERROR(DW82/$GP$82,"")</f>
        <v/>
      </c>
      <c r="DX84" s="16">
        <f>IFERROR(DX82/$GP$82,"")</f>
        <v/>
      </c>
      <c r="DY84" s="16">
        <f>IFERROR(DY82/$GP$82,"")</f>
        <v/>
      </c>
      <c r="DZ84" s="16">
        <f>IFERROR(DZ82/$GP$82,"")</f>
        <v/>
      </c>
      <c r="EA84" s="16">
        <f>IFERROR(EA82/$GP$82,"")</f>
        <v/>
      </c>
      <c r="EB84" s="16">
        <f>IFERROR(EB82/$GP$82,"")</f>
        <v/>
      </c>
      <c r="EC84" s="16">
        <f>IFERROR(EC82/$GP$82,"")</f>
        <v/>
      </c>
      <c r="ED84" s="16">
        <f>IFERROR(ED82/$GP$82,"")</f>
        <v/>
      </c>
      <c r="EE84" s="16">
        <f>IFERROR(EE82/$GP$82,"")</f>
        <v/>
      </c>
      <c r="EF84" s="16">
        <f>IFERROR(EF82/$GP$82,"")</f>
        <v/>
      </c>
      <c r="EG84" s="16">
        <f>IFERROR(EG82/$GP$82,"")</f>
        <v/>
      </c>
      <c r="EH84" s="16">
        <f>IFERROR(EH82/$GP$82,"")</f>
        <v/>
      </c>
      <c r="EI84" s="16">
        <f>IFERROR(EI82/$GP$82,"")</f>
        <v/>
      </c>
      <c r="EJ84" s="16">
        <f>IFERROR(EJ82/$GP$82,"")</f>
        <v/>
      </c>
      <c r="EK84" s="16">
        <f>IFERROR(EK82/$GP$82,"")</f>
        <v/>
      </c>
      <c r="EL84" s="16">
        <f>IFERROR(EL82/$GP$82,"")</f>
        <v/>
      </c>
      <c r="EM84" s="16">
        <f>IFERROR(EM82/$GP$82,"")</f>
        <v/>
      </c>
      <c r="EN84" s="16">
        <f>IFERROR(EN82/$GP$82,"")</f>
        <v/>
      </c>
      <c r="EO84" s="16">
        <f>IFERROR(EO82/$GP$82,"")</f>
        <v/>
      </c>
      <c r="EP84" s="16">
        <f>IFERROR(EP82/$GP$82,"")</f>
        <v/>
      </c>
      <c r="EQ84" s="16">
        <f>IFERROR(EQ82/$GP$82,"")</f>
        <v/>
      </c>
      <c r="ER84" s="16">
        <f>IFERROR(ER82/$GP$82,"")</f>
        <v/>
      </c>
      <c r="ES84" s="16">
        <f>IFERROR(ES82/$GP$82,"")</f>
        <v/>
      </c>
      <c r="ET84" s="16">
        <f>IFERROR(ET82/$GP$82,"")</f>
        <v/>
      </c>
      <c r="EU84" s="16">
        <f>IFERROR(EU82/$GP$82,"")</f>
        <v/>
      </c>
      <c r="EV84" s="16">
        <f>IFERROR(EV82/$GP$82,"")</f>
        <v/>
      </c>
      <c r="EW84" s="16">
        <f>IFERROR(EW82/$GP$82,"")</f>
        <v/>
      </c>
      <c r="EX84" s="16">
        <f>IFERROR(EX82/$GP$82,"")</f>
        <v/>
      </c>
      <c r="EY84" s="16">
        <f>IFERROR(EY82/$GP$82,"")</f>
        <v/>
      </c>
      <c r="EZ84" s="16">
        <f>IFERROR(EZ82/$GP$82,"")</f>
        <v/>
      </c>
      <c r="FA84" s="16">
        <f>IFERROR(FA82/$GP$82,"")</f>
        <v/>
      </c>
      <c r="FB84" s="16">
        <f>IFERROR(FB82/$GP$82,"")</f>
        <v/>
      </c>
      <c r="FC84" s="16">
        <f>IFERROR(FC82/$GP$82,"")</f>
        <v/>
      </c>
      <c r="FD84" s="16">
        <f>IFERROR(FD82/$GP$82,"")</f>
        <v/>
      </c>
      <c r="FE84" s="16">
        <f>IFERROR(FE82/$GP$82,"")</f>
        <v/>
      </c>
      <c r="FF84" s="16">
        <f>IFERROR(FF82/$GP$82,"")</f>
        <v/>
      </c>
      <c r="FG84" s="16">
        <f>IFERROR(FG82/$GP$82,"")</f>
        <v/>
      </c>
      <c r="FH84" s="16">
        <f>IFERROR(FH82/$GP$82,"")</f>
        <v/>
      </c>
      <c r="FI84" s="16">
        <f>IFERROR(FI82/$GP$82,"")</f>
        <v/>
      </c>
      <c r="FJ84" s="16">
        <f>IFERROR(FJ82/$GP$82,"")</f>
        <v/>
      </c>
      <c r="FK84" s="16">
        <f>IFERROR(FK82/$GP$82,"")</f>
        <v/>
      </c>
      <c r="FL84" s="16">
        <f>IFERROR(FL82/$GP$82,"")</f>
        <v/>
      </c>
      <c r="FM84" s="16">
        <f>IFERROR(FM82/$GP$82,"")</f>
        <v/>
      </c>
      <c r="FN84" s="16">
        <f>IFERROR(FN82/$GP$82,"")</f>
        <v/>
      </c>
      <c r="FO84" s="16">
        <f>IFERROR(FO82/$GP$82,"")</f>
        <v/>
      </c>
      <c r="FP84" s="16">
        <f>IFERROR(FP82/$GP$82,"")</f>
        <v/>
      </c>
      <c r="FQ84" s="16">
        <f>IFERROR(FQ82/$GP$82,"")</f>
        <v/>
      </c>
      <c r="FR84" s="16">
        <f>IFERROR(FR82/$GP$82,"")</f>
        <v/>
      </c>
      <c r="FS84" s="16">
        <f>IFERROR(FS82/$GP$82,"")</f>
        <v/>
      </c>
      <c r="FT84" s="16">
        <f>IFERROR(FT82/$GP$82,"")</f>
        <v/>
      </c>
      <c r="FU84" s="16">
        <f>IFERROR(FU82/$GP$82,"")</f>
        <v/>
      </c>
      <c r="FV84" s="16">
        <f>IFERROR(FV82/$GP$82,"")</f>
        <v/>
      </c>
      <c r="FW84" s="16">
        <f>IFERROR(FW82/$GP$82,"")</f>
        <v/>
      </c>
      <c r="FX84" s="16">
        <f>IFERROR(FX82/$GP$82,"")</f>
        <v/>
      </c>
      <c r="FY84" s="16">
        <f>IFERROR(FY82/$GP$82,"")</f>
        <v/>
      </c>
      <c r="FZ84" s="16">
        <f>IFERROR(FZ82/$GP$82,"")</f>
        <v/>
      </c>
      <c r="GA84" s="16">
        <f>IFERROR(GA82/$GP$82,"")</f>
        <v/>
      </c>
      <c r="GB84" s="16">
        <f>IFERROR(GB82/$GP$82,"")</f>
        <v/>
      </c>
      <c r="GC84" s="16">
        <f>IFERROR(GC82/$GP$82,"")</f>
        <v/>
      </c>
      <c r="GD84" s="16">
        <f>IFERROR(GD82/$GP$82,"")</f>
        <v/>
      </c>
      <c r="GE84" s="16">
        <f>IFERROR(GE82/$GP$82,"")</f>
        <v/>
      </c>
      <c r="GF84" s="16">
        <f>IFERROR(GF82/$GP$82,"")</f>
        <v/>
      </c>
      <c r="GG84" s="16">
        <f>IFERROR(GG82/$GP$82,"")</f>
        <v/>
      </c>
      <c r="GH84" s="16">
        <f>IFERROR(GH82/$GP$82,"")</f>
        <v/>
      </c>
      <c r="GI84" s="16">
        <f>IFERROR(GI82/$GP$82,"")</f>
        <v/>
      </c>
      <c r="GJ84" s="16">
        <f>IFERROR(GJ82/$GP$82,"")</f>
        <v/>
      </c>
      <c r="GK84" s="16">
        <f>IFERROR(GK82/$GP$82,"")</f>
        <v/>
      </c>
      <c r="GL84" s="16">
        <f>IFERROR(GL82/$GP$82,"")</f>
        <v/>
      </c>
      <c r="GM84" s="16">
        <f>IFERROR(GM82/$GP$82,"")</f>
        <v/>
      </c>
      <c r="GN84" s="16">
        <f>IFERROR(GN82/$GP$82,"")</f>
        <v/>
      </c>
      <c r="GO84" s="16">
        <f>IFERROR(GO82/$GP$82,"")</f>
        <v/>
      </c>
      <c r="GP84" s="16">
        <f>IFERROR(GP82/$GP$82,"")</f>
        <v/>
      </c>
      <c r="GQ84" s="16" t="n"/>
      <c r="GR84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CW70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8" max="98"/>
    <col width="15" customWidth="1" min="99" max="99"/>
    <col width="15" customWidth="1" min="100" max="100"/>
    <col width="34" customWidth="1" min="101" max="101"/>
  </cols>
  <sheetData>
    <row r="1">
      <c r="A1" s="22" t="inlineStr">
        <is>
          <t>SUPERSEDED - lineage calls made with Pango 4.3. Retained for traceability; use Lineage_by_Run_v4.1.3 for current reporting.</t>
        </is>
      </c>
    </row>
    <row r="2">
      <c r="A2" s="6" t="inlineStr">
        <is>
          <t>RUN</t>
        </is>
      </c>
      <c r="B2" s="6" t="inlineStr">
        <is>
          <t>B.1</t>
        </is>
      </c>
      <c r="C2" s="6" t="inlineStr">
        <is>
          <t>B.1.1.529</t>
        </is>
      </c>
      <c r="D2" s="6" t="inlineStr">
        <is>
          <t>B.1.351</t>
        </is>
      </c>
      <c r="E2" s="6" t="inlineStr">
        <is>
          <t>B.1.617.2</t>
        </is>
      </c>
      <c r="F2" s="6" t="inlineStr">
        <is>
          <t>BA.1</t>
        </is>
      </c>
      <c r="G2" s="6" t="inlineStr">
        <is>
          <t>BA.2</t>
        </is>
      </c>
      <c r="H2" s="6" t="inlineStr">
        <is>
          <t>BA.2.3</t>
        </is>
      </c>
      <c r="I2" s="6" t="inlineStr">
        <is>
          <t>BA.2.3.1</t>
        </is>
      </c>
      <c r="J2" s="6" t="inlineStr">
        <is>
          <t>BA.2.3.2</t>
        </is>
      </c>
      <c r="K2" s="6" t="inlineStr">
        <is>
          <t>BA.2.3.11</t>
        </is>
      </c>
      <c r="L2" s="6" t="inlineStr">
        <is>
          <t>BA.2.3.16</t>
        </is>
      </c>
      <c r="M2" s="6" t="inlineStr">
        <is>
          <t>BA.2.3.20</t>
        </is>
      </c>
      <c r="N2" s="6" t="inlineStr">
        <is>
          <t>BA.2.10.1</t>
        </is>
      </c>
      <c r="O2" s="6" t="inlineStr">
        <is>
          <t>BA.2.12.1</t>
        </is>
      </c>
      <c r="P2" s="6" t="inlineStr">
        <is>
          <t>BA.2.23</t>
        </is>
      </c>
      <c r="Q2" s="6" t="inlineStr">
        <is>
          <t>BA.2.38</t>
        </is>
      </c>
      <c r="R2" s="6" t="inlineStr">
        <is>
          <t>BA.2.40.1</t>
        </is>
      </c>
      <c r="S2" s="6" t="inlineStr">
        <is>
          <t>BA.2.42</t>
        </is>
      </c>
      <c r="T2" s="6" t="inlineStr">
        <is>
          <t>BA.2.75</t>
        </is>
      </c>
      <c r="U2" s="6" t="inlineStr">
        <is>
          <t>BA.2.76</t>
        </is>
      </c>
      <c r="V2" s="6" t="inlineStr">
        <is>
          <t>BA.4</t>
        </is>
      </c>
      <c r="W2" s="6" t="inlineStr">
        <is>
          <t>BA.4.1</t>
        </is>
      </c>
      <c r="X2" s="6" t="inlineStr">
        <is>
          <t>BA.4.4</t>
        </is>
      </c>
      <c r="Y2" s="6" t="inlineStr">
        <is>
          <t>BA.5</t>
        </is>
      </c>
      <c r="Z2" s="6" t="inlineStr">
        <is>
          <t>BA.5.1</t>
        </is>
      </c>
      <c r="AA2" s="6" t="inlineStr">
        <is>
          <t>BA.5.1.2</t>
        </is>
      </c>
      <c r="AB2" s="6" t="inlineStr">
        <is>
          <t>BA.5.1.5</t>
        </is>
      </c>
      <c r="AC2" s="6" t="inlineStr">
        <is>
          <t>BA.5.1.10</t>
        </is>
      </c>
      <c r="AD2" s="6" t="inlineStr">
        <is>
          <t>BA.5.1.15</t>
        </is>
      </c>
      <c r="AE2" s="6" t="inlineStr">
        <is>
          <t>BA.5.1.22</t>
        </is>
      </c>
      <c r="AF2" s="6" t="inlineStr">
        <is>
          <t>BA.5.1.30</t>
        </is>
      </c>
      <c r="AG2" s="6" t="inlineStr">
        <is>
          <t>BA.5.2</t>
        </is>
      </c>
      <c r="AH2" s="6" t="inlineStr">
        <is>
          <t>BA.5.2.1</t>
        </is>
      </c>
      <c r="AI2" s="6" t="inlineStr">
        <is>
          <t>BA.5.2.6</t>
        </is>
      </c>
      <c r="AJ2" s="6" t="inlineStr">
        <is>
          <t>BA.5.2.12</t>
        </is>
      </c>
      <c r="AK2" s="6" t="inlineStr">
        <is>
          <t>BA.5.2.18</t>
        </is>
      </c>
      <c r="AL2" s="6" t="inlineStr">
        <is>
          <t>BA.5.2.19</t>
        </is>
      </c>
      <c r="AM2" s="6" t="inlineStr">
        <is>
          <t>BA.5.2.20</t>
        </is>
      </c>
      <c r="AN2" s="6" t="inlineStr">
        <is>
          <t>BA.5.2.24</t>
        </is>
      </c>
      <c r="AO2" s="6" t="inlineStr">
        <is>
          <t>BA.5.2.25</t>
        </is>
      </c>
      <c r="AP2" s="6" t="inlineStr">
        <is>
          <t>BA.5.2.27</t>
        </is>
      </c>
      <c r="AQ2" s="6" t="inlineStr">
        <is>
          <t>BA.5.2.28</t>
        </is>
      </c>
      <c r="AR2" s="6" t="inlineStr">
        <is>
          <t>BA.5.2.31</t>
        </is>
      </c>
      <c r="AS2" s="6" t="inlineStr">
        <is>
          <t>BA.5.2.36</t>
        </is>
      </c>
      <c r="AT2" s="6" t="inlineStr">
        <is>
          <t>BA.5.2.38</t>
        </is>
      </c>
      <c r="AU2" s="6" t="inlineStr">
        <is>
          <t>BA.5.3.1</t>
        </is>
      </c>
      <c r="AV2" s="6" t="inlineStr">
        <is>
          <t>BA.5.5</t>
        </is>
      </c>
      <c r="AW2" s="6" t="inlineStr">
        <is>
          <t>BA.5.6</t>
        </is>
      </c>
      <c r="AX2" s="6" t="inlineStr">
        <is>
          <t>BA.5.8</t>
        </is>
      </c>
      <c r="AY2" s="6" t="inlineStr">
        <is>
          <t>BA.5.10</t>
        </is>
      </c>
      <c r="AZ2" s="6" t="inlineStr">
        <is>
          <t>BA.5.10.1</t>
        </is>
      </c>
      <c r="BA2" s="6" t="inlineStr">
        <is>
          <t>BE.1</t>
        </is>
      </c>
      <c r="BB2" s="6" t="inlineStr">
        <is>
          <t>BE.3</t>
        </is>
      </c>
      <c r="BC2" s="6" t="inlineStr">
        <is>
          <t>BF.1</t>
        </is>
      </c>
      <c r="BD2" s="6" t="inlineStr">
        <is>
          <t>BF.3</t>
        </is>
      </c>
      <c r="BE2" s="6" t="inlineStr">
        <is>
          <t>BF.3.1</t>
        </is>
      </c>
      <c r="BF2" s="6" t="inlineStr">
        <is>
          <t>BF.4</t>
        </is>
      </c>
      <c r="BG2" s="6" t="inlineStr">
        <is>
          <t>BF.5</t>
        </is>
      </c>
      <c r="BH2" s="6" t="inlineStr">
        <is>
          <t>BF.15</t>
        </is>
      </c>
      <c r="BI2" s="6" t="inlineStr">
        <is>
          <t>BF.18</t>
        </is>
      </c>
      <c r="BJ2" s="6" t="inlineStr">
        <is>
          <t>BF.28</t>
        </is>
      </c>
      <c r="BK2" s="6" t="inlineStr">
        <is>
          <t>BN.1.3</t>
        </is>
      </c>
      <c r="BL2" s="6" t="inlineStr">
        <is>
          <t>BP.1</t>
        </is>
      </c>
      <c r="BM2" s="6" t="inlineStr">
        <is>
          <t>BQ.1</t>
        </is>
      </c>
      <c r="BN2" s="6" t="inlineStr">
        <is>
          <t>BQ.1.1</t>
        </is>
      </c>
      <c r="BO2" s="6" t="inlineStr">
        <is>
          <t>BQ.1.1.2</t>
        </is>
      </c>
      <c r="BP2" s="6" t="inlineStr">
        <is>
          <t>BQ.1.12</t>
        </is>
      </c>
      <c r="BQ2" s="6" t="inlineStr">
        <is>
          <t>BR.2</t>
        </is>
      </c>
      <c r="BR2" s="6" t="inlineStr">
        <is>
          <t>BT.1</t>
        </is>
      </c>
      <c r="BS2" s="6" t="inlineStr">
        <is>
          <t>CM.1</t>
        </is>
      </c>
      <c r="BT2" s="6" t="inlineStr">
        <is>
          <t>CM.2</t>
        </is>
      </c>
      <c r="BU2" s="6" t="inlineStr">
        <is>
          <t>CM.3</t>
        </is>
      </c>
      <c r="BV2" s="6" t="inlineStr">
        <is>
          <t>CM.4</t>
        </is>
      </c>
      <c r="BW2" s="6" t="inlineStr">
        <is>
          <t>CM.4.1</t>
        </is>
      </c>
      <c r="BX2" s="6" t="inlineStr">
        <is>
          <t>CM.5</t>
        </is>
      </c>
      <c r="BY2" s="6" t="inlineStr">
        <is>
          <t>CM.5.1</t>
        </is>
      </c>
      <c r="BZ2" s="6" t="inlineStr">
        <is>
          <t>CM.6</t>
        </is>
      </c>
      <c r="CA2" s="6" t="inlineStr">
        <is>
          <t>CM.6.1</t>
        </is>
      </c>
      <c r="CB2" s="6" t="inlineStr">
        <is>
          <t>CM.7</t>
        </is>
      </c>
      <c r="CC2" s="6" t="inlineStr">
        <is>
          <t>CM.8</t>
        </is>
      </c>
      <c r="CD2" s="6" t="inlineStr">
        <is>
          <t>CM.8.1</t>
        </is>
      </c>
      <c r="CE2" s="6" t="inlineStr">
        <is>
          <t>CM.10</t>
        </is>
      </c>
      <c r="CF2" s="6" t="inlineStr">
        <is>
          <t>CP.1.1</t>
        </is>
      </c>
      <c r="CG2" s="6" t="inlineStr">
        <is>
          <t>CR.1</t>
        </is>
      </c>
      <c r="CH2" s="6" t="inlineStr">
        <is>
          <t>DD.1</t>
        </is>
      </c>
      <c r="CI2" s="6" t="inlineStr">
        <is>
          <t>DF.1</t>
        </is>
      </c>
      <c r="CJ2" s="6" t="inlineStr">
        <is>
          <t>XBB</t>
        </is>
      </c>
      <c r="CK2" s="6" t="inlineStr">
        <is>
          <t>XBB.1</t>
        </is>
      </c>
      <c r="CL2" s="6" t="inlineStr">
        <is>
          <t>XBB.1.2</t>
        </is>
      </c>
      <c r="CM2" s="6" t="inlineStr">
        <is>
          <t>XBB.1.5</t>
        </is>
      </c>
      <c r="CN2" s="6" t="inlineStr">
        <is>
          <t>XBB.1.9</t>
        </is>
      </c>
      <c r="CO2" s="6" t="inlineStr">
        <is>
          <t>XBB.1.9.1</t>
        </is>
      </c>
      <c r="CP2" s="6" t="inlineStr">
        <is>
          <t>XBB.2</t>
        </is>
      </c>
      <c r="CQ2" s="6" t="inlineStr">
        <is>
          <t>XBB.4</t>
        </is>
      </c>
      <c r="CR2" s="6" t="inlineStr">
        <is>
          <t>XBC.1</t>
        </is>
      </c>
      <c r="CS2" s="6" t="inlineStr">
        <is>
          <t>XBJ</t>
        </is>
      </c>
      <c r="CT2" s="6" t="inlineStr">
        <is>
          <t>Total_Assigned</t>
        </is>
      </c>
      <c r="CU2" s="6" t="inlineStr">
        <is>
          <t>No_Lineage</t>
        </is>
      </c>
      <c r="CV2" s="6" t="inlineStr">
        <is>
          <t>Total_Sequenced</t>
        </is>
      </c>
      <c r="CW2" s="6" t="inlineStr">
        <is>
          <t>Run_Note</t>
        </is>
      </c>
    </row>
    <row r="3">
      <c r="A3" s="7" t="n">
        <v>1</v>
      </c>
      <c r="B3" s="7" t="n">
        <v>2</v>
      </c>
      <c r="C3" s="7" t="n"/>
      <c r="D3" s="7" t="n"/>
      <c r="E3" s="7" t="n">
        <v>1</v>
      </c>
      <c r="F3" s="7" t="n"/>
      <c r="G3" s="7" t="n"/>
      <c r="H3" s="7" t="n">
        <v>86</v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>
        <f>SUM(B3:CS3)</f>
        <v/>
      </c>
      <c r="CU3" s="7" t="n">
        <v>1</v>
      </c>
      <c r="CV3" s="7">
        <f>CT3+CU3</f>
        <v/>
      </c>
      <c r="CW3" s="21" t="n"/>
    </row>
    <row r="4">
      <c r="A4" s="7" t="n">
        <v>4</v>
      </c>
      <c r="B4" s="7" t="n"/>
      <c r="C4" s="7" t="n"/>
      <c r="D4" s="7" t="n"/>
      <c r="E4" s="7" t="n"/>
      <c r="F4" s="7" t="n"/>
      <c r="G4" s="7" t="n">
        <v>1</v>
      </c>
      <c r="H4" s="7" t="n">
        <v>86</v>
      </c>
      <c r="I4" s="7" t="n">
        <v>1</v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>
        <f>SUM(B4:CS4)</f>
        <v/>
      </c>
      <c r="CU4" s="7" t="n">
        <v>2</v>
      </c>
      <c r="CV4" s="7">
        <f>CT4+CU4</f>
        <v/>
      </c>
      <c r="CW4" s="21" t="n"/>
    </row>
    <row r="5">
      <c r="A5" s="7" t="n">
        <v>5</v>
      </c>
      <c r="B5" s="7" t="n"/>
      <c r="C5" s="7" t="n"/>
      <c r="D5" s="7" t="n"/>
      <c r="E5" s="7" t="n">
        <v>1</v>
      </c>
      <c r="F5" s="7" t="n"/>
      <c r="G5" s="7" t="n">
        <v>7</v>
      </c>
      <c r="H5" s="7" t="n">
        <v>38</v>
      </c>
      <c r="I5" s="7" t="n"/>
      <c r="J5" s="7" t="n"/>
      <c r="K5" s="7" t="n">
        <v>1</v>
      </c>
      <c r="L5" s="7" t="n"/>
      <c r="M5" s="7" t="n"/>
      <c r="N5" s="7" t="n"/>
      <c r="O5" s="7" t="n">
        <v>11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>
        <v>13</v>
      </c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>
        <f>SUM(B5:CS5)</f>
        <v/>
      </c>
      <c r="CU5" s="7" t="n">
        <v>9</v>
      </c>
      <c r="CV5" s="7">
        <f>CT5+CU5</f>
        <v/>
      </c>
      <c r="CW5" s="21" t="n"/>
    </row>
    <row r="6">
      <c r="A6" s="7" t="n">
        <v>7</v>
      </c>
      <c r="B6" s="7" t="n"/>
      <c r="C6" s="7" t="n"/>
      <c r="D6" s="7" t="n"/>
      <c r="E6" s="7" t="n"/>
      <c r="F6" s="7" t="n"/>
      <c r="G6" s="7" t="n">
        <v>2</v>
      </c>
      <c r="H6" s="7" t="n">
        <v>66</v>
      </c>
      <c r="I6" s="7" t="n"/>
      <c r="J6" s="7" t="n"/>
      <c r="K6" s="7" t="n"/>
      <c r="L6" s="7" t="n">
        <v>1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>
        <f>SUM(B6:CS6)</f>
        <v/>
      </c>
      <c r="CU6" s="7" t="n">
        <v>15</v>
      </c>
      <c r="CV6" s="7">
        <f>CT6+CU6</f>
        <v/>
      </c>
      <c r="CW6" s="21" t="n"/>
    </row>
    <row r="7">
      <c r="A7" s="7" t="n">
        <v>8</v>
      </c>
      <c r="B7" s="7" t="n"/>
      <c r="C7" s="7" t="n"/>
      <c r="D7" s="7" t="n"/>
      <c r="E7" s="7" t="n"/>
      <c r="F7" s="7" t="n"/>
      <c r="G7" s="7" t="n"/>
      <c r="H7" s="7" t="n">
        <v>23</v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>
        <f>SUM(B7:CS7)</f>
        <v/>
      </c>
      <c r="CU7" s="7" t="n">
        <v>3</v>
      </c>
      <c r="CV7" s="7">
        <f>CT7+CU7</f>
        <v/>
      </c>
      <c r="CW7" s="21" t="n"/>
    </row>
    <row r="8">
      <c r="A8" s="7" t="n">
        <v>9</v>
      </c>
      <c r="B8" s="7" t="n"/>
      <c r="C8" s="7" t="n"/>
      <c r="D8" s="7" t="n"/>
      <c r="E8" s="7" t="n">
        <v>1</v>
      </c>
      <c r="F8" s="7" t="n"/>
      <c r="G8" s="7" t="n"/>
      <c r="H8" s="7" t="n">
        <v>12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>
        <f>SUM(B8:CS8)</f>
        <v/>
      </c>
      <c r="CU8" s="7" t="n">
        <v>5</v>
      </c>
      <c r="CV8" s="7">
        <f>CT8+CU8</f>
        <v/>
      </c>
      <c r="CW8" s="21" t="n"/>
    </row>
    <row r="9">
      <c r="A9" s="7" t="n">
        <v>10</v>
      </c>
      <c r="B9" s="7" t="n"/>
      <c r="C9" s="7" t="n"/>
      <c r="D9" s="7" t="n"/>
      <c r="E9" s="7" t="n"/>
      <c r="F9" s="7" t="n"/>
      <c r="G9" s="7" t="n">
        <v>1</v>
      </c>
      <c r="H9" s="7" t="n">
        <v>7</v>
      </c>
      <c r="I9" s="7" t="n"/>
      <c r="J9" s="7" t="n"/>
      <c r="K9" s="7" t="n"/>
      <c r="L9" s="7" t="n"/>
      <c r="M9" s="7" t="n"/>
      <c r="N9" s="7" t="n">
        <v>1</v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>
        <f>SUM(B9:CS9)</f>
        <v/>
      </c>
      <c r="CU9" s="7" t="n">
        <v>3</v>
      </c>
      <c r="CV9" s="7">
        <f>CT9+CU9</f>
        <v/>
      </c>
      <c r="CW9" s="21" t="n"/>
    </row>
    <row r="10">
      <c r="A10" s="7" t="n">
        <v>11</v>
      </c>
      <c r="B10" s="7" t="n"/>
      <c r="C10" s="7" t="n"/>
      <c r="D10" s="7" t="n"/>
      <c r="E10" s="7" t="n"/>
      <c r="F10" s="7" t="n"/>
      <c r="G10" s="7" t="n"/>
      <c r="H10" s="7" t="n">
        <v>1</v>
      </c>
      <c r="I10" s="7" t="n"/>
      <c r="J10" s="7" t="n"/>
      <c r="K10" s="7" t="n"/>
      <c r="L10" s="7" t="n"/>
      <c r="M10" s="7" t="n"/>
      <c r="N10" s="7" t="n"/>
      <c r="O10" s="7" t="n">
        <v>1</v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>
        <v>11</v>
      </c>
      <c r="AH10" s="7" t="n">
        <v>1</v>
      </c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>
        <f>SUM(B10:CS10)</f>
        <v/>
      </c>
      <c r="CU10" s="7" t="n">
        <v>0</v>
      </c>
      <c r="CV10" s="7">
        <f>CT10+CU10</f>
        <v/>
      </c>
      <c r="CW10" s="21" t="n"/>
    </row>
    <row r="11">
      <c r="A11" s="7" t="n">
        <v>12</v>
      </c>
      <c r="B11" s="7" t="n"/>
      <c r="C11" s="7" t="n"/>
      <c r="D11" s="7" t="n"/>
      <c r="E11" s="7" t="n"/>
      <c r="F11" s="7" t="n"/>
      <c r="G11" s="7" t="n"/>
      <c r="H11" s="7" t="n">
        <v>1</v>
      </c>
      <c r="I11" s="7" t="n"/>
      <c r="J11" s="7" t="n"/>
      <c r="K11" s="7" t="n"/>
      <c r="L11" s="7" t="n"/>
      <c r="M11" s="7" t="n"/>
      <c r="N11" s="7" t="n"/>
      <c r="O11" s="7" t="n">
        <v>1</v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>
        <v>2</v>
      </c>
      <c r="AH11" s="7" t="n">
        <v>2</v>
      </c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>
        <f>SUM(B11:CS11)</f>
        <v/>
      </c>
      <c r="CU11" s="7" t="n">
        <v>0</v>
      </c>
      <c r="CV11" s="7">
        <f>CT11+CU11</f>
        <v/>
      </c>
      <c r="CW11" s="21" t="n"/>
    </row>
    <row r="12">
      <c r="A12" s="7" t="n">
        <v>13</v>
      </c>
      <c r="B12" s="7" t="n"/>
      <c r="C12" s="7" t="n"/>
      <c r="D12" s="7" t="n"/>
      <c r="E12" s="7" t="n"/>
      <c r="F12" s="7" t="n"/>
      <c r="G12" s="7" t="n"/>
      <c r="H12" s="7" t="n">
        <v>1</v>
      </c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>
        <v>7</v>
      </c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>
        <f>SUM(B12:CS12)</f>
        <v/>
      </c>
      <c r="CU12" s="7" t="n">
        <v>1</v>
      </c>
      <c r="CV12" s="7">
        <f>CT12+CU12</f>
        <v/>
      </c>
      <c r="CW12" s="21" t="n"/>
    </row>
    <row r="13">
      <c r="A13" s="7" t="n">
        <v>14</v>
      </c>
      <c r="B13" s="7" t="n"/>
      <c r="C13" s="7" t="n"/>
      <c r="D13" s="7" t="n"/>
      <c r="E13" s="7" t="n">
        <v>1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>
        <v>1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>
        <v>2</v>
      </c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>
        <f>SUM(B13:CS13)</f>
        <v/>
      </c>
      <c r="CU13" s="7" t="n">
        <v>3</v>
      </c>
      <c r="CV13" s="7">
        <f>CT13+CU13</f>
        <v/>
      </c>
      <c r="CW13" s="21" t="n"/>
    </row>
    <row r="14">
      <c r="A14" s="7" t="n">
        <v>16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>
        <v>1</v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>
        <v>8</v>
      </c>
      <c r="AH14" s="7" t="n"/>
      <c r="AI14" s="7" t="n"/>
      <c r="AJ14" s="7" t="n"/>
      <c r="AK14" s="7" t="n"/>
      <c r="AL14" s="7" t="n"/>
      <c r="AM14" s="7" t="n"/>
      <c r="AN14" s="7" t="n">
        <v>1</v>
      </c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>
        <f>SUM(B14:CS14)</f>
        <v/>
      </c>
      <c r="CU14" s="7" t="n">
        <v>0</v>
      </c>
      <c r="CV14" s="7">
        <f>CT14+CU14</f>
        <v/>
      </c>
      <c r="CW14" s="21" t="n"/>
    </row>
    <row r="15">
      <c r="A15" s="7" t="n">
        <v>18</v>
      </c>
      <c r="B15" s="7" t="n"/>
      <c r="C15" s="7" t="n"/>
      <c r="D15" s="7" t="n"/>
      <c r="E15" s="7" t="n"/>
      <c r="F15" s="7" t="n"/>
      <c r="G15" s="7" t="n"/>
      <c r="H15" s="7" t="n">
        <v>2</v>
      </c>
      <c r="I15" s="7" t="n"/>
      <c r="J15" s="7" t="n"/>
      <c r="K15" s="7" t="n"/>
      <c r="L15" s="7" t="n"/>
      <c r="M15" s="7" t="n"/>
      <c r="N15" s="7" t="n"/>
      <c r="O15" s="7" t="n">
        <v>2</v>
      </c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>
        <v>4</v>
      </c>
      <c r="AH15" s="7" t="n">
        <v>1</v>
      </c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>
        <f>SUM(B15:CS15)</f>
        <v/>
      </c>
      <c r="CU15" s="7" t="n">
        <v>2</v>
      </c>
      <c r="CV15" s="7">
        <f>CT15+CU15</f>
        <v/>
      </c>
      <c r="CW15" s="21" t="n"/>
    </row>
    <row r="16">
      <c r="A16" s="7" t="n">
        <v>19</v>
      </c>
      <c r="B16" s="7" t="n"/>
      <c r="C16" s="7" t="n"/>
      <c r="D16" s="7" t="n"/>
      <c r="E16" s="7" t="n"/>
      <c r="F16" s="7" t="n"/>
      <c r="G16" s="7" t="n">
        <v>1</v>
      </c>
      <c r="H16" s="7" t="n">
        <v>2</v>
      </c>
      <c r="I16" s="7" t="n"/>
      <c r="J16" s="7" t="n"/>
      <c r="K16" s="7" t="n"/>
      <c r="L16" s="7" t="n"/>
      <c r="M16" s="7" t="n"/>
      <c r="N16" s="7" t="n"/>
      <c r="O16" s="7" t="n">
        <v>2</v>
      </c>
      <c r="P16" s="7" t="n"/>
      <c r="Q16" s="7" t="n"/>
      <c r="R16" s="7" t="n">
        <v>1</v>
      </c>
      <c r="S16" s="7" t="n"/>
      <c r="T16" s="7" t="n"/>
      <c r="U16" s="7" t="n"/>
      <c r="V16" s="7" t="n"/>
      <c r="W16" s="7" t="n">
        <v>1</v>
      </c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>
        <v>21</v>
      </c>
      <c r="AH16" s="7" t="n"/>
      <c r="AI16" s="7" t="n"/>
      <c r="AJ16" s="7" t="n"/>
      <c r="AK16" s="7" t="n"/>
      <c r="AL16" s="7" t="n">
        <v>2</v>
      </c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>
        <v>2</v>
      </c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>
        <f>SUM(B16:CS16)</f>
        <v/>
      </c>
      <c r="CU16" s="7" t="n">
        <v>9</v>
      </c>
      <c r="CV16" s="7">
        <f>CT16+CU16</f>
        <v/>
      </c>
      <c r="CW16" s="21" t="n"/>
    </row>
    <row r="17">
      <c r="A17" s="7" t="n">
        <v>20</v>
      </c>
      <c r="B17" s="7" t="n"/>
      <c r="C17" s="7" t="n"/>
      <c r="D17" s="7" t="n"/>
      <c r="E17" s="7" t="n"/>
      <c r="F17" s="7" t="n"/>
      <c r="G17" s="7" t="n">
        <v>1</v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>
        <v>2</v>
      </c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>
        <v>2</v>
      </c>
      <c r="AE17" s="7" t="n"/>
      <c r="AF17" s="7" t="n"/>
      <c r="AG17" s="7" t="n">
        <v>36</v>
      </c>
      <c r="AH17" s="7" t="n">
        <v>2</v>
      </c>
      <c r="AI17" s="7" t="n"/>
      <c r="AJ17" s="7" t="n"/>
      <c r="AK17" s="7" t="n"/>
      <c r="AL17" s="7" t="n">
        <v>1</v>
      </c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>
        <v>4</v>
      </c>
      <c r="AW17" s="7" t="n"/>
      <c r="AX17" s="7" t="n">
        <v>1</v>
      </c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>
        <f>SUM(B17:CS17)</f>
        <v/>
      </c>
      <c r="CU17" s="7" t="n">
        <v>10</v>
      </c>
      <c r="CV17" s="7">
        <f>CT17+CU17</f>
        <v/>
      </c>
      <c r="CW17" s="21" t="n"/>
    </row>
    <row r="18">
      <c r="A18" s="7" t="n">
        <v>21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>
        <v>8</v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>
        <v>4</v>
      </c>
      <c r="AA18" s="7" t="n"/>
      <c r="AB18" s="7" t="n"/>
      <c r="AC18" s="7" t="n"/>
      <c r="AD18" s="7" t="n">
        <v>5</v>
      </c>
      <c r="AE18" s="7" t="n"/>
      <c r="AF18" s="7" t="n"/>
      <c r="AG18" s="7" t="n">
        <v>97</v>
      </c>
      <c r="AH18" s="7" t="n">
        <v>1</v>
      </c>
      <c r="AI18" s="7" t="n"/>
      <c r="AJ18" s="7" t="n"/>
      <c r="AK18" s="7" t="n"/>
      <c r="AL18" s="7" t="n">
        <v>1</v>
      </c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>
        <v>1</v>
      </c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>
        <f>SUM(B18:CS18)</f>
        <v/>
      </c>
      <c r="CU18" s="7" t="n">
        <v>9</v>
      </c>
      <c r="CV18" s="7">
        <f>CT18+CU18</f>
        <v/>
      </c>
      <c r="CW18" s="21" t="n"/>
    </row>
    <row r="19">
      <c r="A19" s="7" t="n">
        <v>22</v>
      </c>
      <c r="B19" s="7" t="n"/>
      <c r="C19" s="7" t="n"/>
      <c r="D19" s="7" t="n"/>
      <c r="E19" s="7" t="n"/>
      <c r="F19" s="7" t="n"/>
      <c r="G19" s="7" t="n">
        <v>4</v>
      </c>
      <c r="H19" s="7" t="n">
        <v>1</v>
      </c>
      <c r="I19" s="7" t="n"/>
      <c r="J19" s="7" t="n"/>
      <c r="K19" s="7" t="n"/>
      <c r="L19" s="7" t="n"/>
      <c r="M19" s="7" t="n"/>
      <c r="N19" s="7" t="n"/>
      <c r="O19" s="7" t="n">
        <v>7</v>
      </c>
      <c r="P19" s="7" t="n">
        <v>2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>
        <v>1</v>
      </c>
      <c r="AA19" s="7" t="n"/>
      <c r="AB19" s="7" t="n"/>
      <c r="AC19" s="7" t="n">
        <v>1</v>
      </c>
      <c r="AD19" s="7" t="n"/>
      <c r="AE19" s="7" t="n">
        <v>1</v>
      </c>
      <c r="AF19" s="7" t="n"/>
      <c r="AG19" s="7" t="n">
        <v>50</v>
      </c>
      <c r="AH19" s="7" t="n">
        <v>4</v>
      </c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>
        <v>1</v>
      </c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>
        <f>SUM(B19:CS19)</f>
        <v/>
      </c>
      <c r="CU19" s="7" t="n">
        <v>80</v>
      </c>
      <c r="CV19" s="7">
        <f>CT19+CU19</f>
        <v/>
      </c>
      <c r="CW19" s="21" t="n"/>
    </row>
    <row r="20">
      <c r="A20" s="7" t="n">
        <v>23</v>
      </c>
      <c r="B20" s="7" t="n"/>
      <c r="C20" s="7" t="n"/>
      <c r="D20" s="7" t="n"/>
      <c r="E20" s="7" t="n"/>
      <c r="F20" s="7" t="n"/>
      <c r="G20" s="7" t="n"/>
      <c r="H20" s="7" t="n">
        <v>3</v>
      </c>
      <c r="I20" s="7" t="n"/>
      <c r="J20" s="7" t="n"/>
      <c r="K20" s="7" t="n"/>
      <c r="L20" s="7" t="n"/>
      <c r="M20" s="7" t="n"/>
      <c r="N20" s="7" t="n"/>
      <c r="O20" s="7" t="n">
        <v>1</v>
      </c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>
        <v>62</v>
      </c>
      <c r="AH20" s="7" t="n">
        <v>6</v>
      </c>
      <c r="AI20" s="7" t="n"/>
      <c r="AJ20" s="7" t="n"/>
      <c r="AK20" s="7" t="n"/>
      <c r="AL20" s="7" t="n"/>
      <c r="AM20" s="7" t="n"/>
      <c r="AN20" s="7" t="n"/>
      <c r="AO20" s="7" t="n"/>
      <c r="AP20" s="7" t="n">
        <v>1</v>
      </c>
      <c r="AQ20" s="7" t="n"/>
      <c r="AR20" s="7" t="n"/>
      <c r="AS20" s="7" t="n"/>
      <c r="AT20" s="7" t="n"/>
      <c r="AU20" s="7" t="n"/>
      <c r="AV20" s="7" t="n"/>
      <c r="AW20" s="7" t="n"/>
      <c r="AX20" s="7" t="n">
        <v>1</v>
      </c>
      <c r="AY20" s="7" t="n">
        <v>1</v>
      </c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>
        <f>SUM(B20:CS20)</f>
        <v/>
      </c>
      <c r="CU20" s="7" t="n">
        <v>5</v>
      </c>
      <c r="CV20" s="7">
        <f>CT20+CU20</f>
        <v/>
      </c>
      <c r="CW20" s="21" t="inlineStr">
        <is>
          <t>23 (rerun of 22, 80 unassigned)</t>
        </is>
      </c>
    </row>
    <row r="21">
      <c r="A21" s="7" t="n">
        <v>24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>
        <f>SUM(B21:CS21)</f>
        <v/>
      </c>
      <c r="CU21" s="7" t="n">
        <v>0</v>
      </c>
      <c r="CV21" s="7">
        <f>CT21+CU21</f>
        <v/>
      </c>
      <c r="CW21" s="21" t="n"/>
    </row>
    <row r="22">
      <c r="A22" s="7" t="n">
        <v>25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>
        <f>SUM(B22:CS22)</f>
        <v/>
      </c>
      <c r="CU22" s="7" t="n">
        <v>0</v>
      </c>
      <c r="CV22" s="7">
        <f>CT22+CU22</f>
        <v/>
      </c>
      <c r="CW22" s="21" t="n"/>
    </row>
    <row r="23">
      <c r="A23" s="7" t="n">
        <v>26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>
        <f>SUM(B23:CS23)</f>
        <v/>
      </c>
      <c r="CU23" s="7" t="n">
        <v>0</v>
      </c>
      <c r="CV23" s="7">
        <f>CT23+CU23</f>
        <v/>
      </c>
      <c r="CW23" s="21" t="n"/>
    </row>
    <row r="24">
      <c r="A24" s="7" t="n">
        <v>27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>
        <f>SUM(B24:CS24)</f>
        <v/>
      </c>
      <c r="CU24" s="7" t="n">
        <v>0</v>
      </c>
      <c r="CV24" s="7">
        <f>CT24+CU24</f>
        <v/>
      </c>
      <c r="CW24" s="21" t="n"/>
    </row>
    <row r="25">
      <c r="A25" s="7" t="n">
        <v>28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>
        <f>SUM(B25:CS25)</f>
        <v/>
      </c>
      <c r="CU25" s="7" t="n">
        <v>0</v>
      </c>
      <c r="CV25" s="7">
        <f>CT25+CU25</f>
        <v/>
      </c>
      <c r="CW25" s="21" t="n"/>
    </row>
    <row r="26">
      <c r="A26" s="7" t="n">
        <v>29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>
        <f>SUM(B26:CS26)</f>
        <v/>
      </c>
      <c r="CU26" s="7" t="n">
        <v>0</v>
      </c>
      <c r="CV26" s="7">
        <f>CT26+CU26</f>
        <v/>
      </c>
      <c r="CW26" s="21" t="n"/>
    </row>
    <row r="27">
      <c r="A27" s="7" t="n">
        <v>30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>
        <f>SUM(B27:CS27)</f>
        <v/>
      </c>
      <c r="CU27" s="7" t="n">
        <v>0</v>
      </c>
      <c r="CV27" s="7">
        <f>CT27+CU27</f>
        <v/>
      </c>
      <c r="CW27" s="21" t="n"/>
    </row>
    <row r="28">
      <c r="A28" s="7" t="n">
        <v>31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>
        <f>SUM(B28:CS28)</f>
        <v/>
      </c>
      <c r="CU28" s="7" t="n">
        <v>0</v>
      </c>
      <c r="CV28" s="7">
        <f>CT28+CU28</f>
        <v/>
      </c>
      <c r="CW28" s="21" t="n"/>
    </row>
    <row r="29">
      <c r="A29" s="7" t="n">
        <v>32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>
        <f>SUM(B29:CS29)</f>
        <v/>
      </c>
      <c r="CU29" s="7" t="n">
        <v>0</v>
      </c>
      <c r="CV29" s="7">
        <f>CT29+CU29</f>
        <v/>
      </c>
      <c r="CW29" s="21" t="n"/>
    </row>
    <row r="30">
      <c r="A30" s="7" t="n">
        <v>33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>
        <f>SUM(B30:CS30)</f>
        <v/>
      </c>
      <c r="CU30" s="7" t="n">
        <v>0</v>
      </c>
      <c r="CV30" s="7">
        <f>CT30+CU30</f>
        <v/>
      </c>
      <c r="CW30" s="21" t="n"/>
    </row>
    <row r="31">
      <c r="A31" s="7" t="n">
        <v>34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>
        <f>SUM(B31:CS31)</f>
        <v/>
      </c>
      <c r="CU31" s="7" t="n">
        <v>0</v>
      </c>
      <c r="CV31" s="7">
        <f>CT31+CU31</f>
        <v/>
      </c>
      <c r="CW31" s="21" t="n"/>
    </row>
    <row r="32">
      <c r="A32" s="7" t="n">
        <v>35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>
        <f>SUM(B32:CS32)</f>
        <v/>
      </c>
      <c r="CU32" s="7" t="n">
        <v>0</v>
      </c>
      <c r="CV32" s="7">
        <f>CT32+CU32</f>
        <v/>
      </c>
      <c r="CW32" s="21" t="n"/>
    </row>
    <row r="33">
      <c r="A33" s="7" t="n">
        <v>36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>
        <f>SUM(B33:CS33)</f>
        <v/>
      </c>
      <c r="CU33" s="7" t="n">
        <v>0</v>
      </c>
      <c r="CV33" s="7">
        <f>CT33+CU33</f>
        <v/>
      </c>
      <c r="CW33" s="21" t="n"/>
    </row>
    <row r="34">
      <c r="A34" s="7" t="n">
        <v>37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>
        <f>SUM(B34:CS34)</f>
        <v/>
      </c>
      <c r="CU34" s="7" t="n">
        <v>0</v>
      </c>
      <c r="CV34" s="7">
        <f>CT34+CU34</f>
        <v/>
      </c>
      <c r="CW34" s="21" t="n"/>
    </row>
    <row r="35">
      <c r="A35" s="7" t="n">
        <v>38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>
        <f>SUM(B35:CS35)</f>
        <v/>
      </c>
      <c r="CU35" s="7" t="n">
        <v>0</v>
      </c>
      <c r="CV35" s="7">
        <f>CT35+CU35</f>
        <v/>
      </c>
      <c r="CW35" s="21" t="n"/>
    </row>
    <row r="36">
      <c r="A36" s="7" t="n">
        <v>39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>
        <f>SUM(B36:CS36)</f>
        <v/>
      </c>
      <c r="CU36" s="7" t="n">
        <v>0</v>
      </c>
      <c r="CV36" s="7">
        <f>CT36+CU36</f>
        <v/>
      </c>
      <c r="CW36" s="21" t="n"/>
    </row>
    <row r="37">
      <c r="A37" s="7" t="n">
        <v>40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>
        <f>SUM(B37:CS37)</f>
        <v/>
      </c>
      <c r="CU37" s="7" t="n">
        <v>0</v>
      </c>
      <c r="CV37" s="7">
        <f>CT37+CU37</f>
        <v/>
      </c>
      <c r="CW37" s="21" t="n"/>
    </row>
    <row r="38">
      <c r="A38" s="7" t="n">
        <v>41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>
        <f>SUM(B38:CS38)</f>
        <v/>
      </c>
      <c r="CU38" s="7" t="n">
        <v>0</v>
      </c>
      <c r="CV38" s="7">
        <f>CT38+CU38</f>
        <v/>
      </c>
      <c r="CW38" s="21" t="n"/>
    </row>
    <row r="39">
      <c r="A39" s="7" t="n">
        <v>42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>
        <f>SUM(B39:CS39)</f>
        <v/>
      </c>
      <c r="CU39" s="7" t="n">
        <v>0</v>
      </c>
      <c r="CV39" s="7">
        <f>CT39+CU39</f>
        <v/>
      </c>
      <c r="CW39" s="21" t="n"/>
    </row>
    <row r="40">
      <c r="A40" s="7" t="n">
        <v>43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>
        <f>SUM(B40:CS40)</f>
        <v/>
      </c>
      <c r="CU40" s="7" t="n">
        <v>0</v>
      </c>
      <c r="CV40" s="7">
        <f>CT40+CU40</f>
        <v/>
      </c>
      <c r="CW40" s="21" t="n"/>
    </row>
    <row r="41">
      <c r="A41" s="7" t="n">
        <v>44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>
        <f>SUM(B41:CS41)</f>
        <v/>
      </c>
      <c r="CU41" s="7" t="n">
        <v>0</v>
      </c>
      <c r="CV41" s="7">
        <f>CT41+CU41</f>
        <v/>
      </c>
      <c r="CW41" s="21" t="n"/>
    </row>
    <row r="42">
      <c r="A42" s="7" t="n">
        <v>45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>
        <f>SUM(B42:CS42)</f>
        <v/>
      </c>
      <c r="CU42" s="7" t="n">
        <v>0</v>
      </c>
      <c r="CV42" s="7">
        <f>CT42+CU42</f>
        <v/>
      </c>
      <c r="CW42" s="21" t="n"/>
    </row>
    <row r="43">
      <c r="A43" s="7" t="n">
        <v>46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>
        <f>SUM(B43:CS43)</f>
        <v/>
      </c>
      <c r="CU43" s="7" t="n">
        <v>0</v>
      </c>
      <c r="CV43" s="7">
        <f>CT43+CU43</f>
        <v/>
      </c>
      <c r="CW43" s="21" t="n"/>
    </row>
    <row r="44">
      <c r="A44" s="7" t="n">
        <v>47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>
        <f>SUM(B44:CS44)</f>
        <v/>
      </c>
      <c r="CU44" s="7" t="n">
        <v>0</v>
      </c>
      <c r="CV44" s="7">
        <f>CT44+CU44</f>
        <v/>
      </c>
      <c r="CW44" s="21" t="n"/>
    </row>
    <row r="45">
      <c r="A45" s="7" t="n">
        <v>48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>
        <f>SUM(B45:CS45)</f>
        <v/>
      </c>
      <c r="CU45" s="7" t="n">
        <v>0</v>
      </c>
      <c r="CV45" s="7">
        <f>CT45+CU45</f>
        <v/>
      </c>
      <c r="CW45" s="21" t="n"/>
    </row>
    <row r="46">
      <c r="A46" s="7" t="n">
        <v>49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>
        <f>SUM(B46:CS46)</f>
        <v/>
      </c>
      <c r="CU46" s="7" t="n">
        <v>0</v>
      </c>
      <c r="CV46" s="7">
        <f>CT46+CU46</f>
        <v/>
      </c>
      <c r="CW46" s="21" t="n"/>
    </row>
    <row r="47">
      <c r="A47" s="7" t="n">
        <v>50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>
        <f>SUM(B47:CS47)</f>
        <v/>
      </c>
      <c r="CU47" s="7" t="n">
        <v>0</v>
      </c>
      <c r="CV47" s="7">
        <f>CT47+CU47</f>
        <v/>
      </c>
      <c r="CW47" s="21" t="n"/>
    </row>
    <row r="48">
      <c r="A48" s="7" t="n">
        <v>52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>
        <f>SUM(B48:CS48)</f>
        <v/>
      </c>
      <c r="CU48" s="7" t="n">
        <v>0</v>
      </c>
      <c r="CV48" s="7">
        <f>CT48+CU48</f>
        <v/>
      </c>
      <c r="CW48" s="21" t="n"/>
    </row>
    <row r="49">
      <c r="A49" s="7" t="n">
        <v>53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>
        <f>SUM(B49:CS49)</f>
        <v/>
      </c>
      <c r="CU49" s="7" t="n">
        <v>0</v>
      </c>
      <c r="CV49" s="7">
        <f>CT49+CU49</f>
        <v/>
      </c>
      <c r="CW49" s="21" t="n"/>
    </row>
    <row r="50">
      <c r="A50" s="7" t="n">
        <v>54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>
        <f>SUM(B50:CS50)</f>
        <v/>
      </c>
      <c r="CU50" s="7" t="n">
        <v>0</v>
      </c>
      <c r="CV50" s="7">
        <f>CT50+CU50</f>
        <v/>
      </c>
      <c r="CW50" s="21" t="n"/>
    </row>
    <row r="51">
      <c r="A51" s="7" t="n">
        <v>55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>
        <f>SUM(B51:CS51)</f>
        <v/>
      </c>
      <c r="CU51" s="7" t="n">
        <v>0</v>
      </c>
      <c r="CV51" s="7">
        <f>CT51+CU51</f>
        <v/>
      </c>
      <c r="CW51" s="21" t="n"/>
    </row>
    <row r="52">
      <c r="A52" s="7" t="n">
        <v>56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>
        <f>SUM(B52:CS52)</f>
        <v/>
      </c>
      <c r="CU52" s="7" t="n">
        <v>0</v>
      </c>
      <c r="CV52" s="7">
        <f>CT52+CU52</f>
        <v/>
      </c>
      <c r="CW52" s="21" t="n"/>
    </row>
    <row r="53">
      <c r="A53" s="7" t="n">
        <v>57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>
        <f>SUM(B53:CS53)</f>
        <v/>
      </c>
      <c r="CU53" s="7" t="n">
        <v>0</v>
      </c>
      <c r="CV53" s="7">
        <f>CT53+CU53</f>
        <v/>
      </c>
      <c r="CW53" s="21" t="n"/>
    </row>
    <row r="54">
      <c r="A54" s="7" t="n">
        <v>58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>
        <f>SUM(B54:CS54)</f>
        <v/>
      </c>
      <c r="CU54" s="7" t="n">
        <v>0</v>
      </c>
      <c r="CV54" s="7">
        <f>CT54+CU54</f>
        <v/>
      </c>
      <c r="CW54" s="21" t="n"/>
    </row>
    <row r="55">
      <c r="A55" s="7" t="n">
        <v>59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>
        <f>SUM(B55:CS55)</f>
        <v/>
      </c>
      <c r="CU55" s="7" t="n">
        <v>0</v>
      </c>
      <c r="CV55" s="7">
        <f>CT55+CU55</f>
        <v/>
      </c>
      <c r="CW55" s="21" t="n"/>
    </row>
    <row r="56">
      <c r="A56" s="7" t="n">
        <v>60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>
        <f>SUM(B56:CS56)</f>
        <v/>
      </c>
      <c r="CU56" s="7" t="n">
        <v>0</v>
      </c>
      <c r="CV56" s="7">
        <f>CT56+CU56</f>
        <v/>
      </c>
      <c r="CW56" s="21" t="n"/>
    </row>
    <row r="57">
      <c r="A57" s="7" t="n">
        <v>61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>
        <f>SUM(B57:CS57)</f>
        <v/>
      </c>
      <c r="CU57" s="7" t="n">
        <v>0</v>
      </c>
      <c r="CV57" s="7">
        <f>CT57+CU57</f>
        <v/>
      </c>
      <c r="CW57" s="21" t="n"/>
    </row>
    <row r="58">
      <c r="A58" s="7" t="n">
        <v>62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>
        <f>SUM(B58:CS58)</f>
        <v/>
      </c>
      <c r="CU58" s="7" t="n">
        <v>0</v>
      </c>
      <c r="CV58" s="7">
        <f>CT58+CU58</f>
        <v/>
      </c>
      <c r="CW58" s="21" t="n"/>
    </row>
    <row r="59">
      <c r="A59" s="7" t="n">
        <v>63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>
        <f>SUM(B59:CS59)</f>
        <v/>
      </c>
      <c r="CU59" s="7" t="n">
        <v>0</v>
      </c>
      <c r="CV59" s="7">
        <f>CT59+CU59</f>
        <v/>
      </c>
      <c r="CW59" s="21" t="n"/>
    </row>
    <row r="60">
      <c r="A60" s="7" t="n">
        <v>64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>
        <f>SUM(B60:CS60)</f>
        <v/>
      </c>
      <c r="CU60" s="7" t="n">
        <v>0</v>
      </c>
      <c r="CV60" s="7">
        <f>CT60+CU60</f>
        <v/>
      </c>
      <c r="CW60" s="21" t="n"/>
    </row>
    <row r="61">
      <c r="A61" s="7" t="n">
        <v>65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>
        <f>SUM(B61:CS61)</f>
        <v/>
      </c>
      <c r="CU61" s="7" t="n">
        <v>0</v>
      </c>
      <c r="CV61" s="7">
        <f>CT61+CU61</f>
        <v/>
      </c>
      <c r="CW61" s="21" t="n"/>
    </row>
    <row r="62">
      <c r="A62" s="7" t="n">
        <v>66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>
        <f>SUM(B62:CS62)</f>
        <v/>
      </c>
      <c r="CU62" s="7" t="n">
        <v>0</v>
      </c>
      <c r="CV62" s="7">
        <f>CT62+CU62</f>
        <v/>
      </c>
      <c r="CW62" s="21" t="n"/>
    </row>
    <row r="63">
      <c r="A63" s="7" t="n">
        <v>67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>
        <f>SUM(B63:CS63)</f>
        <v/>
      </c>
      <c r="CU63" s="7" t="n">
        <v>0</v>
      </c>
      <c r="CV63" s="7">
        <f>CT63+CU63</f>
        <v/>
      </c>
      <c r="CW63" s="21" t="n"/>
    </row>
    <row r="64">
      <c r="A64" s="7" t="n">
        <v>68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>
        <f>SUM(B64:CS64)</f>
        <v/>
      </c>
      <c r="CU64" s="7" t="n">
        <v>0</v>
      </c>
      <c r="CV64" s="7">
        <f>CT64+CU64</f>
        <v/>
      </c>
      <c r="CW64" s="21" t="n"/>
    </row>
    <row r="65">
      <c r="A65" s="7" t="n">
        <v>69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>
        <f>SUM(B65:CS65)</f>
        <v/>
      </c>
      <c r="CU65" s="7" t="n">
        <v>0</v>
      </c>
      <c r="CV65" s="7">
        <f>CT65+CU65</f>
        <v/>
      </c>
      <c r="CW65" s="21" t="n"/>
    </row>
    <row r="66">
      <c r="A66" s="7" t="n">
        <v>70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>
        <f>SUM(B66:CS66)</f>
        <v/>
      </c>
      <c r="CU66" s="7" t="n">
        <v>0</v>
      </c>
      <c r="CV66" s="7">
        <f>CT66+CU66</f>
        <v/>
      </c>
      <c r="CW66" s="21" t="n"/>
    </row>
    <row r="67">
      <c r="A67" s="7" t="n">
        <v>71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>
        <f>SUM(B67:CS67)</f>
        <v/>
      </c>
      <c r="CU67" s="7" t="n">
        <v>0</v>
      </c>
      <c r="CV67" s="7">
        <f>CT67+CU67</f>
        <v/>
      </c>
      <c r="CW67" s="21" t="n"/>
    </row>
    <row r="68">
      <c r="A68" s="15" t="inlineStr">
        <is>
          <t>TOTAL</t>
        </is>
      </c>
      <c r="B68" s="15">
        <f>SUM(B3:B67)</f>
        <v/>
      </c>
      <c r="C68" s="15">
        <f>SUM(C3:C67)</f>
        <v/>
      </c>
      <c r="D68" s="15">
        <f>SUM(D3:D67)</f>
        <v/>
      </c>
      <c r="E68" s="15">
        <f>SUM(E3:E67)</f>
        <v/>
      </c>
      <c r="F68" s="15">
        <f>SUM(F3:F67)</f>
        <v/>
      </c>
      <c r="G68" s="15">
        <f>SUM(G3:G67)</f>
        <v/>
      </c>
      <c r="H68" s="15">
        <f>SUM(H3:H67)</f>
        <v/>
      </c>
      <c r="I68" s="15">
        <f>SUM(I3:I67)</f>
        <v/>
      </c>
      <c r="J68" s="15">
        <f>SUM(J3:J67)</f>
        <v/>
      </c>
      <c r="K68" s="15">
        <f>SUM(K3:K67)</f>
        <v/>
      </c>
      <c r="L68" s="15">
        <f>SUM(L3:L67)</f>
        <v/>
      </c>
      <c r="M68" s="15">
        <f>SUM(M3:M67)</f>
        <v/>
      </c>
      <c r="N68" s="15">
        <f>SUM(N3:N67)</f>
        <v/>
      </c>
      <c r="O68" s="15">
        <f>SUM(O3:O67)</f>
        <v/>
      </c>
      <c r="P68" s="15">
        <f>SUM(P3:P67)</f>
        <v/>
      </c>
      <c r="Q68" s="15">
        <f>SUM(Q3:Q67)</f>
        <v/>
      </c>
      <c r="R68" s="15">
        <f>SUM(R3:R67)</f>
        <v/>
      </c>
      <c r="S68" s="15">
        <f>SUM(S3:S67)</f>
        <v/>
      </c>
      <c r="T68" s="15">
        <f>SUM(T3:T67)</f>
        <v/>
      </c>
      <c r="U68" s="15">
        <f>SUM(U3:U67)</f>
        <v/>
      </c>
      <c r="V68" s="15">
        <f>SUM(V3:V67)</f>
        <v/>
      </c>
      <c r="W68" s="15">
        <f>SUM(W3:W67)</f>
        <v/>
      </c>
      <c r="X68" s="15">
        <f>SUM(X3:X67)</f>
        <v/>
      </c>
      <c r="Y68" s="15">
        <f>SUM(Y3:Y67)</f>
        <v/>
      </c>
      <c r="Z68" s="15">
        <f>SUM(Z3:Z67)</f>
        <v/>
      </c>
      <c r="AA68" s="15">
        <f>SUM(AA3:AA67)</f>
        <v/>
      </c>
      <c r="AB68" s="15">
        <f>SUM(AB3:AB67)</f>
        <v/>
      </c>
      <c r="AC68" s="15">
        <f>SUM(AC3:AC67)</f>
        <v/>
      </c>
      <c r="AD68" s="15">
        <f>SUM(AD3:AD67)</f>
        <v/>
      </c>
      <c r="AE68" s="15">
        <f>SUM(AE3:AE67)</f>
        <v/>
      </c>
      <c r="AF68" s="15">
        <f>SUM(AF3:AF67)</f>
        <v/>
      </c>
      <c r="AG68" s="15">
        <f>SUM(AG3:AG67)</f>
        <v/>
      </c>
      <c r="AH68" s="15">
        <f>SUM(AH3:AH67)</f>
        <v/>
      </c>
      <c r="AI68" s="15">
        <f>SUM(AI3:AI67)</f>
        <v/>
      </c>
      <c r="AJ68" s="15">
        <f>SUM(AJ3:AJ67)</f>
        <v/>
      </c>
      <c r="AK68" s="15">
        <f>SUM(AK3:AK67)</f>
        <v/>
      </c>
      <c r="AL68" s="15">
        <f>SUM(AL3:AL67)</f>
        <v/>
      </c>
      <c r="AM68" s="15">
        <f>SUM(AM3:AM67)</f>
        <v/>
      </c>
      <c r="AN68" s="15">
        <f>SUM(AN3:AN67)</f>
        <v/>
      </c>
      <c r="AO68" s="15">
        <f>SUM(AO3:AO67)</f>
        <v/>
      </c>
      <c r="AP68" s="15">
        <f>SUM(AP3:AP67)</f>
        <v/>
      </c>
      <c r="AQ68" s="15">
        <f>SUM(AQ3:AQ67)</f>
        <v/>
      </c>
      <c r="AR68" s="15">
        <f>SUM(AR3:AR67)</f>
        <v/>
      </c>
      <c r="AS68" s="15">
        <f>SUM(AS3:AS67)</f>
        <v/>
      </c>
      <c r="AT68" s="15">
        <f>SUM(AT3:AT67)</f>
        <v/>
      </c>
      <c r="AU68" s="15">
        <f>SUM(AU3:AU67)</f>
        <v/>
      </c>
      <c r="AV68" s="15">
        <f>SUM(AV3:AV67)</f>
        <v/>
      </c>
      <c r="AW68" s="15">
        <f>SUM(AW3:AW67)</f>
        <v/>
      </c>
      <c r="AX68" s="15">
        <f>SUM(AX3:AX67)</f>
        <v/>
      </c>
      <c r="AY68" s="15">
        <f>SUM(AY3:AY67)</f>
        <v/>
      </c>
      <c r="AZ68" s="15">
        <f>SUM(AZ3:AZ67)</f>
        <v/>
      </c>
      <c r="BA68" s="15">
        <f>SUM(BA3:BA67)</f>
        <v/>
      </c>
      <c r="BB68" s="15">
        <f>SUM(BB3:BB67)</f>
        <v/>
      </c>
      <c r="BC68" s="15">
        <f>SUM(BC3:BC67)</f>
        <v/>
      </c>
      <c r="BD68" s="15">
        <f>SUM(BD3:BD67)</f>
        <v/>
      </c>
      <c r="BE68" s="15">
        <f>SUM(BE3:BE67)</f>
        <v/>
      </c>
      <c r="BF68" s="15">
        <f>SUM(BF3:BF67)</f>
        <v/>
      </c>
      <c r="BG68" s="15">
        <f>SUM(BG3:BG67)</f>
        <v/>
      </c>
      <c r="BH68" s="15">
        <f>SUM(BH3:BH67)</f>
        <v/>
      </c>
      <c r="BI68" s="15">
        <f>SUM(BI3:BI67)</f>
        <v/>
      </c>
      <c r="BJ68" s="15">
        <f>SUM(BJ3:BJ67)</f>
        <v/>
      </c>
      <c r="BK68" s="15">
        <f>SUM(BK3:BK67)</f>
        <v/>
      </c>
      <c r="BL68" s="15">
        <f>SUM(BL3:BL67)</f>
        <v/>
      </c>
      <c r="BM68" s="15">
        <f>SUM(BM3:BM67)</f>
        <v/>
      </c>
      <c r="BN68" s="15">
        <f>SUM(BN3:BN67)</f>
        <v/>
      </c>
      <c r="BO68" s="15">
        <f>SUM(BO3:BO67)</f>
        <v/>
      </c>
      <c r="BP68" s="15">
        <f>SUM(BP3:BP67)</f>
        <v/>
      </c>
      <c r="BQ68" s="15">
        <f>SUM(BQ3:BQ67)</f>
        <v/>
      </c>
      <c r="BR68" s="15">
        <f>SUM(BR3:BR67)</f>
        <v/>
      </c>
      <c r="BS68" s="15">
        <f>SUM(BS3:BS67)</f>
        <v/>
      </c>
      <c r="BT68" s="15">
        <f>SUM(BT3:BT67)</f>
        <v/>
      </c>
      <c r="BU68" s="15">
        <f>SUM(BU3:BU67)</f>
        <v/>
      </c>
      <c r="BV68" s="15">
        <f>SUM(BV3:BV67)</f>
        <v/>
      </c>
      <c r="BW68" s="15">
        <f>SUM(BW3:BW67)</f>
        <v/>
      </c>
      <c r="BX68" s="15">
        <f>SUM(BX3:BX67)</f>
        <v/>
      </c>
      <c r="BY68" s="15">
        <f>SUM(BY3:BY67)</f>
        <v/>
      </c>
      <c r="BZ68" s="15">
        <f>SUM(BZ3:BZ67)</f>
        <v/>
      </c>
      <c r="CA68" s="15">
        <f>SUM(CA3:CA67)</f>
        <v/>
      </c>
      <c r="CB68" s="15">
        <f>SUM(CB3:CB67)</f>
        <v/>
      </c>
      <c r="CC68" s="15">
        <f>SUM(CC3:CC67)</f>
        <v/>
      </c>
      <c r="CD68" s="15">
        <f>SUM(CD3:CD67)</f>
        <v/>
      </c>
      <c r="CE68" s="15">
        <f>SUM(CE3:CE67)</f>
        <v/>
      </c>
      <c r="CF68" s="15">
        <f>SUM(CF3:CF67)</f>
        <v/>
      </c>
      <c r="CG68" s="15">
        <f>SUM(CG3:CG67)</f>
        <v/>
      </c>
      <c r="CH68" s="15">
        <f>SUM(CH3:CH67)</f>
        <v/>
      </c>
      <c r="CI68" s="15">
        <f>SUM(CI3:CI67)</f>
        <v/>
      </c>
      <c r="CJ68" s="15">
        <f>SUM(CJ3:CJ67)</f>
        <v/>
      </c>
      <c r="CK68" s="15">
        <f>SUM(CK3:CK67)</f>
        <v/>
      </c>
      <c r="CL68" s="15">
        <f>SUM(CL3:CL67)</f>
        <v/>
      </c>
      <c r="CM68" s="15">
        <f>SUM(CM3:CM67)</f>
        <v/>
      </c>
      <c r="CN68" s="15">
        <f>SUM(CN3:CN67)</f>
        <v/>
      </c>
      <c r="CO68" s="15">
        <f>SUM(CO3:CO67)</f>
        <v/>
      </c>
      <c r="CP68" s="15">
        <f>SUM(CP3:CP67)</f>
        <v/>
      </c>
      <c r="CQ68" s="15">
        <f>SUM(CQ3:CQ67)</f>
        <v/>
      </c>
      <c r="CR68" s="15">
        <f>SUM(CR3:CR67)</f>
        <v/>
      </c>
      <c r="CS68" s="15">
        <f>SUM(CS3:CS67)</f>
        <v/>
      </c>
      <c r="CT68" s="15">
        <f>SUM(CT3:CT67)</f>
        <v/>
      </c>
      <c r="CU68" s="15">
        <f>SUM(CU3:CU67)</f>
        <v/>
      </c>
      <c r="CV68" s="15">
        <f>SUM(CV3:CV67)</f>
        <v/>
      </c>
    </row>
    <row r="69">
      <c r="A69" s="15" t="inlineStr">
        <is>
          <t>% of all sequenced</t>
        </is>
      </c>
      <c r="B69" s="16">
        <f>IFERROR(B68/$CV$68,"")</f>
        <v/>
      </c>
      <c r="C69" s="16">
        <f>IFERROR(C68/$CV$68,"")</f>
        <v/>
      </c>
      <c r="D69" s="16">
        <f>IFERROR(D68/$CV$68,"")</f>
        <v/>
      </c>
      <c r="E69" s="16">
        <f>IFERROR(E68/$CV$68,"")</f>
        <v/>
      </c>
      <c r="F69" s="16">
        <f>IFERROR(F68/$CV$68,"")</f>
        <v/>
      </c>
      <c r="G69" s="16">
        <f>IFERROR(G68/$CV$68,"")</f>
        <v/>
      </c>
      <c r="H69" s="16">
        <f>IFERROR(H68/$CV$68,"")</f>
        <v/>
      </c>
      <c r="I69" s="16">
        <f>IFERROR(I68/$CV$68,"")</f>
        <v/>
      </c>
      <c r="J69" s="16">
        <f>IFERROR(J68/$CV$68,"")</f>
        <v/>
      </c>
      <c r="K69" s="16">
        <f>IFERROR(K68/$CV$68,"")</f>
        <v/>
      </c>
      <c r="L69" s="16">
        <f>IFERROR(L68/$CV$68,"")</f>
        <v/>
      </c>
      <c r="M69" s="16">
        <f>IFERROR(M68/$CV$68,"")</f>
        <v/>
      </c>
      <c r="N69" s="16">
        <f>IFERROR(N68/$CV$68,"")</f>
        <v/>
      </c>
      <c r="O69" s="16">
        <f>IFERROR(O68/$CV$68,"")</f>
        <v/>
      </c>
      <c r="P69" s="16">
        <f>IFERROR(P68/$CV$68,"")</f>
        <v/>
      </c>
      <c r="Q69" s="16">
        <f>IFERROR(Q68/$CV$68,"")</f>
        <v/>
      </c>
      <c r="R69" s="16">
        <f>IFERROR(R68/$CV$68,"")</f>
        <v/>
      </c>
      <c r="S69" s="16">
        <f>IFERROR(S68/$CV$68,"")</f>
        <v/>
      </c>
      <c r="T69" s="16">
        <f>IFERROR(T68/$CV$68,"")</f>
        <v/>
      </c>
      <c r="U69" s="16">
        <f>IFERROR(U68/$CV$68,"")</f>
        <v/>
      </c>
      <c r="V69" s="16">
        <f>IFERROR(V68/$CV$68,"")</f>
        <v/>
      </c>
      <c r="W69" s="16">
        <f>IFERROR(W68/$CV$68,"")</f>
        <v/>
      </c>
      <c r="X69" s="16">
        <f>IFERROR(X68/$CV$68,"")</f>
        <v/>
      </c>
      <c r="Y69" s="16">
        <f>IFERROR(Y68/$CV$68,"")</f>
        <v/>
      </c>
      <c r="Z69" s="16">
        <f>IFERROR(Z68/$CV$68,"")</f>
        <v/>
      </c>
      <c r="AA69" s="16">
        <f>IFERROR(AA68/$CV$68,"")</f>
        <v/>
      </c>
      <c r="AB69" s="16">
        <f>IFERROR(AB68/$CV$68,"")</f>
        <v/>
      </c>
      <c r="AC69" s="16">
        <f>IFERROR(AC68/$CV$68,"")</f>
        <v/>
      </c>
      <c r="AD69" s="16">
        <f>IFERROR(AD68/$CV$68,"")</f>
        <v/>
      </c>
      <c r="AE69" s="16">
        <f>IFERROR(AE68/$CV$68,"")</f>
        <v/>
      </c>
      <c r="AF69" s="16">
        <f>IFERROR(AF68/$CV$68,"")</f>
        <v/>
      </c>
      <c r="AG69" s="16">
        <f>IFERROR(AG68/$CV$68,"")</f>
        <v/>
      </c>
      <c r="AH69" s="16">
        <f>IFERROR(AH68/$CV$68,"")</f>
        <v/>
      </c>
      <c r="AI69" s="16">
        <f>IFERROR(AI68/$CV$68,"")</f>
        <v/>
      </c>
      <c r="AJ69" s="16">
        <f>IFERROR(AJ68/$CV$68,"")</f>
        <v/>
      </c>
      <c r="AK69" s="16">
        <f>IFERROR(AK68/$CV$68,"")</f>
        <v/>
      </c>
      <c r="AL69" s="16">
        <f>IFERROR(AL68/$CV$68,"")</f>
        <v/>
      </c>
      <c r="AM69" s="16">
        <f>IFERROR(AM68/$CV$68,"")</f>
        <v/>
      </c>
      <c r="AN69" s="16">
        <f>IFERROR(AN68/$CV$68,"")</f>
        <v/>
      </c>
      <c r="AO69" s="16">
        <f>IFERROR(AO68/$CV$68,"")</f>
        <v/>
      </c>
      <c r="AP69" s="16">
        <f>IFERROR(AP68/$CV$68,"")</f>
        <v/>
      </c>
      <c r="AQ69" s="16">
        <f>IFERROR(AQ68/$CV$68,"")</f>
        <v/>
      </c>
      <c r="AR69" s="16">
        <f>IFERROR(AR68/$CV$68,"")</f>
        <v/>
      </c>
      <c r="AS69" s="16">
        <f>IFERROR(AS68/$CV$68,"")</f>
        <v/>
      </c>
      <c r="AT69" s="16">
        <f>IFERROR(AT68/$CV$68,"")</f>
        <v/>
      </c>
      <c r="AU69" s="16">
        <f>IFERROR(AU68/$CV$68,"")</f>
        <v/>
      </c>
      <c r="AV69" s="16">
        <f>IFERROR(AV68/$CV$68,"")</f>
        <v/>
      </c>
      <c r="AW69" s="16">
        <f>IFERROR(AW68/$CV$68,"")</f>
        <v/>
      </c>
      <c r="AX69" s="16">
        <f>IFERROR(AX68/$CV$68,"")</f>
        <v/>
      </c>
      <c r="AY69" s="16">
        <f>IFERROR(AY68/$CV$68,"")</f>
        <v/>
      </c>
      <c r="AZ69" s="16">
        <f>IFERROR(AZ68/$CV$68,"")</f>
        <v/>
      </c>
      <c r="BA69" s="16">
        <f>IFERROR(BA68/$CV$68,"")</f>
        <v/>
      </c>
      <c r="BB69" s="16">
        <f>IFERROR(BB68/$CV$68,"")</f>
        <v/>
      </c>
      <c r="BC69" s="16">
        <f>IFERROR(BC68/$CV$68,"")</f>
        <v/>
      </c>
      <c r="BD69" s="16">
        <f>IFERROR(BD68/$CV$68,"")</f>
        <v/>
      </c>
      <c r="BE69" s="16">
        <f>IFERROR(BE68/$CV$68,"")</f>
        <v/>
      </c>
      <c r="BF69" s="16">
        <f>IFERROR(BF68/$CV$68,"")</f>
        <v/>
      </c>
      <c r="BG69" s="16">
        <f>IFERROR(BG68/$CV$68,"")</f>
        <v/>
      </c>
      <c r="BH69" s="16">
        <f>IFERROR(BH68/$CV$68,"")</f>
        <v/>
      </c>
      <c r="BI69" s="16">
        <f>IFERROR(BI68/$CV$68,"")</f>
        <v/>
      </c>
      <c r="BJ69" s="16">
        <f>IFERROR(BJ68/$CV$68,"")</f>
        <v/>
      </c>
      <c r="BK69" s="16">
        <f>IFERROR(BK68/$CV$68,"")</f>
        <v/>
      </c>
      <c r="BL69" s="16">
        <f>IFERROR(BL68/$CV$68,"")</f>
        <v/>
      </c>
      <c r="BM69" s="16">
        <f>IFERROR(BM68/$CV$68,"")</f>
        <v/>
      </c>
      <c r="BN69" s="16">
        <f>IFERROR(BN68/$CV$68,"")</f>
        <v/>
      </c>
      <c r="BO69" s="16">
        <f>IFERROR(BO68/$CV$68,"")</f>
        <v/>
      </c>
      <c r="BP69" s="16">
        <f>IFERROR(BP68/$CV$68,"")</f>
        <v/>
      </c>
      <c r="BQ69" s="16">
        <f>IFERROR(BQ68/$CV$68,"")</f>
        <v/>
      </c>
      <c r="BR69" s="16">
        <f>IFERROR(BR68/$CV$68,"")</f>
        <v/>
      </c>
      <c r="BS69" s="16">
        <f>IFERROR(BS68/$CV$68,"")</f>
        <v/>
      </c>
      <c r="BT69" s="16">
        <f>IFERROR(BT68/$CV$68,"")</f>
        <v/>
      </c>
      <c r="BU69" s="16">
        <f>IFERROR(BU68/$CV$68,"")</f>
        <v/>
      </c>
      <c r="BV69" s="16">
        <f>IFERROR(BV68/$CV$68,"")</f>
        <v/>
      </c>
      <c r="BW69" s="16">
        <f>IFERROR(BW68/$CV$68,"")</f>
        <v/>
      </c>
      <c r="BX69" s="16">
        <f>IFERROR(BX68/$CV$68,"")</f>
        <v/>
      </c>
      <c r="BY69" s="16">
        <f>IFERROR(BY68/$CV$68,"")</f>
        <v/>
      </c>
      <c r="BZ69" s="16">
        <f>IFERROR(BZ68/$CV$68,"")</f>
        <v/>
      </c>
      <c r="CA69" s="16">
        <f>IFERROR(CA68/$CV$68,"")</f>
        <v/>
      </c>
      <c r="CB69" s="16">
        <f>IFERROR(CB68/$CV$68,"")</f>
        <v/>
      </c>
      <c r="CC69" s="16">
        <f>IFERROR(CC68/$CV$68,"")</f>
        <v/>
      </c>
      <c r="CD69" s="16">
        <f>IFERROR(CD68/$CV$68,"")</f>
        <v/>
      </c>
      <c r="CE69" s="16">
        <f>IFERROR(CE68/$CV$68,"")</f>
        <v/>
      </c>
      <c r="CF69" s="16">
        <f>IFERROR(CF68/$CV$68,"")</f>
        <v/>
      </c>
      <c r="CG69" s="16">
        <f>IFERROR(CG68/$CV$68,"")</f>
        <v/>
      </c>
      <c r="CH69" s="16">
        <f>IFERROR(CH68/$CV$68,"")</f>
        <v/>
      </c>
      <c r="CI69" s="16">
        <f>IFERROR(CI68/$CV$68,"")</f>
        <v/>
      </c>
      <c r="CJ69" s="16">
        <f>IFERROR(CJ68/$CV$68,"")</f>
        <v/>
      </c>
      <c r="CK69" s="16">
        <f>IFERROR(CK68/$CV$68,"")</f>
        <v/>
      </c>
      <c r="CL69" s="16">
        <f>IFERROR(CL68/$CV$68,"")</f>
        <v/>
      </c>
      <c r="CM69" s="16">
        <f>IFERROR(CM68/$CV$68,"")</f>
        <v/>
      </c>
      <c r="CN69" s="16">
        <f>IFERROR(CN68/$CV$68,"")</f>
        <v/>
      </c>
      <c r="CO69" s="16">
        <f>IFERROR(CO68/$CV$68,"")</f>
        <v/>
      </c>
      <c r="CP69" s="16">
        <f>IFERROR(CP68/$CV$68,"")</f>
        <v/>
      </c>
      <c r="CQ69" s="16">
        <f>IFERROR(CQ68/$CV$68,"")</f>
        <v/>
      </c>
      <c r="CR69" s="16">
        <f>IFERROR(CR68/$CV$68,"")</f>
        <v/>
      </c>
      <c r="CS69" s="16">
        <f>IFERROR(CS68/$CV$68,"")</f>
        <v/>
      </c>
      <c r="CT69" s="16">
        <f>IFERROR(CT68/$CV$68,"")</f>
        <v/>
      </c>
      <c r="CU69" s="16">
        <f>IFERROR(CU68/$CV$68,"")</f>
        <v/>
      </c>
      <c r="CV69" s="16">
        <f>IFERROR(CV68/$CV$68,"")</f>
        <v/>
      </c>
    </row>
    <row r="70">
      <c r="A70" s="15" t="inlineStr">
        <is>
          <t>% of assigned</t>
        </is>
      </c>
      <c r="B70" s="16">
        <f>IFERROR(B68/$CT$68,"")</f>
        <v/>
      </c>
      <c r="C70" s="16">
        <f>IFERROR(C68/$CT$68,"")</f>
        <v/>
      </c>
      <c r="D70" s="16">
        <f>IFERROR(D68/$CT$68,"")</f>
        <v/>
      </c>
      <c r="E70" s="16">
        <f>IFERROR(E68/$CT$68,"")</f>
        <v/>
      </c>
      <c r="F70" s="16">
        <f>IFERROR(F68/$CT$68,"")</f>
        <v/>
      </c>
      <c r="G70" s="16">
        <f>IFERROR(G68/$CT$68,"")</f>
        <v/>
      </c>
      <c r="H70" s="16">
        <f>IFERROR(H68/$CT$68,"")</f>
        <v/>
      </c>
      <c r="I70" s="16">
        <f>IFERROR(I68/$CT$68,"")</f>
        <v/>
      </c>
      <c r="J70" s="16">
        <f>IFERROR(J68/$CT$68,"")</f>
        <v/>
      </c>
      <c r="K70" s="16">
        <f>IFERROR(K68/$CT$68,"")</f>
        <v/>
      </c>
      <c r="L70" s="16">
        <f>IFERROR(L68/$CT$68,"")</f>
        <v/>
      </c>
      <c r="M70" s="16">
        <f>IFERROR(M68/$CT$68,"")</f>
        <v/>
      </c>
      <c r="N70" s="16">
        <f>IFERROR(N68/$CT$68,"")</f>
        <v/>
      </c>
      <c r="O70" s="16">
        <f>IFERROR(O68/$CT$68,"")</f>
        <v/>
      </c>
      <c r="P70" s="16">
        <f>IFERROR(P68/$CT$68,"")</f>
        <v/>
      </c>
      <c r="Q70" s="16">
        <f>IFERROR(Q68/$CT$68,"")</f>
        <v/>
      </c>
      <c r="R70" s="16">
        <f>IFERROR(R68/$CT$68,"")</f>
        <v/>
      </c>
      <c r="S70" s="16">
        <f>IFERROR(S68/$CT$68,"")</f>
        <v/>
      </c>
      <c r="T70" s="16">
        <f>IFERROR(T68/$CT$68,"")</f>
        <v/>
      </c>
      <c r="U70" s="16">
        <f>IFERROR(U68/$CT$68,"")</f>
        <v/>
      </c>
      <c r="V70" s="16">
        <f>IFERROR(V68/$CT$68,"")</f>
        <v/>
      </c>
      <c r="W70" s="16">
        <f>IFERROR(W68/$CT$68,"")</f>
        <v/>
      </c>
      <c r="X70" s="16">
        <f>IFERROR(X68/$CT$68,"")</f>
        <v/>
      </c>
      <c r="Y70" s="16">
        <f>IFERROR(Y68/$CT$68,"")</f>
        <v/>
      </c>
      <c r="Z70" s="16">
        <f>IFERROR(Z68/$CT$68,"")</f>
        <v/>
      </c>
      <c r="AA70" s="16">
        <f>IFERROR(AA68/$CT$68,"")</f>
        <v/>
      </c>
      <c r="AB70" s="16">
        <f>IFERROR(AB68/$CT$68,"")</f>
        <v/>
      </c>
      <c r="AC70" s="16">
        <f>IFERROR(AC68/$CT$68,"")</f>
        <v/>
      </c>
      <c r="AD70" s="16">
        <f>IFERROR(AD68/$CT$68,"")</f>
        <v/>
      </c>
      <c r="AE70" s="16">
        <f>IFERROR(AE68/$CT$68,"")</f>
        <v/>
      </c>
      <c r="AF70" s="16">
        <f>IFERROR(AF68/$CT$68,"")</f>
        <v/>
      </c>
      <c r="AG70" s="16">
        <f>IFERROR(AG68/$CT$68,"")</f>
        <v/>
      </c>
      <c r="AH70" s="16">
        <f>IFERROR(AH68/$CT$68,"")</f>
        <v/>
      </c>
      <c r="AI70" s="16">
        <f>IFERROR(AI68/$CT$68,"")</f>
        <v/>
      </c>
      <c r="AJ70" s="16">
        <f>IFERROR(AJ68/$CT$68,"")</f>
        <v/>
      </c>
      <c r="AK70" s="16">
        <f>IFERROR(AK68/$CT$68,"")</f>
        <v/>
      </c>
      <c r="AL70" s="16">
        <f>IFERROR(AL68/$CT$68,"")</f>
        <v/>
      </c>
      <c r="AM70" s="16">
        <f>IFERROR(AM68/$CT$68,"")</f>
        <v/>
      </c>
      <c r="AN70" s="16">
        <f>IFERROR(AN68/$CT$68,"")</f>
        <v/>
      </c>
      <c r="AO70" s="16">
        <f>IFERROR(AO68/$CT$68,"")</f>
        <v/>
      </c>
      <c r="AP70" s="16">
        <f>IFERROR(AP68/$CT$68,"")</f>
        <v/>
      </c>
      <c r="AQ70" s="16">
        <f>IFERROR(AQ68/$CT$68,"")</f>
        <v/>
      </c>
      <c r="AR70" s="16">
        <f>IFERROR(AR68/$CT$68,"")</f>
        <v/>
      </c>
      <c r="AS70" s="16">
        <f>IFERROR(AS68/$CT$68,"")</f>
        <v/>
      </c>
      <c r="AT70" s="16">
        <f>IFERROR(AT68/$CT$68,"")</f>
        <v/>
      </c>
      <c r="AU70" s="16">
        <f>IFERROR(AU68/$CT$68,"")</f>
        <v/>
      </c>
      <c r="AV70" s="16">
        <f>IFERROR(AV68/$CT$68,"")</f>
        <v/>
      </c>
      <c r="AW70" s="16">
        <f>IFERROR(AW68/$CT$68,"")</f>
        <v/>
      </c>
      <c r="AX70" s="16">
        <f>IFERROR(AX68/$CT$68,"")</f>
        <v/>
      </c>
      <c r="AY70" s="16">
        <f>IFERROR(AY68/$CT$68,"")</f>
        <v/>
      </c>
      <c r="AZ70" s="16">
        <f>IFERROR(AZ68/$CT$68,"")</f>
        <v/>
      </c>
      <c r="BA70" s="16">
        <f>IFERROR(BA68/$CT$68,"")</f>
        <v/>
      </c>
      <c r="BB70" s="16">
        <f>IFERROR(BB68/$CT$68,"")</f>
        <v/>
      </c>
      <c r="BC70" s="16">
        <f>IFERROR(BC68/$CT$68,"")</f>
        <v/>
      </c>
      <c r="BD70" s="16">
        <f>IFERROR(BD68/$CT$68,"")</f>
        <v/>
      </c>
      <c r="BE70" s="16">
        <f>IFERROR(BE68/$CT$68,"")</f>
        <v/>
      </c>
      <c r="BF70" s="16">
        <f>IFERROR(BF68/$CT$68,"")</f>
        <v/>
      </c>
      <c r="BG70" s="16">
        <f>IFERROR(BG68/$CT$68,"")</f>
        <v/>
      </c>
      <c r="BH70" s="16">
        <f>IFERROR(BH68/$CT$68,"")</f>
        <v/>
      </c>
      <c r="BI70" s="16">
        <f>IFERROR(BI68/$CT$68,"")</f>
        <v/>
      </c>
      <c r="BJ70" s="16">
        <f>IFERROR(BJ68/$CT$68,"")</f>
        <v/>
      </c>
      <c r="BK70" s="16">
        <f>IFERROR(BK68/$CT$68,"")</f>
        <v/>
      </c>
      <c r="BL70" s="16">
        <f>IFERROR(BL68/$CT$68,"")</f>
        <v/>
      </c>
      <c r="BM70" s="16">
        <f>IFERROR(BM68/$CT$68,"")</f>
        <v/>
      </c>
      <c r="BN70" s="16">
        <f>IFERROR(BN68/$CT$68,"")</f>
        <v/>
      </c>
      <c r="BO70" s="16">
        <f>IFERROR(BO68/$CT$68,"")</f>
        <v/>
      </c>
      <c r="BP70" s="16">
        <f>IFERROR(BP68/$CT$68,"")</f>
        <v/>
      </c>
      <c r="BQ70" s="16">
        <f>IFERROR(BQ68/$CT$68,"")</f>
        <v/>
      </c>
      <c r="BR70" s="16">
        <f>IFERROR(BR68/$CT$68,"")</f>
        <v/>
      </c>
      <c r="BS70" s="16">
        <f>IFERROR(BS68/$CT$68,"")</f>
        <v/>
      </c>
      <c r="BT70" s="16">
        <f>IFERROR(BT68/$CT$68,"")</f>
        <v/>
      </c>
      <c r="BU70" s="16">
        <f>IFERROR(BU68/$CT$68,"")</f>
        <v/>
      </c>
      <c r="BV70" s="16">
        <f>IFERROR(BV68/$CT$68,"")</f>
        <v/>
      </c>
      <c r="BW70" s="16">
        <f>IFERROR(BW68/$CT$68,"")</f>
        <v/>
      </c>
      <c r="BX70" s="16">
        <f>IFERROR(BX68/$CT$68,"")</f>
        <v/>
      </c>
      <c r="BY70" s="16">
        <f>IFERROR(BY68/$CT$68,"")</f>
        <v/>
      </c>
      <c r="BZ70" s="16">
        <f>IFERROR(BZ68/$CT$68,"")</f>
        <v/>
      </c>
      <c r="CA70" s="16">
        <f>IFERROR(CA68/$CT$68,"")</f>
        <v/>
      </c>
      <c r="CB70" s="16">
        <f>IFERROR(CB68/$CT$68,"")</f>
        <v/>
      </c>
      <c r="CC70" s="16">
        <f>IFERROR(CC68/$CT$68,"")</f>
        <v/>
      </c>
      <c r="CD70" s="16">
        <f>IFERROR(CD68/$CT$68,"")</f>
        <v/>
      </c>
      <c r="CE70" s="16">
        <f>IFERROR(CE68/$CT$68,"")</f>
        <v/>
      </c>
      <c r="CF70" s="16">
        <f>IFERROR(CF68/$CT$68,"")</f>
        <v/>
      </c>
      <c r="CG70" s="16">
        <f>IFERROR(CG68/$CT$68,"")</f>
        <v/>
      </c>
      <c r="CH70" s="16">
        <f>IFERROR(CH68/$CT$68,"")</f>
        <v/>
      </c>
      <c r="CI70" s="16">
        <f>IFERROR(CI68/$CT$68,"")</f>
        <v/>
      </c>
      <c r="CJ70" s="16">
        <f>IFERROR(CJ68/$CT$68,"")</f>
        <v/>
      </c>
      <c r="CK70" s="16">
        <f>IFERROR(CK68/$CT$68,"")</f>
        <v/>
      </c>
      <c r="CL70" s="16">
        <f>IFERROR(CL68/$CT$68,"")</f>
        <v/>
      </c>
      <c r="CM70" s="16">
        <f>IFERROR(CM68/$CT$68,"")</f>
        <v/>
      </c>
      <c r="CN70" s="16">
        <f>IFERROR(CN68/$CT$68,"")</f>
        <v/>
      </c>
      <c r="CO70" s="16">
        <f>IFERROR(CO68/$CT$68,"")</f>
        <v/>
      </c>
      <c r="CP70" s="16">
        <f>IFERROR(CP68/$CT$68,"")</f>
        <v/>
      </c>
      <c r="CQ70" s="16">
        <f>IFERROR(CQ68/$CT$68,"")</f>
        <v/>
      </c>
      <c r="CR70" s="16">
        <f>IFERROR(CR68/$CT$68,"")</f>
        <v/>
      </c>
      <c r="CS70" s="16">
        <f>IFERROR(CS68/$CT$68,"")</f>
        <v/>
      </c>
      <c r="CT70" s="16">
        <f>IFERROR(CT68/$CT$68,"")</f>
        <v/>
      </c>
      <c r="CU70" s="16" t="n"/>
      <c r="CV70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C157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6" t="inlineStr">
        <is>
          <t>Category</t>
        </is>
      </c>
      <c r="B1" s="6" t="inlineStr">
        <is>
          <t>Lineage</t>
        </is>
      </c>
      <c r="C1" s="6" t="inlineStr">
        <is>
          <t>Run 64</t>
        </is>
      </c>
      <c r="D1" s="6" t="inlineStr">
        <is>
          <t>Run 65</t>
        </is>
      </c>
      <c r="E1" s="6" t="inlineStr">
        <is>
          <t>Run 66</t>
        </is>
      </c>
      <c r="F1" s="6" t="inlineStr">
        <is>
          <t>Run 67</t>
        </is>
      </c>
      <c r="G1" s="6" t="inlineStr">
        <is>
          <t>Run 68</t>
        </is>
      </c>
      <c r="H1" s="6" t="inlineStr">
        <is>
          <t>Run 69</t>
        </is>
      </c>
      <c r="I1" s="6" t="inlineStr">
        <is>
          <t>Run 70</t>
        </is>
      </c>
      <c r="J1" s="6" t="inlineStr">
        <is>
          <t>Run 71</t>
        </is>
      </c>
      <c r="K1" s="6" t="inlineStr">
        <is>
          <t>Run 72</t>
        </is>
      </c>
      <c r="L1" s="6" t="inlineStr">
        <is>
          <t>Run 73</t>
        </is>
      </c>
      <c r="M1" s="6" t="inlineStr">
        <is>
          <t>Run 74</t>
        </is>
      </c>
      <c r="N1" s="6" t="inlineStr">
        <is>
          <t>Run 75</t>
        </is>
      </c>
      <c r="O1" s="6" t="inlineStr">
        <is>
          <t>Run 76</t>
        </is>
      </c>
      <c r="P1" s="6" t="inlineStr">
        <is>
          <t>Run 77</t>
        </is>
      </c>
      <c r="Q1" s="6" t="inlineStr">
        <is>
          <t>Run 78</t>
        </is>
      </c>
      <c r="R1" s="6" t="inlineStr">
        <is>
          <t>Run 79</t>
        </is>
      </c>
      <c r="S1" s="6" t="inlineStr">
        <is>
          <t>Run 80</t>
        </is>
      </c>
      <c r="T1" s="6" t="inlineStr">
        <is>
          <t>Run 81</t>
        </is>
      </c>
      <c r="U1" s="6" t="inlineStr">
        <is>
          <t>Run 82</t>
        </is>
      </c>
      <c r="V1" s="6" t="inlineStr">
        <is>
          <t>Run 83</t>
        </is>
      </c>
      <c r="W1" s="6" t="inlineStr">
        <is>
          <t>Run 84</t>
        </is>
      </c>
      <c r="X1" s="6" t="inlineStr">
        <is>
          <t>Run 85</t>
        </is>
      </c>
      <c r="Y1" s="6" t="inlineStr">
        <is>
          <t>Run 86</t>
        </is>
      </c>
      <c r="Z1" s="6" t="inlineStr">
        <is>
          <t>Run 87</t>
        </is>
      </c>
      <c r="AA1" s="6" t="inlineStr">
        <is>
          <t>Run 88</t>
        </is>
      </c>
      <c r="AB1" s="6" t="inlineStr">
        <is>
          <t>Run 89</t>
        </is>
      </c>
      <c r="AC1" s="6" t="inlineStr">
        <is>
          <t>Lineage_Total</t>
        </is>
      </c>
    </row>
    <row r="2">
      <c r="A2" s="8" t="inlineStr">
        <is>
          <t>OMICRON-OTHER</t>
        </is>
      </c>
      <c r="B2" s="8" t="inlineStr">
        <is>
          <t>OMICRON-OTHER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>
        <v>1</v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>
        <f>SUM(C2:AB2)</f>
        <v/>
      </c>
    </row>
    <row r="3">
      <c r="A3" s="8" t="inlineStr">
        <is>
          <t>OMICRON-OTHER</t>
        </is>
      </c>
      <c r="B3" s="8" t="inlineStr">
        <is>
          <t>BA.1.1.529</t>
        </is>
      </c>
      <c r="C3" s="7" t="n">
        <v>1</v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>
        <v>4</v>
      </c>
      <c r="N3" s="7" t="n">
        <v>10</v>
      </c>
      <c r="O3" s="7" t="n">
        <v>1</v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>
        <f>SUM(C3:AB3)</f>
        <v/>
      </c>
    </row>
    <row r="4">
      <c r="A4" s="8" t="inlineStr">
        <is>
          <t>OMICRON-OTHER</t>
        </is>
      </c>
      <c r="B4" s="8" t="inlineStr">
        <is>
          <t>BA.2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>
        <v>1</v>
      </c>
      <c r="O4" s="7" t="n">
        <v>1</v>
      </c>
      <c r="P4" s="7" t="n">
        <v>1</v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>
        <f>SUM(C4:AB4)</f>
        <v/>
      </c>
    </row>
    <row r="5">
      <c r="A5" s="8" t="inlineStr">
        <is>
          <t>OMICRON-OTHER</t>
        </is>
      </c>
      <c r="B5" s="8" t="inlineStr">
        <is>
          <t>BA.2.3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>
        <f>SUM(C5:AB5)</f>
        <v/>
      </c>
    </row>
    <row r="6">
      <c r="A6" s="8" t="inlineStr">
        <is>
          <t>OMICRON-OTHER</t>
        </is>
      </c>
      <c r="B6" s="8" t="inlineStr">
        <is>
          <t>BA.2.86.1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>
        <v>2</v>
      </c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>
        <f>SUM(C6:AB6)</f>
        <v/>
      </c>
    </row>
    <row r="7">
      <c r="A7" s="8" t="inlineStr">
        <is>
          <t>OMICRON-OTHER</t>
        </is>
      </c>
      <c r="B7" s="8" t="inlineStr">
        <is>
          <t>BA.5.10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>
        <f>SUM(C7:AB7)</f>
        <v/>
      </c>
    </row>
    <row r="8">
      <c r="A8" s="8" t="inlineStr">
        <is>
          <t>OMICRON-OTHER</t>
        </is>
      </c>
      <c r="B8" s="8" t="inlineStr">
        <is>
          <t>CM.10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>
        <f>SUM(C8:AB8)</f>
        <v/>
      </c>
    </row>
    <row r="9">
      <c r="A9" s="8" t="inlineStr">
        <is>
          <t>OMICRON-OTHER</t>
        </is>
      </c>
      <c r="B9" s="8" t="inlineStr">
        <is>
          <t>CM.4.1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>
        <f>SUM(C9:AB9)</f>
        <v/>
      </c>
    </row>
    <row r="10">
      <c r="A10" s="8" t="inlineStr">
        <is>
          <t>OMICRON-OTHER</t>
        </is>
      </c>
      <c r="B10" s="8" t="inlineStr">
        <is>
          <t>CM.8.1</t>
        </is>
      </c>
      <c r="C10" s="7" t="n">
        <v>1</v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>
        <f>SUM(C10:AB10)</f>
        <v/>
      </c>
    </row>
    <row r="11">
      <c r="A11" s="8" t="inlineStr">
        <is>
          <t>OMICRON-OTHER</t>
        </is>
      </c>
      <c r="B11" s="8" t="inlineStr">
        <is>
          <t>CM.8.1.1</t>
        </is>
      </c>
      <c r="C11" s="7" t="n">
        <v>1</v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>
        <f>SUM(C11:AB11)</f>
        <v/>
      </c>
    </row>
    <row r="12">
      <c r="A12" s="8" t="inlineStr">
        <is>
          <t>OMICRON-OTHER</t>
        </is>
      </c>
      <c r="B12" s="8" t="inlineStr">
        <is>
          <t>CM.8.1.2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>
        <f>SUM(C12:AB12)</f>
        <v/>
      </c>
    </row>
    <row r="13">
      <c r="A13" s="8" t="inlineStr">
        <is>
          <t>OMICRON-OTHER</t>
        </is>
      </c>
      <c r="B13" s="8" t="inlineStr">
        <is>
          <t>FK.1.1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>
        <f>SUM(C13:AB13)</f>
        <v/>
      </c>
    </row>
    <row r="14">
      <c r="A14" s="8" t="inlineStr">
        <is>
          <t>OMICRON-OTHER</t>
        </is>
      </c>
      <c r="B14" s="8" t="inlineStr">
        <is>
          <t>FV.1</t>
        </is>
      </c>
      <c r="C14" s="7" t="n">
        <v>16</v>
      </c>
      <c r="D14" s="7" t="n">
        <v>7</v>
      </c>
      <c r="E14" s="7" t="n">
        <v>2</v>
      </c>
      <c r="F14" s="7" t="n">
        <v>4</v>
      </c>
      <c r="G14" s="7" t="n">
        <v>1</v>
      </c>
      <c r="H14" s="7" t="n">
        <v>1</v>
      </c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>
        <f>SUM(C14:AB14)</f>
        <v/>
      </c>
    </row>
    <row r="15">
      <c r="A15" s="8" t="inlineStr">
        <is>
          <t>HYBRID-VOI</t>
        </is>
      </c>
      <c r="B15" s="8" t="inlineStr">
        <is>
          <t>EG.5.1.1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1</v>
      </c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>
        <f>SUM(C15:AB15)</f>
        <v/>
      </c>
    </row>
    <row r="16">
      <c r="A16" s="8" t="inlineStr">
        <is>
          <t>HYBRID-VOI</t>
        </is>
      </c>
      <c r="B16" s="8" t="inlineStr">
        <is>
          <t>FL.1.5.1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2</v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>
        <f>SUM(C16:AB16)</f>
        <v/>
      </c>
    </row>
    <row r="17">
      <c r="A17" s="8" t="inlineStr">
        <is>
          <t>HYBRID-VOI</t>
        </is>
      </c>
      <c r="B17" s="8" t="inlineStr">
        <is>
          <t>FU.2</t>
        </is>
      </c>
      <c r="C17" s="7" t="n">
        <v>1</v>
      </c>
      <c r="D17" s="7" t="n"/>
      <c r="E17" s="7" t="n"/>
      <c r="F17" s="7" t="n">
        <v>2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>
        <f>SUM(C17:AB17)</f>
        <v/>
      </c>
    </row>
    <row r="18">
      <c r="A18" s="8" t="inlineStr">
        <is>
          <t>HYBRID-VOI</t>
        </is>
      </c>
      <c r="B18" s="8" t="inlineStr">
        <is>
          <t>GF.1</t>
        </is>
      </c>
      <c r="C18" s="7" t="n"/>
      <c r="D18" s="7" t="n"/>
      <c r="E18" s="7" t="n"/>
      <c r="F18" s="7" t="n"/>
      <c r="G18" s="7" t="n"/>
      <c r="H18" s="7" t="n"/>
      <c r="I18" s="7" t="n">
        <v>1</v>
      </c>
      <c r="J18" s="7" t="n">
        <v>1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>
        <f>SUM(C18:AB18)</f>
        <v/>
      </c>
    </row>
    <row r="19">
      <c r="A19" s="8" t="inlineStr">
        <is>
          <t>HYBRID-VOI</t>
        </is>
      </c>
      <c r="B19" s="8" t="inlineStr">
        <is>
          <t>GJ.1.2</t>
        </is>
      </c>
      <c r="C19" s="7" t="n"/>
      <c r="D19" s="7" t="n"/>
      <c r="E19" s="7" t="n"/>
      <c r="F19" s="7" t="n"/>
      <c r="G19" s="7" t="n"/>
      <c r="H19" s="7" t="n"/>
      <c r="I19" s="7" t="n">
        <v>1</v>
      </c>
      <c r="J19" s="7" t="n">
        <v>1</v>
      </c>
      <c r="K19" s="7" t="n">
        <v>12</v>
      </c>
      <c r="L19" s="7" t="n">
        <v>2</v>
      </c>
      <c r="M19" s="7" t="n">
        <v>3</v>
      </c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>
        <f>SUM(C19:AB19)</f>
        <v/>
      </c>
    </row>
    <row r="20">
      <c r="A20" s="8" t="inlineStr">
        <is>
          <t>HYBRID-VOI</t>
        </is>
      </c>
      <c r="B20" s="8" t="inlineStr">
        <is>
          <t>GJ.1.2.2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4</v>
      </c>
      <c r="L20" s="7" t="n">
        <v>1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>
        <f>SUM(C20:AB20)</f>
        <v/>
      </c>
    </row>
    <row r="21">
      <c r="A21" s="8" t="inlineStr">
        <is>
          <t>HYBRID-VOI</t>
        </is>
      </c>
      <c r="B21" s="8" t="inlineStr">
        <is>
          <t>GJ.1.2.6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2</v>
      </c>
      <c r="L21" s="7" t="n">
        <v>2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>
        <f>SUM(C21:AB21)</f>
        <v/>
      </c>
    </row>
    <row r="22">
      <c r="A22" s="8" t="inlineStr">
        <is>
          <t>HYBRID-VOI</t>
        </is>
      </c>
      <c r="B22" s="8" t="inlineStr">
        <is>
          <t>GJ.1.2.7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1</v>
      </c>
      <c r="L22" s="7" t="n"/>
      <c r="M22" s="7" t="n">
        <v>2</v>
      </c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>
        <f>SUM(C22:AB22)</f>
        <v/>
      </c>
    </row>
    <row r="23">
      <c r="A23" s="8" t="inlineStr">
        <is>
          <t>HYBRID-VOI</t>
        </is>
      </c>
      <c r="B23" s="8" t="inlineStr">
        <is>
          <t>GV.1</t>
        </is>
      </c>
      <c r="C23" s="7" t="n"/>
      <c r="D23" s="7" t="n"/>
      <c r="E23" s="7" t="n"/>
      <c r="F23" s="7" t="n">
        <v>2</v>
      </c>
      <c r="G23" s="7" t="n"/>
      <c r="H23" s="7" t="n"/>
      <c r="I23" s="7" t="n">
        <v>1</v>
      </c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>
        <f>SUM(C23:AB23)</f>
        <v/>
      </c>
    </row>
    <row r="24">
      <c r="A24" s="8" t="inlineStr">
        <is>
          <t>HYBRID-VOI</t>
        </is>
      </c>
      <c r="B24" s="8" t="inlineStr">
        <is>
          <t>GW.5</t>
        </is>
      </c>
      <c r="C24" s="7" t="n"/>
      <c r="D24" s="7" t="n"/>
      <c r="E24" s="7" t="n"/>
      <c r="F24" s="7" t="n"/>
      <c r="G24" s="7" t="n"/>
      <c r="H24" s="7" t="n"/>
      <c r="I24" s="7" t="n">
        <v>1</v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>
        <f>SUM(C24:AB24)</f>
        <v/>
      </c>
    </row>
    <row r="25">
      <c r="A25" s="8" t="inlineStr">
        <is>
          <t>HYBRID-VOI</t>
        </is>
      </c>
      <c r="B25" s="8" t="inlineStr">
        <is>
          <t>HK.3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1</v>
      </c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>
        <f>SUM(C25:AB25)</f>
        <v/>
      </c>
    </row>
    <row r="26">
      <c r="A26" s="8" t="inlineStr">
        <is>
          <t>HYBRID-VOI</t>
        </is>
      </c>
      <c r="B26" s="8" t="inlineStr">
        <is>
          <t>JN.1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>
        <v>18</v>
      </c>
      <c r="N26" s="7" t="n">
        <v>176</v>
      </c>
      <c r="O26" s="7" t="n">
        <v>100</v>
      </c>
      <c r="P26" s="7" t="n">
        <v>8</v>
      </c>
      <c r="Q26" s="7" t="n"/>
      <c r="R26" s="7" t="n">
        <v>1</v>
      </c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>
        <f>SUM(C26:AB26)</f>
        <v/>
      </c>
    </row>
    <row r="27">
      <c r="A27" s="8" t="inlineStr">
        <is>
          <t>HYBRID-VOI</t>
        </is>
      </c>
      <c r="B27" s="8" t="inlineStr">
        <is>
          <t>JN.1.1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>
        <v>27</v>
      </c>
      <c r="Q27" s="7" t="n"/>
      <c r="R27" s="7" t="n">
        <v>1</v>
      </c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>
        <f>SUM(C27:AB27)</f>
        <v/>
      </c>
    </row>
    <row r="28">
      <c r="A28" s="8" t="inlineStr">
        <is>
          <t>HYBRID-VOI</t>
        </is>
      </c>
      <c r="B28" s="8" t="inlineStr">
        <is>
          <t>JN.1.2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>
        <v>1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>
        <f>SUM(C28:AB28)</f>
        <v/>
      </c>
    </row>
    <row r="29">
      <c r="A29" s="8" t="inlineStr">
        <is>
          <t>HYBRID-VOI</t>
        </is>
      </c>
      <c r="B29" s="8" t="inlineStr">
        <is>
          <t>JN.1.4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>
        <v>1</v>
      </c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>
        <f>SUM(C29:AB29)</f>
        <v/>
      </c>
    </row>
    <row r="30">
      <c r="A30" s="8" t="inlineStr">
        <is>
          <t>HYBRID-VOI</t>
        </is>
      </c>
      <c r="B30" s="8" t="inlineStr">
        <is>
          <t>JN.1.5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>
        <v>1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>
        <f>SUM(C30:AB30)</f>
        <v/>
      </c>
    </row>
    <row r="31">
      <c r="A31" s="8" t="inlineStr">
        <is>
          <t>HYBRID-VOI</t>
        </is>
      </c>
      <c r="B31" s="8" t="inlineStr">
        <is>
          <t>XBB.1.16</t>
        </is>
      </c>
      <c r="C31" s="7" t="n">
        <v>17</v>
      </c>
      <c r="D31" s="7" t="n">
        <v>8</v>
      </c>
      <c r="E31" s="7" t="n">
        <v>15</v>
      </c>
      <c r="F31" s="7" t="n">
        <v>18</v>
      </c>
      <c r="G31" s="7" t="n">
        <v>11</v>
      </c>
      <c r="H31" s="7" t="n">
        <v>5</v>
      </c>
      <c r="I31" s="7" t="n">
        <v>5</v>
      </c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>
        <f>SUM(C31:AB31)</f>
        <v/>
      </c>
    </row>
    <row r="32">
      <c r="A32" s="8" t="inlineStr">
        <is>
          <t>HYBRID-VOI</t>
        </is>
      </c>
      <c r="B32" s="8" t="inlineStr">
        <is>
          <t>XBB.1.16.1</t>
        </is>
      </c>
      <c r="C32" s="7" t="n">
        <v>3</v>
      </c>
      <c r="D32" s="7" t="n">
        <v>1</v>
      </c>
      <c r="E32" s="7" t="n">
        <v>1</v>
      </c>
      <c r="F32" s="7" t="n">
        <v>7</v>
      </c>
      <c r="G32" s="7" t="n"/>
      <c r="H32" s="7" t="n"/>
      <c r="I32" s="7" t="n"/>
      <c r="J32" s="7" t="n">
        <v>1</v>
      </c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>
        <f>SUM(C32:AB32)</f>
        <v/>
      </c>
    </row>
    <row r="33">
      <c r="A33" s="8" t="inlineStr">
        <is>
          <t>HYBRID-VOI</t>
        </is>
      </c>
      <c r="B33" s="8" t="inlineStr">
        <is>
          <t>XBB.1.16.15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>
        <v>1</v>
      </c>
      <c r="N33" s="7" t="n">
        <v>6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>
        <f>SUM(C33:AB33)</f>
        <v/>
      </c>
    </row>
    <row r="34">
      <c r="A34" s="8" t="inlineStr">
        <is>
          <t>HYBRID-VOI</t>
        </is>
      </c>
      <c r="B34" s="8" t="inlineStr">
        <is>
          <t>XBB.1.16.2</t>
        </is>
      </c>
      <c r="C34" s="7" t="n">
        <v>1</v>
      </c>
      <c r="D34" s="7" t="n">
        <v>2</v>
      </c>
      <c r="E34" s="7" t="n"/>
      <c r="F34" s="7" t="n">
        <v>4</v>
      </c>
      <c r="G34" s="7" t="n">
        <v>1</v>
      </c>
      <c r="H34" s="7" t="n">
        <v>1</v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>
        <f>SUM(C34:AB34)</f>
        <v/>
      </c>
    </row>
    <row r="35">
      <c r="A35" s="8" t="inlineStr">
        <is>
          <t>HYBRID-VOI</t>
        </is>
      </c>
      <c r="B35" s="8" t="inlineStr">
        <is>
          <t>XBB.1.16.9</t>
        </is>
      </c>
      <c r="C35" s="7" t="n"/>
      <c r="D35" s="7" t="n"/>
      <c r="E35" s="7" t="n"/>
      <c r="F35" s="7" t="n">
        <v>6</v>
      </c>
      <c r="G35" s="7" t="n">
        <v>4</v>
      </c>
      <c r="H35" s="7" t="n">
        <v>3</v>
      </c>
      <c r="I35" s="7" t="n"/>
      <c r="J35" s="7" t="n"/>
      <c r="K35" s="7" t="n"/>
      <c r="L35" s="7" t="n">
        <v>1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>
        <f>SUM(C35:AB35)</f>
        <v/>
      </c>
    </row>
    <row r="36">
      <c r="A36" s="8" t="inlineStr">
        <is>
          <t>HYBRID-VOI</t>
        </is>
      </c>
      <c r="B36" s="8" t="inlineStr">
        <is>
          <t>XBB.1.5</t>
        </is>
      </c>
      <c r="C36" s="7" t="n">
        <v>3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>
        <f>SUM(C36:AB36)</f>
        <v/>
      </c>
    </row>
    <row r="37">
      <c r="A37" s="8" t="inlineStr">
        <is>
          <t>HYBRID-VOI</t>
        </is>
      </c>
      <c r="B37" s="8" t="inlineStr">
        <is>
          <t>XBB.1.5.15</t>
        </is>
      </c>
      <c r="C37" s="7" t="n"/>
      <c r="D37" s="7" t="n"/>
      <c r="E37" s="7" t="n"/>
      <c r="F37" s="7" t="n">
        <v>1</v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>
        <f>SUM(C37:AB37)</f>
        <v/>
      </c>
    </row>
    <row r="38">
      <c r="A38" s="8" t="inlineStr">
        <is>
          <t>HYBRID-VOI</t>
        </is>
      </c>
      <c r="B38" s="8" t="inlineStr">
        <is>
          <t>XBB.1.5.20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>
        <f>SUM(C38:AB38)</f>
        <v/>
      </c>
    </row>
    <row r="39">
      <c r="A39" s="8" t="inlineStr">
        <is>
          <t>HYBRID-VOI</t>
        </is>
      </c>
      <c r="B39" s="8" t="inlineStr">
        <is>
          <t>XBB.1.5.28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>
        <f>SUM(C39:AB39)</f>
        <v/>
      </c>
    </row>
    <row r="40">
      <c r="A40" s="8" t="inlineStr">
        <is>
          <t>HYBRID-VOI</t>
        </is>
      </c>
      <c r="B40" s="8" t="inlineStr">
        <is>
          <t>XBB.1.5.31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>
        <f>SUM(C40:AB40)</f>
        <v/>
      </c>
    </row>
    <row r="41">
      <c r="A41" s="8" t="inlineStr">
        <is>
          <t>HYBRID-VOI</t>
        </is>
      </c>
      <c r="B41" s="8" t="inlineStr">
        <is>
          <t>XBB.1.5.37</t>
        </is>
      </c>
      <c r="C41" s="7" t="n"/>
      <c r="D41" s="7" t="n">
        <v>1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>
        <f>SUM(C41:AB41)</f>
        <v/>
      </c>
    </row>
    <row r="42">
      <c r="A42" s="8" t="inlineStr">
        <is>
          <t>HYBRID-VOI</t>
        </is>
      </c>
      <c r="B42" s="8" t="inlineStr">
        <is>
          <t>XBB.1.5.39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>
        <f>SUM(C42:AB42)</f>
        <v/>
      </c>
    </row>
    <row r="43">
      <c r="A43" s="8" t="inlineStr">
        <is>
          <t>HYBRID-VOI</t>
        </is>
      </c>
      <c r="B43" s="8" t="inlineStr">
        <is>
          <t>XBB.1.5.48</t>
        </is>
      </c>
      <c r="C43" s="7" t="n">
        <v>6</v>
      </c>
      <c r="D43" s="7" t="n">
        <v>1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>
        <f>SUM(C43:AB43)</f>
        <v/>
      </c>
    </row>
    <row r="44">
      <c r="A44" s="8" t="inlineStr">
        <is>
          <t>HYBRID-VOI</t>
        </is>
      </c>
      <c r="B44" s="8" t="inlineStr">
        <is>
          <t>XBB.1.5.89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>
        <v>2</v>
      </c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>
        <f>SUM(C44:AB44)</f>
        <v/>
      </c>
    </row>
    <row r="45">
      <c r="A45" s="8" t="inlineStr">
        <is>
          <t>HYBRID-VOI</t>
        </is>
      </c>
      <c r="B45" s="8" t="inlineStr">
        <is>
          <t>XBB.1.5.51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>
        <f>SUM(C45:AB45)</f>
        <v/>
      </c>
    </row>
    <row r="46">
      <c r="A46" s="8" t="inlineStr">
        <is>
          <t>HYBRID-VOI</t>
        </is>
      </c>
      <c r="B46" s="8" t="inlineStr">
        <is>
          <t>XBB.1.5.62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>
        <f>SUM(C46:AB46)</f>
        <v/>
      </c>
    </row>
    <row r="47">
      <c r="A47" s="8" t="inlineStr">
        <is>
          <t>HYBRID-VUM</t>
        </is>
      </c>
      <c r="B47" s="8" t="inlineStr">
        <is>
          <t>EG.1</t>
        </is>
      </c>
      <c r="C47" s="7" t="n"/>
      <c r="D47" s="7" t="n">
        <v>1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>
        <f>SUM(C47:AB47)</f>
        <v/>
      </c>
    </row>
    <row r="48">
      <c r="A48" s="8" t="inlineStr">
        <is>
          <t>HYBRID-VUM</t>
        </is>
      </c>
      <c r="B48" s="8" t="inlineStr">
        <is>
          <t>EG.1.6</t>
        </is>
      </c>
      <c r="C48" s="7" t="n"/>
      <c r="D48" s="7" t="n"/>
      <c r="E48" s="7" t="n"/>
      <c r="F48" s="7" t="n"/>
      <c r="G48" s="7" t="n"/>
      <c r="H48" s="7" t="n"/>
      <c r="I48" s="7" t="n"/>
      <c r="J48" s="7" t="n">
        <v>1</v>
      </c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>
        <f>SUM(C48:AB48)</f>
        <v/>
      </c>
    </row>
    <row r="49">
      <c r="A49" s="8" t="inlineStr">
        <is>
          <t>HYBRID-VUM</t>
        </is>
      </c>
      <c r="B49" s="8" t="inlineStr">
        <is>
          <t>EG.2</t>
        </is>
      </c>
      <c r="C49" s="7" t="n"/>
      <c r="D49" s="7" t="n"/>
      <c r="E49" s="7" t="n"/>
      <c r="F49" s="7" t="n">
        <v>1</v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>
        <f>SUM(C49:AB49)</f>
        <v/>
      </c>
    </row>
    <row r="50">
      <c r="A50" s="8" t="inlineStr">
        <is>
          <t>HYBRID-VUM</t>
        </is>
      </c>
      <c r="B50" s="8" t="inlineStr">
        <is>
          <t>EG.4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>
        <f>SUM(C50:AB50)</f>
        <v/>
      </c>
    </row>
    <row r="51">
      <c r="A51" s="8" t="inlineStr">
        <is>
          <t>HYBRID-VUM</t>
        </is>
      </c>
      <c r="B51" s="8" t="inlineStr">
        <is>
          <t>EG.5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>
        <f>SUM(C51:AB51)</f>
        <v/>
      </c>
    </row>
    <row r="52">
      <c r="A52" s="8" t="inlineStr">
        <is>
          <t>HYBRID-VUM</t>
        </is>
      </c>
      <c r="B52" s="8" t="inlineStr">
        <is>
          <t>EG.5.1</t>
        </is>
      </c>
      <c r="C52" s="7" t="n"/>
      <c r="D52" s="7" t="n"/>
      <c r="E52" s="7" t="n"/>
      <c r="F52" s="7" t="n"/>
      <c r="G52" s="7" t="n"/>
      <c r="H52" s="7" t="n"/>
      <c r="I52" s="7" t="n"/>
      <c r="J52" s="7" t="n">
        <v>1</v>
      </c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>
        <f>SUM(C52:AB52)</f>
        <v/>
      </c>
    </row>
    <row r="53">
      <c r="A53" s="8" t="inlineStr">
        <is>
          <t>HYBRID-VUM</t>
        </is>
      </c>
      <c r="B53" s="8" t="inlineStr">
        <is>
          <t>EG.5.1.1</t>
        </is>
      </c>
      <c r="C53" s="7" t="n"/>
      <c r="D53" s="7" t="n"/>
      <c r="E53" s="7" t="n"/>
      <c r="F53" s="7" t="n">
        <v>5</v>
      </c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>
        <f>SUM(C53:AB53)</f>
        <v/>
      </c>
    </row>
    <row r="54">
      <c r="A54" s="8" t="inlineStr">
        <is>
          <t>HYBRID-VUM</t>
        </is>
      </c>
      <c r="B54" s="8" t="inlineStr">
        <is>
          <t>EL.1</t>
        </is>
      </c>
      <c r="C54" s="7" t="n"/>
      <c r="D54" s="7" t="n"/>
      <c r="E54" s="7" t="n"/>
      <c r="F54" s="7" t="n"/>
      <c r="G54" s="7" t="n"/>
      <c r="H54" s="7" t="n">
        <v>3</v>
      </c>
      <c r="I54" s="7" t="n">
        <v>1</v>
      </c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>
        <f>SUM(C54:AB54)</f>
        <v/>
      </c>
    </row>
    <row r="55">
      <c r="A55" s="8" t="inlineStr">
        <is>
          <t>HYBRID-VUM</t>
        </is>
      </c>
      <c r="B55" s="8" t="inlineStr">
        <is>
          <t>FL.1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>
        <f>SUM(C55:AB55)</f>
        <v/>
      </c>
    </row>
    <row r="56">
      <c r="A56" s="8" t="inlineStr">
        <is>
          <t>HYBRID-VUM</t>
        </is>
      </c>
      <c r="B56" s="8" t="inlineStr">
        <is>
          <t>FL.1.1</t>
        </is>
      </c>
      <c r="C56" s="7" t="n"/>
      <c r="D56" s="7" t="n">
        <v>1</v>
      </c>
      <c r="E56" s="7" t="n">
        <v>2</v>
      </c>
      <c r="F56" s="7" t="n">
        <v>1</v>
      </c>
      <c r="G56" s="7" t="n"/>
      <c r="H56" s="7" t="n">
        <v>3</v>
      </c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>
        <f>SUM(C56:AB56)</f>
        <v/>
      </c>
    </row>
    <row r="57">
      <c r="A57" s="8" t="inlineStr">
        <is>
          <t>HYBRID-VUM</t>
        </is>
      </c>
      <c r="B57" s="8" t="inlineStr">
        <is>
          <t>FL.1.3</t>
        </is>
      </c>
      <c r="C57" s="7" t="n">
        <v>2</v>
      </c>
      <c r="D57" s="7" t="n"/>
      <c r="E57" s="7" t="n">
        <v>2</v>
      </c>
      <c r="F57" s="7" t="n">
        <v>3</v>
      </c>
      <c r="G57" s="7" t="n">
        <v>1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>
        <f>SUM(C57:AB57)</f>
        <v/>
      </c>
    </row>
    <row r="58">
      <c r="A58" s="8" t="inlineStr">
        <is>
          <t>HYBRID-VUM</t>
        </is>
      </c>
      <c r="B58" s="8" t="inlineStr">
        <is>
          <t>FL.10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>
        <f>SUM(C58:AB58)</f>
        <v/>
      </c>
    </row>
    <row r="59">
      <c r="A59" s="8" t="inlineStr">
        <is>
          <t>HYBRID-VUM</t>
        </is>
      </c>
      <c r="B59" s="8" t="inlineStr">
        <is>
          <t>FL.12</t>
        </is>
      </c>
      <c r="C59" s="7" t="n">
        <v>1</v>
      </c>
      <c r="D59" s="7" t="n">
        <v>1</v>
      </c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>
        <f>SUM(C59:AB59)</f>
        <v/>
      </c>
    </row>
    <row r="60">
      <c r="A60" s="8" t="inlineStr">
        <is>
          <t>HYBRID-VUM</t>
        </is>
      </c>
      <c r="B60" s="8" t="inlineStr">
        <is>
          <t>FL.2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>
        <f>SUM(C60:AB60)</f>
        <v/>
      </c>
    </row>
    <row r="61">
      <c r="A61" s="8" t="inlineStr">
        <is>
          <t>HYBRID-VUM</t>
        </is>
      </c>
      <c r="B61" s="8" t="inlineStr">
        <is>
          <t>FL.2.1</t>
        </is>
      </c>
      <c r="C61" s="7" t="n"/>
      <c r="D61" s="7" t="n"/>
      <c r="E61" s="7" t="n">
        <v>1</v>
      </c>
      <c r="F61" s="7" t="n"/>
      <c r="G61" s="7" t="n">
        <v>2</v>
      </c>
      <c r="H61" s="7" t="n">
        <v>1</v>
      </c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>
        <f>SUM(C61:AB61)</f>
        <v/>
      </c>
    </row>
    <row r="62">
      <c r="A62" s="8" t="inlineStr">
        <is>
          <t>HYBRID-VUM</t>
        </is>
      </c>
      <c r="B62" s="8" t="inlineStr">
        <is>
          <t>FL.4</t>
        </is>
      </c>
      <c r="C62" s="7" t="n">
        <v>1</v>
      </c>
      <c r="D62" s="7" t="n"/>
      <c r="E62" s="7" t="n"/>
      <c r="F62" s="7" t="n">
        <v>4</v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>
        <f>SUM(C62:AB62)</f>
        <v/>
      </c>
    </row>
    <row r="63">
      <c r="A63" s="8" t="inlineStr">
        <is>
          <t>HYBRID-VUM</t>
        </is>
      </c>
      <c r="B63" s="8" t="inlineStr">
        <is>
          <t>FL.5</t>
        </is>
      </c>
      <c r="C63" s="7" t="n">
        <v>1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>
        <f>SUM(C63:AB63)</f>
        <v/>
      </c>
    </row>
    <row r="64">
      <c r="A64" s="8" t="inlineStr">
        <is>
          <t>HYBRID-VUM</t>
        </is>
      </c>
      <c r="B64" s="8" t="inlineStr">
        <is>
          <t>FY.2</t>
        </is>
      </c>
      <c r="C64" s="7" t="n">
        <v>1</v>
      </c>
      <c r="D64" s="7" t="n">
        <v>1</v>
      </c>
      <c r="E64" s="7" t="n"/>
      <c r="F64" s="7" t="n">
        <v>2</v>
      </c>
      <c r="G64" s="7" t="n">
        <v>1</v>
      </c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>
        <f>SUM(C64:AB64)</f>
        <v/>
      </c>
    </row>
    <row r="65">
      <c r="A65" s="8" t="inlineStr">
        <is>
          <t>HYBRID-VUM</t>
        </is>
      </c>
      <c r="B65" s="8" t="inlineStr">
        <is>
          <t>FY.3</t>
        </is>
      </c>
      <c r="C65" s="7" t="n"/>
      <c r="D65" s="7" t="n"/>
      <c r="E65" s="7" t="n"/>
      <c r="F65" s="7" t="n"/>
      <c r="G65" s="7" t="n"/>
      <c r="H65" s="7" t="n">
        <v>1</v>
      </c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>
        <f>SUM(C65:AB65)</f>
        <v/>
      </c>
    </row>
    <row r="66">
      <c r="A66" s="8" t="inlineStr">
        <is>
          <t>HYBRID-VUM</t>
        </is>
      </c>
      <c r="B66" s="8" t="inlineStr">
        <is>
          <t>FY.3.1</t>
        </is>
      </c>
      <c r="C66" s="7" t="n"/>
      <c r="D66" s="7" t="n"/>
      <c r="E66" s="7" t="n"/>
      <c r="F66" s="7" t="n"/>
      <c r="G66" s="7" t="n"/>
      <c r="H66" s="7" t="n">
        <v>1</v>
      </c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>
        <f>SUM(C66:AB66)</f>
        <v/>
      </c>
    </row>
    <row r="67">
      <c r="A67" s="8" t="inlineStr">
        <is>
          <t>HYBRID-VUM</t>
        </is>
      </c>
      <c r="B67" s="8" t="inlineStr">
        <is>
          <t>GJ.1</t>
        </is>
      </c>
      <c r="C67" s="7" t="n"/>
      <c r="D67" s="7" t="n"/>
      <c r="E67" s="7" t="n"/>
      <c r="F67" s="7" t="n">
        <v>17</v>
      </c>
      <c r="G67" s="7" t="n">
        <v>6</v>
      </c>
      <c r="H67" s="7" t="n">
        <v>9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>
        <f>SUM(C67:AB67)</f>
        <v/>
      </c>
    </row>
    <row r="68">
      <c r="A68" s="8" t="inlineStr">
        <is>
          <t>HYBRID-VUM</t>
        </is>
      </c>
      <c r="B68" s="8" t="inlineStr">
        <is>
          <t>JE.1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>
        <v>3</v>
      </c>
      <c r="L68" s="7" t="n">
        <v>3</v>
      </c>
      <c r="M68" s="7" t="n">
        <v>11</v>
      </c>
      <c r="N68" s="7" t="n">
        <v>8</v>
      </c>
      <c r="O68" s="7" t="n">
        <v>13</v>
      </c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>
        <f>SUM(C68:AB68)</f>
        <v/>
      </c>
    </row>
    <row r="69">
      <c r="A69" s="8" t="inlineStr">
        <is>
          <t>HYBRID-VUM</t>
        </is>
      </c>
      <c r="B69" s="8" t="inlineStr">
        <is>
          <t>JE.1.1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>
        <v>4</v>
      </c>
      <c r="L69" s="7" t="n">
        <v>15</v>
      </c>
      <c r="M69" s="7" t="n">
        <v>35</v>
      </c>
      <c r="N69" s="7" t="n">
        <v>51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>
        <f>SUM(C69:AB69)</f>
        <v/>
      </c>
    </row>
    <row r="70">
      <c r="A70" s="8" t="inlineStr">
        <is>
          <t>HYBRID-VUM</t>
        </is>
      </c>
      <c r="B70" s="8" t="inlineStr">
        <is>
          <t>HH.2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>
        <v>1</v>
      </c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>
        <f>SUM(C70:AB70)</f>
        <v/>
      </c>
    </row>
    <row r="71">
      <c r="A71" s="8" t="inlineStr">
        <is>
          <t>HYBRID-VUM</t>
        </is>
      </c>
      <c r="B71" s="8" t="inlineStr">
        <is>
          <t>XBB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>
        <f>SUM(C71:AB71)</f>
        <v/>
      </c>
    </row>
    <row r="72">
      <c r="A72" s="8" t="inlineStr">
        <is>
          <t>HYBRID-VUM</t>
        </is>
      </c>
      <c r="B72" s="8" t="inlineStr">
        <is>
          <t>XBB.1</t>
        </is>
      </c>
      <c r="C72" s="7" t="n">
        <v>1</v>
      </c>
      <c r="D72" s="7" t="n"/>
      <c r="E72" s="7" t="n"/>
      <c r="F72" s="7" t="n">
        <v>1</v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>
        <f>SUM(C72:AB72)</f>
        <v/>
      </c>
    </row>
    <row r="73">
      <c r="A73" s="8" t="inlineStr">
        <is>
          <t>HYBRID-VUM</t>
        </is>
      </c>
      <c r="B73" s="8" t="inlineStr">
        <is>
          <t>XBB.1.13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>
        <f>SUM(C73:AB73)</f>
        <v/>
      </c>
    </row>
    <row r="74">
      <c r="A74" s="8" t="inlineStr">
        <is>
          <t>HYBRID-VUM</t>
        </is>
      </c>
      <c r="B74" s="8" t="inlineStr">
        <is>
          <t>XBB.1.19.1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>
        <f>SUM(C74:AB74)</f>
        <v/>
      </c>
    </row>
    <row r="75">
      <c r="A75" s="8" t="inlineStr">
        <is>
          <t>HYBRID-VUM</t>
        </is>
      </c>
      <c r="B75" s="8" t="inlineStr">
        <is>
          <t>XBB.1.22.1</t>
        </is>
      </c>
      <c r="C75" s="7" t="n">
        <v>1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>
        <f>SUM(C75:AB75)</f>
        <v/>
      </c>
    </row>
    <row r="76">
      <c r="A76" s="8" t="inlineStr">
        <is>
          <t>HYBRID-VUM</t>
        </is>
      </c>
      <c r="B76" s="8" t="inlineStr">
        <is>
          <t>XBB.1.32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>
        <f>SUM(C76:AB76)</f>
        <v/>
      </c>
    </row>
    <row r="77">
      <c r="A77" s="8" t="inlineStr">
        <is>
          <t>HYBRID-VUM</t>
        </is>
      </c>
      <c r="B77" s="8" t="inlineStr">
        <is>
          <t>XBB.1.9</t>
        </is>
      </c>
      <c r="C77" s="7" t="n">
        <v>4</v>
      </c>
      <c r="D77" s="7" t="n"/>
      <c r="E77" s="7" t="n">
        <v>1</v>
      </c>
      <c r="F77" s="7" t="n"/>
      <c r="G77" s="7" t="n"/>
      <c r="H77" s="7" t="n">
        <v>1</v>
      </c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>
        <f>SUM(C77:AB77)</f>
        <v/>
      </c>
    </row>
    <row r="78">
      <c r="A78" s="8" t="inlineStr">
        <is>
          <t>HYBRID-VUM</t>
        </is>
      </c>
      <c r="B78" s="8" t="inlineStr">
        <is>
          <t>XBB.1.9.1</t>
        </is>
      </c>
      <c r="C78" s="7" t="n">
        <v>3</v>
      </c>
      <c r="D78" s="7" t="n"/>
      <c r="E78" s="7" t="n">
        <v>4</v>
      </c>
      <c r="F78" s="7" t="n">
        <v>2</v>
      </c>
      <c r="G78" s="7" t="n">
        <v>2</v>
      </c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>
        <f>SUM(C78:AB78)</f>
        <v/>
      </c>
    </row>
    <row r="79">
      <c r="A79" s="8" t="inlineStr">
        <is>
          <t>HYBRID-VUM</t>
        </is>
      </c>
      <c r="B79" s="8" t="inlineStr">
        <is>
          <t>XBB.1.9.2</t>
        </is>
      </c>
      <c r="C79" s="7" t="n">
        <v>4</v>
      </c>
      <c r="D79" s="7" t="n">
        <v>1</v>
      </c>
      <c r="E79" s="7" t="n">
        <v>1</v>
      </c>
      <c r="F79" s="7" t="n">
        <v>2</v>
      </c>
      <c r="G79" s="7" t="n">
        <v>1</v>
      </c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>
        <f>SUM(C79:AB79)</f>
        <v/>
      </c>
    </row>
    <row r="80">
      <c r="A80" s="8" t="inlineStr">
        <is>
          <t>HYBRID-VUM</t>
        </is>
      </c>
      <c r="B80" s="8" t="inlineStr">
        <is>
          <t>XBB.1.9.3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>
        <f>SUM(C80:AB80)</f>
        <v/>
      </c>
    </row>
    <row r="81">
      <c r="A81" s="8" t="inlineStr">
        <is>
          <t>HYBRID-VUM</t>
        </is>
      </c>
      <c r="B81" s="8" t="inlineStr">
        <is>
          <t>XBB.2.3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>
        <f>SUM(C81:AB81)</f>
        <v/>
      </c>
    </row>
    <row r="82">
      <c r="A82" s="8" t="inlineStr">
        <is>
          <t>HYBRID-VUM</t>
        </is>
      </c>
      <c r="B82" s="8" t="inlineStr">
        <is>
          <t>XBB.2.3.11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>
        <f>SUM(C82:AB82)</f>
        <v/>
      </c>
    </row>
    <row r="83">
      <c r="A83" s="8" t="inlineStr">
        <is>
          <t>HYBRID-VUM</t>
        </is>
      </c>
      <c r="B83" s="8" t="inlineStr">
        <is>
          <t>XBB.2.3.2</t>
        </is>
      </c>
      <c r="C83" s="7" t="n"/>
      <c r="D83" s="7" t="n"/>
      <c r="E83" s="7" t="n"/>
      <c r="F83" s="7" t="n"/>
      <c r="G83" s="7" t="n"/>
      <c r="H83" s="7" t="n"/>
      <c r="I83" s="7" t="n">
        <v>2</v>
      </c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>
        <f>SUM(C83:AB83)</f>
        <v/>
      </c>
    </row>
    <row r="84">
      <c r="A84" s="8" t="inlineStr">
        <is>
          <t>HYBRID-VUM</t>
        </is>
      </c>
      <c r="B84" s="8" t="inlineStr">
        <is>
          <t>XBB.2.3.3</t>
        </is>
      </c>
      <c r="C84" s="7" t="n">
        <v>4</v>
      </c>
      <c r="D84" s="7" t="n">
        <v>5</v>
      </c>
      <c r="E84" s="7" t="n">
        <v>11</v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>
        <f>SUM(C84:AB84)</f>
        <v/>
      </c>
    </row>
    <row r="85">
      <c r="A85" s="8" t="inlineStr">
        <is>
          <t>HYBRID-VUM</t>
        </is>
      </c>
      <c r="B85" s="8" t="inlineStr">
        <is>
          <t>XBB.2.3.5</t>
        </is>
      </c>
      <c r="C85" s="7" t="n"/>
      <c r="D85" s="7" t="n"/>
      <c r="E85" s="7" t="n">
        <v>2</v>
      </c>
      <c r="F85" s="7" t="n"/>
      <c r="G85" s="7" t="n">
        <v>1</v>
      </c>
      <c r="H85" s="7" t="n">
        <v>2</v>
      </c>
      <c r="I85" s="7" t="n">
        <v>2</v>
      </c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>
        <f>SUM(C85:AB85)</f>
        <v/>
      </c>
    </row>
    <row r="86">
      <c r="A86" s="8" t="inlineStr">
        <is>
          <t>HYBRID-VUM</t>
        </is>
      </c>
      <c r="B86" s="8" t="inlineStr">
        <is>
          <t>XBB.2.3.8</t>
        </is>
      </c>
      <c r="C86" s="7" t="n"/>
      <c r="D86" s="7" t="n"/>
      <c r="E86" s="7" t="n"/>
      <c r="F86" s="7" t="n"/>
      <c r="G86" s="7" t="n">
        <v>1</v>
      </c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>
        <f>SUM(C86:AB86)</f>
        <v/>
      </c>
    </row>
    <row r="87">
      <c r="A87" s="8" t="inlineStr">
        <is>
          <t>HYBRID-VUM</t>
        </is>
      </c>
      <c r="B87" s="8" t="inlineStr">
        <is>
          <t>XBB.1.32.1</t>
        </is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>
        <f>SUM(C87:AB87)</f>
        <v/>
      </c>
    </row>
    <row r="88">
      <c r="A88" s="8" t="inlineStr">
        <is>
          <t>HYBRID-VUM</t>
        </is>
      </c>
      <c r="B88" s="8" t="inlineStr">
        <is>
          <t>JN.1.1.5</t>
        </is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>
        <v>2</v>
      </c>
      <c r="U88" s="7" t="n"/>
      <c r="V88" s="7" t="n"/>
      <c r="W88" s="7" t="n"/>
      <c r="X88" s="7" t="n"/>
      <c r="Y88" s="7" t="n"/>
      <c r="Z88" s="7" t="n"/>
      <c r="AA88" s="7" t="n"/>
      <c r="AB88" s="7" t="n"/>
      <c r="AC88" s="7">
        <f>SUM(C88:AB88)</f>
        <v/>
      </c>
    </row>
    <row r="89">
      <c r="A89" s="8" t="inlineStr">
        <is>
          <t>HYBRID-VUM</t>
        </is>
      </c>
      <c r="B89" s="8" t="inlineStr">
        <is>
          <t>JN.1.11</t>
        </is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>
        <v>1</v>
      </c>
      <c r="U89" s="7" t="n"/>
      <c r="V89" s="7" t="n"/>
      <c r="W89" s="7" t="n"/>
      <c r="X89" s="7" t="n"/>
      <c r="Y89" s="7" t="n"/>
      <c r="Z89" s="7" t="n"/>
      <c r="AA89" s="7" t="n"/>
      <c r="AB89" s="7" t="n"/>
      <c r="AC89" s="7">
        <f>SUM(C89:AB89)</f>
        <v/>
      </c>
    </row>
    <row r="90">
      <c r="A90" s="8" t="inlineStr">
        <is>
          <t>HYBRID-VUM</t>
        </is>
      </c>
      <c r="B90" s="8" t="inlineStr">
        <is>
          <t>JN.1.11.1</t>
        </is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>
        <v>1</v>
      </c>
      <c r="U90" s="7" t="n"/>
      <c r="V90" s="7" t="n"/>
      <c r="W90" s="7" t="n"/>
      <c r="X90" s="7" t="n"/>
      <c r="Y90" s="7" t="n"/>
      <c r="Z90" s="7" t="n"/>
      <c r="AA90" s="7" t="n"/>
      <c r="AB90" s="7" t="n"/>
      <c r="AC90" s="7">
        <f>SUM(C90:AB90)</f>
        <v/>
      </c>
    </row>
    <row r="91">
      <c r="A91" s="8" t="inlineStr">
        <is>
          <t>HYBRID-VUM</t>
        </is>
      </c>
      <c r="B91" s="8" t="inlineStr">
        <is>
          <t>JN.1.16.1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>
        <v>2</v>
      </c>
      <c r="U91" s="7" t="n"/>
      <c r="V91" s="7" t="n"/>
      <c r="W91" s="7" t="n"/>
      <c r="X91" s="7" t="n"/>
      <c r="Y91" s="7" t="n"/>
      <c r="Z91" s="7" t="n"/>
      <c r="AA91" s="7" t="n"/>
      <c r="AB91" s="7" t="n"/>
      <c r="AC91" s="7">
        <f>SUM(C91:AB91)</f>
        <v/>
      </c>
    </row>
    <row r="92">
      <c r="A92" s="8" t="inlineStr">
        <is>
          <t>HYBRID-VUM</t>
        </is>
      </c>
      <c r="B92" s="8" t="inlineStr">
        <is>
          <t>JN.1.18</t>
        </is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>
        <v>1</v>
      </c>
      <c r="U92" s="7" t="n"/>
      <c r="V92" s="7" t="n"/>
      <c r="W92" s="7" t="n"/>
      <c r="X92" s="7" t="n"/>
      <c r="Y92" s="7" t="n"/>
      <c r="Z92" s="7" t="n"/>
      <c r="AA92" s="7" t="n"/>
      <c r="AB92" s="7" t="n"/>
      <c r="AC92" s="7">
        <f>SUM(C92:AB92)</f>
        <v/>
      </c>
    </row>
    <row r="93">
      <c r="A93" s="8" t="inlineStr">
        <is>
          <t>HYBRID-VUM</t>
        </is>
      </c>
      <c r="B93" s="8" t="inlineStr">
        <is>
          <t>JN.1.18.1</t>
        </is>
      </c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>
        <v>2</v>
      </c>
      <c r="U93" s="7" t="n">
        <v>3</v>
      </c>
      <c r="V93" s="7" t="n"/>
      <c r="W93" s="7" t="n"/>
      <c r="X93" s="7" t="n"/>
      <c r="Y93" s="7" t="n"/>
      <c r="Z93" s="7" t="n"/>
      <c r="AA93" s="7" t="n"/>
      <c r="AB93" s="7" t="n"/>
      <c r="AC93" s="7">
        <f>SUM(C93:AB93)</f>
        <v/>
      </c>
    </row>
    <row r="94">
      <c r="A94" s="8" t="inlineStr">
        <is>
          <t>HYBRID-VUM</t>
        </is>
      </c>
      <c r="B94" s="8" t="inlineStr">
        <is>
          <t>JN.1.18.2</t>
        </is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>
        <v>4</v>
      </c>
      <c r="U94" s="7" t="n"/>
      <c r="V94" s="7" t="n"/>
      <c r="W94" s="7" t="n"/>
      <c r="X94" s="7" t="n"/>
      <c r="Y94" s="7" t="n"/>
      <c r="Z94" s="7" t="n"/>
      <c r="AA94" s="7" t="n"/>
      <c r="AB94" s="7" t="n"/>
      <c r="AC94" s="7">
        <f>SUM(C94:AB94)</f>
        <v/>
      </c>
    </row>
    <row r="95">
      <c r="A95" s="8" t="inlineStr">
        <is>
          <t>HYBRID-VUM</t>
        </is>
      </c>
      <c r="B95" s="8" t="inlineStr">
        <is>
          <t>KP.1.1</t>
        </is>
      </c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>
        <v>4</v>
      </c>
      <c r="U95" s="7" t="n">
        <v>8</v>
      </c>
      <c r="V95" s="7" t="n">
        <v>2</v>
      </c>
      <c r="W95" s="7" t="n"/>
      <c r="X95" s="7" t="n"/>
      <c r="Y95" s="7" t="n"/>
      <c r="Z95" s="7" t="n"/>
      <c r="AA95" s="7" t="n"/>
      <c r="AB95" s="7" t="n"/>
      <c r="AC95" s="7">
        <f>SUM(C95:AB95)</f>
        <v/>
      </c>
    </row>
    <row r="96">
      <c r="A96" s="8" t="inlineStr">
        <is>
          <t>HYBRID-VUM</t>
        </is>
      </c>
      <c r="B96" s="8" t="inlineStr">
        <is>
          <t>KP.1.1.1</t>
        </is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>
        <v>5</v>
      </c>
      <c r="U96" s="7" t="n">
        <v>5</v>
      </c>
      <c r="V96" s="7" t="n">
        <v>3</v>
      </c>
      <c r="W96" s="7" t="n"/>
      <c r="X96" s="7" t="n"/>
      <c r="Y96" s="7" t="n"/>
      <c r="Z96" s="7" t="n"/>
      <c r="AA96" s="7" t="n"/>
      <c r="AB96" s="7" t="n"/>
      <c r="AC96" s="7">
        <f>SUM(C96:AB96)</f>
        <v/>
      </c>
    </row>
    <row r="97">
      <c r="A97" s="8" t="inlineStr">
        <is>
          <t>HYBRID-VUM</t>
        </is>
      </c>
      <c r="B97" s="8" t="inlineStr">
        <is>
          <t>KP.1.1.3</t>
        </is>
      </c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>
        <v>1</v>
      </c>
      <c r="V97" s="7" t="n"/>
      <c r="W97" s="7" t="n"/>
      <c r="X97" s="7" t="n"/>
      <c r="Y97" s="7" t="n"/>
      <c r="Z97" s="7" t="n"/>
      <c r="AA97" s="7" t="n"/>
      <c r="AB97" s="7" t="n"/>
      <c r="AC97" s="7">
        <f>SUM(C97:AB97)</f>
        <v/>
      </c>
    </row>
    <row r="98">
      <c r="A98" s="8" t="inlineStr">
        <is>
          <t>HYBRID-VUM</t>
        </is>
      </c>
      <c r="B98" s="8" t="inlineStr">
        <is>
          <t>KP.1.1.5</t>
        </is>
      </c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>
        <v>5</v>
      </c>
      <c r="V98" s="7" t="n">
        <v>3</v>
      </c>
      <c r="W98" s="7" t="n">
        <v>2</v>
      </c>
      <c r="X98" s="7" t="n"/>
      <c r="Y98" s="7" t="n"/>
      <c r="Z98" s="7" t="n"/>
      <c r="AA98" s="7" t="n"/>
      <c r="AB98" s="7" t="n"/>
      <c r="AC98" s="7">
        <f>SUM(C98:AB98)</f>
        <v/>
      </c>
    </row>
    <row r="99">
      <c r="A99" s="8" t="inlineStr">
        <is>
          <t>HYBRID-VUM</t>
        </is>
      </c>
      <c r="B99" s="8" t="inlineStr">
        <is>
          <t>KP.1.2</t>
        </is>
      </c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>
        <v>1</v>
      </c>
      <c r="V99" s="7" t="n"/>
      <c r="W99" s="7" t="n"/>
      <c r="X99" s="7" t="n"/>
      <c r="Y99" s="7" t="n"/>
      <c r="Z99" s="7" t="n"/>
      <c r="AA99" s="7" t="n"/>
      <c r="AB99" s="7" t="n"/>
      <c r="AC99" s="7">
        <f>SUM(C99:AB99)</f>
        <v/>
      </c>
    </row>
    <row r="100">
      <c r="A100" s="8" t="inlineStr">
        <is>
          <t>HYBRID-VUM</t>
        </is>
      </c>
      <c r="B100" s="8" t="inlineStr">
        <is>
          <t>KP.2</t>
        </is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>
        <v>7</v>
      </c>
      <c r="U100" s="7" t="n">
        <v>4</v>
      </c>
      <c r="V100" s="7" t="n">
        <v>1</v>
      </c>
      <c r="W100" s="7" t="n"/>
      <c r="X100" s="7" t="n"/>
      <c r="Y100" s="7" t="n"/>
      <c r="Z100" s="7" t="n"/>
      <c r="AA100" s="7" t="n"/>
      <c r="AB100" s="7" t="n"/>
      <c r="AC100" s="7">
        <f>SUM(C100:AB100)</f>
        <v/>
      </c>
    </row>
    <row r="101">
      <c r="A101" s="8" t="inlineStr">
        <is>
          <t>HYBRID-VUM</t>
        </is>
      </c>
      <c r="B101" s="8" t="inlineStr">
        <is>
          <t>KP.2.2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>
        <v>4</v>
      </c>
      <c r="V101" s="7" t="n">
        <v>1</v>
      </c>
      <c r="W101" s="7" t="n"/>
      <c r="X101" s="7" t="n"/>
      <c r="Y101" s="7" t="n"/>
      <c r="Z101" s="7" t="n"/>
      <c r="AA101" s="7" t="n"/>
      <c r="AB101" s="7" t="n"/>
      <c r="AC101" s="7">
        <f>SUM(C101:AB101)</f>
        <v/>
      </c>
    </row>
    <row r="102">
      <c r="A102" s="8" t="inlineStr">
        <is>
          <t>HYBRID-VUM</t>
        </is>
      </c>
      <c r="B102" s="8" t="inlineStr">
        <is>
          <t>KP.2.3</t>
        </is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>
        <v>3</v>
      </c>
      <c r="U102" s="7" t="n">
        <v>11</v>
      </c>
      <c r="V102" s="7" t="n">
        <v>3</v>
      </c>
      <c r="W102" s="7" t="n"/>
      <c r="X102" s="7" t="n">
        <v>1</v>
      </c>
      <c r="Y102" s="7" t="n"/>
      <c r="Z102" s="7" t="n"/>
      <c r="AA102" s="7" t="n"/>
      <c r="AB102" s="7" t="n"/>
      <c r="AC102" s="7">
        <f>SUM(C102:AB102)</f>
        <v/>
      </c>
    </row>
    <row r="103">
      <c r="A103" s="8" t="inlineStr">
        <is>
          <t>HYBRID-VUM</t>
        </is>
      </c>
      <c r="B103" s="8" t="inlineStr">
        <is>
          <t>KP.3</t>
        </is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>
        <v>8</v>
      </c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>
        <f>SUM(C103:AB103)</f>
        <v/>
      </c>
    </row>
    <row r="104">
      <c r="A104" s="8" t="inlineStr">
        <is>
          <t>HYBRID-VUM</t>
        </is>
      </c>
      <c r="B104" s="8" t="inlineStr">
        <is>
          <t>KP.3.1.1</t>
        </is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>
        <v>1</v>
      </c>
      <c r="W104" s="7" t="n"/>
      <c r="X104" s="7" t="n"/>
      <c r="Y104" s="7" t="n"/>
      <c r="Z104" s="7" t="n"/>
      <c r="AA104" s="7" t="n"/>
      <c r="AB104" s="7" t="n"/>
      <c r="AC104" s="7">
        <f>SUM(C104:AB104)</f>
        <v/>
      </c>
    </row>
    <row r="105">
      <c r="A105" s="8" t="inlineStr">
        <is>
          <t>HYBRID-VUM</t>
        </is>
      </c>
      <c r="B105" s="8" t="inlineStr">
        <is>
          <t>KP.3.2.2</t>
        </is>
      </c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>
        <v>3</v>
      </c>
      <c r="V105" s="7" t="n"/>
      <c r="W105" s="7" t="n"/>
      <c r="X105" s="7" t="n"/>
      <c r="Y105" s="7" t="n"/>
      <c r="Z105" s="7" t="n"/>
      <c r="AA105" s="7" t="n"/>
      <c r="AB105" s="7" t="n"/>
      <c r="AC105" s="7">
        <f>SUM(C105:AB105)</f>
        <v/>
      </c>
    </row>
    <row r="106">
      <c r="A106" s="8" t="inlineStr">
        <is>
          <t>HYBRID-VUM</t>
        </is>
      </c>
      <c r="B106" s="8" t="inlineStr">
        <is>
          <t>KP.3.3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>
        <v>4</v>
      </c>
      <c r="V106" s="7" t="n">
        <v>3</v>
      </c>
      <c r="W106" s="7" t="n"/>
      <c r="X106" s="7" t="n"/>
      <c r="Y106" s="7" t="n"/>
      <c r="Z106" s="7" t="n"/>
      <c r="AA106" s="7" t="n"/>
      <c r="AB106" s="7" t="n"/>
      <c r="AC106" s="7">
        <f>SUM(C106:AB106)</f>
        <v/>
      </c>
    </row>
    <row r="107">
      <c r="A107" s="8" t="inlineStr">
        <is>
          <t>HYBRID-VUM</t>
        </is>
      </c>
      <c r="B107" s="8" t="inlineStr">
        <is>
          <t>KP.3.3.4</t>
        </is>
      </c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>
        <v>1</v>
      </c>
      <c r="Y107" s="7" t="n"/>
      <c r="Z107" s="7" t="n"/>
      <c r="AA107" s="7" t="n"/>
      <c r="AB107" s="7" t="n"/>
      <c r="AC107" s="7">
        <f>SUM(C107:AB107)</f>
        <v/>
      </c>
    </row>
    <row r="108">
      <c r="A108" s="8" t="inlineStr">
        <is>
          <t>HYBRID-VUM</t>
        </is>
      </c>
      <c r="B108" s="8" t="inlineStr">
        <is>
          <t>KP.4.1.3</t>
        </is>
      </c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>
        <v>2</v>
      </c>
      <c r="V108" s="7" t="n"/>
      <c r="W108" s="7" t="n"/>
      <c r="X108" s="7" t="n"/>
      <c r="Y108" s="7" t="n"/>
      <c r="Z108" s="7" t="n"/>
      <c r="AA108" s="7" t="n"/>
      <c r="AB108" s="7" t="n"/>
      <c r="AC108" s="7">
        <f>SUM(C108:AB108)</f>
        <v/>
      </c>
    </row>
    <row r="109">
      <c r="A109" s="8" t="inlineStr">
        <is>
          <t>HYBRID-VUM</t>
        </is>
      </c>
      <c r="B109" s="8" t="inlineStr">
        <is>
          <t>KP.4</t>
        </is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>
        <v>1</v>
      </c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>
        <f>SUM(C109:AB109)</f>
        <v/>
      </c>
    </row>
    <row r="110">
      <c r="A110" s="8" t="inlineStr">
        <is>
          <t>HYBRID-VUM</t>
        </is>
      </c>
      <c r="B110" s="8" t="inlineStr">
        <is>
          <t>KP.4.1</t>
        </is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>
        <v>2</v>
      </c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>
        <f>SUM(C110:AB110)</f>
        <v/>
      </c>
    </row>
    <row r="111">
      <c r="A111" s="8" t="inlineStr">
        <is>
          <t>HYBRID-VUM</t>
        </is>
      </c>
      <c r="B111" s="8" t="inlineStr">
        <is>
          <t>XEC</t>
        </is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>
        <v>1</v>
      </c>
      <c r="X111" s="7" t="n"/>
      <c r="Y111" s="7" t="n"/>
      <c r="Z111" s="7" t="n"/>
      <c r="AA111" s="7" t="n"/>
      <c r="AB111" s="7" t="n"/>
      <c r="AC111" s="7">
        <f>SUM(C111:AB111)</f>
        <v/>
      </c>
    </row>
    <row r="112">
      <c r="A112" s="8" t="inlineStr">
        <is>
          <t>HYBRID-VUM</t>
        </is>
      </c>
      <c r="B112" s="8" t="inlineStr">
        <is>
          <t>NB.1.8.1</t>
        </is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>
        <v>2</v>
      </c>
      <c r="AB112" s="7" t="n"/>
      <c r="AC112" s="7">
        <f>SUM(C112:AB112)</f>
        <v/>
      </c>
    </row>
    <row r="113">
      <c r="A113" s="8" t="inlineStr">
        <is>
          <t>HYBRID-VUM</t>
        </is>
      </c>
      <c r="B113" s="8" t="inlineStr">
        <is>
          <t>XFG</t>
        </is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>
        <v>6</v>
      </c>
      <c r="AB113" s="7" t="n"/>
      <c r="AC113" s="7">
        <f>SUM(C113:AB113)</f>
        <v/>
      </c>
    </row>
    <row r="114">
      <c r="A114" s="8" t="inlineStr">
        <is>
          <t>HYBRID-VUM</t>
        </is>
      </c>
      <c r="B114" s="8" t="inlineStr">
        <is>
          <t>XFG.3</t>
        </is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>
        <v>5</v>
      </c>
      <c r="AB114" s="7" t="n"/>
      <c r="AC114" s="7">
        <f>SUM(C114:AB114)</f>
        <v/>
      </c>
    </row>
    <row r="115">
      <c r="A115" s="8" t="inlineStr">
        <is>
          <t>HYBRID-VUM</t>
        </is>
      </c>
      <c r="B115" s="8" t="inlineStr">
        <is>
          <t>LP.8.1</t>
        </is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>
        <v>40</v>
      </c>
      <c r="Y115" s="7" t="n">
        <v>31</v>
      </c>
      <c r="Z115" s="7" t="n"/>
      <c r="AA115" s="7" t="n">
        <v>1</v>
      </c>
      <c r="AB115" s="7" t="n"/>
      <c r="AC115" s="7">
        <f>SUM(C115:AB115)</f>
        <v/>
      </c>
    </row>
    <row r="116">
      <c r="A116" s="8" t="inlineStr">
        <is>
          <t>HYBRID-VUM</t>
        </is>
      </c>
      <c r="B116" s="8" t="inlineStr">
        <is>
          <t>LP.8.1.2</t>
        </is>
      </c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>
        <v>3</v>
      </c>
      <c r="Z116" s="7" t="n"/>
      <c r="AA116" s="7" t="n">
        <v>1</v>
      </c>
      <c r="AB116" s="7" t="n"/>
      <c r="AC116" s="7">
        <f>SUM(C116:AB116)</f>
        <v/>
      </c>
    </row>
    <row r="117">
      <c r="A117" s="8" t="inlineStr">
        <is>
          <t>OTHERS</t>
        </is>
      </c>
      <c r="B117" s="8" t="inlineStr">
        <is>
          <t>XBC.1</t>
        </is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>
        <f>SUM(C117:AB117)</f>
        <v/>
      </c>
    </row>
    <row r="118">
      <c r="A118" s="8" t="inlineStr">
        <is>
          <t>OTHERS</t>
        </is>
      </c>
      <c r="B118" s="8" t="inlineStr">
        <is>
          <t>XBC.1.6.3</t>
        </is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>
        <f>SUM(C118:AB118)</f>
        <v/>
      </c>
    </row>
    <row r="119">
      <c r="A119" s="8" t="inlineStr">
        <is>
          <t>OTHERS</t>
        </is>
      </c>
      <c r="B119" s="8" t="inlineStr">
        <is>
          <t>XBL</t>
        </is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>
        <f>SUM(C119:AB119)</f>
        <v/>
      </c>
    </row>
    <row r="120">
      <c r="A120" s="8" t="inlineStr">
        <is>
          <t>OTHERS</t>
        </is>
      </c>
      <c r="B120" s="8" t="inlineStr">
        <is>
          <t>B.1.351</t>
        </is>
      </c>
      <c r="C120" s="7" t="n"/>
      <c r="D120" s="7" t="n"/>
      <c r="E120" s="7" t="n">
        <v>1</v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>
        <f>SUM(C120:AB120)</f>
        <v/>
      </c>
    </row>
    <row r="121">
      <c r="A121" s="8" t="inlineStr">
        <is>
          <t>OTHERS</t>
        </is>
      </c>
      <c r="B121" s="8" t="inlineStr">
        <is>
          <t>KR.1</t>
        </is>
      </c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>
        <v>69</v>
      </c>
      <c r="U121" s="7" t="n">
        <v>7</v>
      </c>
      <c r="V121" s="7" t="n">
        <v>1</v>
      </c>
      <c r="W121" s="7" t="n"/>
      <c r="X121" s="7" t="n"/>
      <c r="Y121" s="7" t="n"/>
      <c r="Z121" s="7" t="n"/>
      <c r="AA121" s="7" t="n"/>
      <c r="AB121" s="7" t="n"/>
      <c r="AC121" s="7">
        <f>SUM(C121:AB121)</f>
        <v/>
      </c>
    </row>
    <row r="122">
      <c r="A122" s="8" t="inlineStr">
        <is>
          <t>OTHERS</t>
        </is>
      </c>
      <c r="B122" s="8" t="inlineStr">
        <is>
          <t>KR.1.1</t>
        </is>
      </c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>
        <v>43</v>
      </c>
      <c r="V122" s="7" t="n">
        <v>4</v>
      </c>
      <c r="W122" s="7" t="n"/>
      <c r="X122" s="7" t="n"/>
      <c r="Y122" s="7" t="n"/>
      <c r="Z122" s="7" t="n"/>
      <c r="AA122" s="7" t="n"/>
      <c r="AB122" s="7" t="n"/>
      <c r="AC122" s="7">
        <f>SUM(C122:AB122)</f>
        <v/>
      </c>
    </row>
    <row r="123">
      <c r="A123" s="8" t="inlineStr">
        <is>
          <t>OTHERS</t>
        </is>
      </c>
      <c r="B123" s="8" t="inlineStr">
        <is>
          <t>KR.1.2</t>
        </is>
      </c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>
        <v>1</v>
      </c>
      <c r="V123" s="7" t="n"/>
      <c r="W123" s="7" t="n"/>
      <c r="X123" s="7" t="n"/>
      <c r="Y123" s="7" t="n"/>
      <c r="Z123" s="7" t="n"/>
      <c r="AA123" s="7" t="n"/>
      <c r="AB123" s="7" t="n"/>
      <c r="AC123" s="7">
        <f>SUM(C123:AB123)</f>
        <v/>
      </c>
    </row>
    <row r="124">
      <c r="A124" s="8" t="inlineStr">
        <is>
          <t>OTHERS</t>
        </is>
      </c>
      <c r="B124" s="8" t="inlineStr">
        <is>
          <t>KS.1</t>
        </is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>
        <v>1</v>
      </c>
      <c r="V124" s="7" t="n"/>
      <c r="W124" s="7" t="n"/>
      <c r="X124" s="7" t="n"/>
      <c r="Y124" s="7" t="n"/>
      <c r="Z124" s="7" t="n"/>
      <c r="AA124" s="7" t="n"/>
      <c r="AB124" s="7" t="n"/>
      <c r="AC124" s="7">
        <f>SUM(C124:AB124)</f>
        <v/>
      </c>
    </row>
    <row r="125">
      <c r="A125" s="8" t="inlineStr">
        <is>
          <t>OTHERS</t>
        </is>
      </c>
      <c r="B125" s="8" t="inlineStr">
        <is>
          <t>KS.1.1</t>
        </is>
      </c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>
        <v>2</v>
      </c>
      <c r="V125" s="7" t="n"/>
      <c r="W125" s="7" t="n"/>
      <c r="X125" s="7" t="n"/>
      <c r="Y125" s="7" t="n"/>
      <c r="Z125" s="7" t="n"/>
      <c r="AA125" s="7" t="n"/>
      <c r="AB125" s="7" t="n"/>
      <c r="AC125" s="7">
        <f>SUM(C125:AB125)</f>
        <v/>
      </c>
    </row>
    <row r="126">
      <c r="A126" s="8" t="inlineStr">
        <is>
          <t>OTHERS</t>
        </is>
      </c>
      <c r="B126" s="8" t="inlineStr">
        <is>
          <t>LB.1.3</t>
        </is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>
        <v>7</v>
      </c>
      <c r="V126" s="7" t="n">
        <v>1</v>
      </c>
      <c r="W126" s="7" t="n">
        <v>1</v>
      </c>
      <c r="X126" s="7" t="n"/>
      <c r="Y126" s="7" t="n"/>
      <c r="Z126" s="7" t="n"/>
      <c r="AA126" s="7" t="n"/>
      <c r="AB126" s="7" t="n"/>
      <c r="AC126" s="7">
        <f>SUM(C126:AB126)</f>
        <v/>
      </c>
    </row>
    <row r="127">
      <c r="A127" s="8" t="inlineStr">
        <is>
          <t>OTHERS</t>
        </is>
      </c>
      <c r="B127" s="8" t="inlineStr">
        <is>
          <t>KU.2</t>
        </is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>
        <v>3</v>
      </c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>
        <f>SUM(C127:AB127)</f>
        <v/>
      </c>
    </row>
    <row r="128">
      <c r="A128" s="8" t="inlineStr">
        <is>
          <t>OTHERS</t>
        </is>
      </c>
      <c r="B128" s="8" t="inlineStr">
        <is>
          <t>LB.1</t>
        </is>
      </c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>
        <v>4</v>
      </c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>
        <f>SUM(C128:AB128)</f>
        <v/>
      </c>
    </row>
    <row r="129">
      <c r="A129" s="8" t="inlineStr">
        <is>
          <t>OTHERS</t>
        </is>
      </c>
      <c r="B129" s="8" t="inlineStr">
        <is>
          <t>LB.1.3.1</t>
        </is>
      </c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>
        <v>1</v>
      </c>
      <c r="X129" s="7" t="n"/>
      <c r="Y129" s="7" t="n"/>
      <c r="Z129" s="7" t="n"/>
      <c r="AA129" s="7" t="n"/>
      <c r="AB129" s="7" t="n"/>
      <c r="AC129" s="7">
        <f>SUM(C129:AB129)</f>
        <v/>
      </c>
    </row>
    <row r="130">
      <c r="A130" s="8" t="inlineStr">
        <is>
          <t>OTHERS</t>
        </is>
      </c>
      <c r="B130" s="8" t="inlineStr">
        <is>
          <t>LB.1.4</t>
        </is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>
        <v>1</v>
      </c>
      <c r="V130" s="7" t="n"/>
      <c r="W130" s="7" t="n"/>
      <c r="X130" s="7" t="n"/>
      <c r="Y130" s="7" t="n"/>
      <c r="Z130" s="7" t="n"/>
      <c r="AA130" s="7" t="n"/>
      <c r="AB130" s="7" t="n"/>
      <c r="AC130" s="7">
        <f>SUM(C130:AB130)</f>
        <v/>
      </c>
    </row>
    <row r="131">
      <c r="A131" s="8" t="inlineStr">
        <is>
          <t>OTHERS</t>
        </is>
      </c>
      <c r="B131" s="8" t="inlineStr">
        <is>
          <t>LF.7</t>
        </is>
      </c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>
        <v>1</v>
      </c>
      <c r="X131" s="7" t="n"/>
      <c r="Y131" s="7" t="n"/>
      <c r="Z131" s="7" t="n"/>
      <c r="AA131" s="7" t="n"/>
      <c r="AB131" s="7" t="n"/>
      <c r="AC131" s="7">
        <f>SUM(C131:AB131)</f>
        <v/>
      </c>
    </row>
    <row r="132">
      <c r="A132" s="8" t="inlineStr">
        <is>
          <t>OTHERS</t>
        </is>
      </c>
      <c r="B132" s="8" t="inlineStr">
        <is>
          <t>LF.7.1</t>
        </is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>
        <v>5</v>
      </c>
      <c r="Y132" s="7" t="n"/>
      <c r="Z132" s="7" t="n"/>
      <c r="AA132" s="7" t="n"/>
      <c r="AB132" s="7" t="n"/>
      <c r="AC132" s="7">
        <f>SUM(C132:AB132)</f>
        <v/>
      </c>
    </row>
    <row r="133">
      <c r="A133" s="8" t="inlineStr">
        <is>
          <t>OTHERS</t>
        </is>
      </c>
      <c r="B133" s="8" t="inlineStr">
        <is>
          <t>LF.7.1.2</t>
        </is>
      </c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>
        <v>1</v>
      </c>
      <c r="Z133" s="7" t="n"/>
      <c r="AA133" s="7" t="n"/>
      <c r="AB133" s="7" t="n"/>
      <c r="AC133" s="7">
        <f>SUM(C133:AB133)</f>
        <v/>
      </c>
    </row>
    <row r="134">
      <c r="A134" s="8" t="inlineStr">
        <is>
          <t>OTHERS</t>
        </is>
      </c>
      <c r="B134" s="8" t="inlineStr">
        <is>
          <t>LF.7.3</t>
        </is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>
        <v>1</v>
      </c>
      <c r="Y134" s="7" t="n"/>
      <c r="Z134" s="7" t="n"/>
      <c r="AA134" s="7" t="n"/>
      <c r="AB134" s="7" t="n"/>
      <c r="AC134" s="7">
        <f>SUM(C134:AB134)</f>
        <v/>
      </c>
    </row>
    <row r="135">
      <c r="A135" s="8" t="inlineStr">
        <is>
          <t>OTHERS</t>
        </is>
      </c>
      <c r="B135" s="8" t="inlineStr">
        <is>
          <t>LP.8.1.1</t>
        </is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>
        <v>15</v>
      </c>
      <c r="Z135" s="7" t="n"/>
      <c r="AA135" s="7" t="n"/>
      <c r="AB135" s="7" t="n"/>
      <c r="AC135" s="7">
        <f>SUM(C135:AB135)</f>
        <v/>
      </c>
    </row>
    <row r="136">
      <c r="A136" s="8" t="inlineStr">
        <is>
          <t>OTHERS</t>
        </is>
      </c>
      <c r="B136" s="8" t="inlineStr">
        <is>
          <t>LP.8.2</t>
        </is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>
        <v>5</v>
      </c>
      <c r="Y136" s="7" t="n"/>
      <c r="Z136" s="7" t="n"/>
      <c r="AA136" s="7" t="n"/>
      <c r="AB136" s="7" t="n"/>
      <c r="AC136" s="7">
        <f>SUM(C136:AB136)</f>
        <v/>
      </c>
    </row>
    <row r="137">
      <c r="A137" s="8" t="inlineStr">
        <is>
          <t>OTHERS</t>
        </is>
      </c>
      <c r="B137" s="8" t="inlineStr">
        <is>
          <t>LP.8.2.1</t>
        </is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>
        <v>4</v>
      </c>
      <c r="Z137" s="7" t="n"/>
      <c r="AA137" s="7" t="n"/>
      <c r="AB137" s="7" t="n"/>
      <c r="AC137" s="7">
        <f>SUM(C137:AB137)</f>
        <v/>
      </c>
    </row>
    <row r="138">
      <c r="A138" s="8" t="inlineStr">
        <is>
          <t>OTHERS</t>
        </is>
      </c>
      <c r="B138" s="8" t="inlineStr">
        <is>
          <t>LQ.1.1</t>
        </is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>
        <v>3</v>
      </c>
      <c r="V138" s="7" t="n"/>
      <c r="W138" s="7" t="n"/>
      <c r="X138" s="7" t="n"/>
      <c r="Y138" s="7" t="n"/>
      <c r="Z138" s="7" t="n"/>
      <c r="AA138" s="7" t="n"/>
      <c r="AB138" s="7" t="n"/>
      <c r="AC138" s="7">
        <f>SUM(C138:AB138)</f>
        <v/>
      </c>
    </row>
    <row r="139">
      <c r="A139" s="8" t="inlineStr">
        <is>
          <t>OTHERS</t>
        </is>
      </c>
      <c r="B139" s="8" t="inlineStr">
        <is>
          <t>MC.9</t>
        </is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>
        <v>1</v>
      </c>
      <c r="Y139" s="7" t="n"/>
      <c r="Z139" s="7" t="n"/>
      <c r="AA139" s="7" t="n"/>
      <c r="AB139" s="7" t="n"/>
      <c r="AC139" s="7">
        <f>SUM(C139:AB139)</f>
        <v/>
      </c>
    </row>
    <row r="140">
      <c r="A140" s="8" t="inlineStr">
        <is>
          <t>OTHERS</t>
        </is>
      </c>
      <c r="B140" s="8" t="inlineStr">
        <is>
          <t>MV.1</t>
        </is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>
        <v>2</v>
      </c>
      <c r="Z140" s="7" t="n"/>
      <c r="AA140" s="7" t="n"/>
      <c r="AB140" s="7" t="n"/>
      <c r="AC140" s="7">
        <f>SUM(C140:AB140)</f>
        <v/>
      </c>
    </row>
    <row r="141">
      <c r="A141" s="8" t="inlineStr">
        <is>
          <t>OTHERS</t>
        </is>
      </c>
      <c r="B141" s="8" t="inlineStr">
        <is>
          <t>XEC.2</t>
        </is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>
        <v>5</v>
      </c>
      <c r="Y141" s="7" t="n"/>
      <c r="Z141" s="7" t="n"/>
      <c r="AA141" s="7" t="n"/>
      <c r="AB141" s="7" t="n"/>
      <c r="AC141" s="7">
        <f>SUM(C141:AB141)</f>
        <v/>
      </c>
    </row>
    <row r="142">
      <c r="A142" s="8" t="inlineStr">
        <is>
          <t>OTHERS</t>
        </is>
      </c>
      <c r="B142" s="8" t="inlineStr">
        <is>
          <t>XEC.2.1</t>
        </is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>
        <v>2</v>
      </c>
      <c r="Z142" s="7" t="n"/>
      <c r="AA142" s="7" t="n"/>
      <c r="AB142" s="7" t="n"/>
      <c r="AC142" s="7">
        <f>SUM(C142:AB142)</f>
        <v/>
      </c>
    </row>
    <row r="143">
      <c r="A143" s="8" t="inlineStr">
        <is>
          <t>OTHERS</t>
        </is>
      </c>
      <c r="B143" s="8" t="inlineStr">
        <is>
          <t>XEK</t>
        </is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>
        <v>1</v>
      </c>
      <c r="Y143" s="7" t="n"/>
      <c r="Z143" s="7" t="n"/>
      <c r="AA143" s="7" t="n"/>
      <c r="AB143" s="7" t="n"/>
      <c r="AC143" s="7">
        <f>SUM(C143:AB143)</f>
        <v/>
      </c>
    </row>
    <row r="144">
      <c r="A144" s="8" t="inlineStr">
        <is>
          <t>OTHERS</t>
        </is>
      </c>
      <c r="B144" s="8" t="inlineStr">
        <is>
          <t>NY.3</t>
        </is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>
        <v>1</v>
      </c>
      <c r="AB144" s="7" t="n"/>
      <c r="AC144" s="7">
        <f>SUM(C144:AB144)</f>
        <v/>
      </c>
    </row>
    <row r="145">
      <c r="A145" s="8" t="inlineStr">
        <is>
          <t>OTHERS</t>
        </is>
      </c>
      <c r="B145" s="8" t="inlineStr">
        <is>
          <t>NY.7</t>
        </is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>
        <v>1</v>
      </c>
      <c r="AB145" s="7" t="n"/>
      <c r="AC145" s="7">
        <f>SUM(C145:AB145)</f>
        <v/>
      </c>
    </row>
    <row r="146">
      <c r="A146" s="8" t="inlineStr">
        <is>
          <t>OTHERS</t>
        </is>
      </c>
      <c r="B146" s="8" t="inlineStr">
        <is>
          <t>NY.11</t>
        </is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>
        <v>1</v>
      </c>
      <c r="AB146" s="7" t="n"/>
      <c r="AC146" s="7">
        <f>SUM(C146:AB146)</f>
        <v/>
      </c>
    </row>
    <row r="147">
      <c r="A147" s="8" t="inlineStr">
        <is>
          <t>OTHERS</t>
        </is>
      </c>
      <c r="B147" s="8" t="inlineStr">
        <is>
          <t>NW.1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>
        <v>3</v>
      </c>
      <c r="AB147" s="7" t="n"/>
      <c r="AC147" s="7">
        <f>SUM(C147:AB147)</f>
        <v/>
      </c>
    </row>
    <row r="148">
      <c r="A148" s="8" t="inlineStr">
        <is>
          <t>OTHERS</t>
        </is>
      </c>
      <c r="B148" s="8" t="inlineStr">
        <is>
          <t>NW.1.2</t>
        </is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>
        <v>5</v>
      </c>
      <c r="AB148" s="7" t="n"/>
      <c r="AC148" s="7">
        <f>SUM(C148:AB148)</f>
        <v/>
      </c>
    </row>
    <row r="149">
      <c r="A149" s="8" t="inlineStr">
        <is>
          <t>UNASSIGNED</t>
        </is>
      </c>
      <c r="B149" s="8" t="inlineStr">
        <is>
          <t>UNASSIGNED</t>
        </is>
      </c>
      <c r="C149" s="7" t="n">
        <v>1</v>
      </c>
      <c r="D149" s="7" t="n"/>
      <c r="E149" s="7" t="n"/>
      <c r="F149" s="7" t="n">
        <v>10</v>
      </c>
      <c r="G149" s="7" t="n">
        <v>6</v>
      </c>
      <c r="H149" s="7" t="n"/>
      <c r="I149" s="7" t="n"/>
      <c r="J149" s="7" t="n"/>
      <c r="K149" s="7" t="n">
        <v>1</v>
      </c>
      <c r="L149" s="7" t="n"/>
      <c r="M149" s="7" t="n">
        <v>9</v>
      </c>
      <c r="N149" s="7" t="n">
        <v>36</v>
      </c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>
        <v>1</v>
      </c>
      <c r="X149" s="7" t="n">
        <v>1</v>
      </c>
      <c r="Y149" s="7" t="n">
        <v>4</v>
      </c>
      <c r="Z149" s="7" t="n"/>
      <c r="AA149" s="7" t="n">
        <v>1</v>
      </c>
      <c r="AB149" s="7" t="n"/>
      <c r="AC149" s="7">
        <f>SUM(C149:AB149)</f>
        <v/>
      </c>
    </row>
    <row r="151">
      <c r="A151" s="23" t="inlineStr">
        <is>
          <t>OMICRON-OTHER</t>
        </is>
      </c>
      <c r="B151" s="23" t="inlineStr">
        <is>
          <t>SUBTOTAL</t>
        </is>
      </c>
      <c r="C151" s="23">
        <f>SUMIF($A$2:$A$149,"OMICRON-OTHER",C$2:C$149)</f>
        <v/>
      </c>
      <c r="D151" s="23">
        <f>SUMIF($A$2:$A$149,"OMICRON-OTHER",D$2:D$149)</f>
        <v/>
      </c>
      <c r="E151" s="23">
        <f>SUMIF($A$2:$A$149,"OMICRON-OTHER",E$2:E$149)</f>
        <v/>
      </c>
      <c r="F151" s="23">
        <f>SUMIF($A$2:$A$149,"OMICRON-OTHER",F$2:F$149)</f>
        <v/>
      </c>
      <c r="G151" s="23">
        <f>SUMIF($A$2:$A$149,"OMICRON-OTHER",G$2:G$149)</f>
        <v/>
      </c>
      <c r="H151" s="23">
        <f>SUMIF($A$2:$A$149,"OMICRON-OTHER",H$2:H$149)</f>
        <v/>
      </c>
      <c r="I151" s="23">
        <f>SUMIF($A$2:$A$149,"OMICRON-OTHER",I$2:I$149)</f>
        <v/>
      </c>
      <c r="J151" s="23">
        <f>SUMIF($A$2:$A$149,"OMICRON-OTHER",J$2:J$149)</f>
        <v/>
      </c>
      <c r="K151" s="23">
        <f>SUMIF($A$2:$A$149,"OMICRON-OTHER",K$2:K$149)</f>
        <v/>
      </c>
      <c r="L151" s="23">
        <f>SUMIF($A$2:$A$149,"OMICRON-OTHER",L$2:L$149)</f>
        <v/>
      </c>
      <c r="M151" s="23">
        <f>SUMIF($A$2:$A$149,"OMICRON-OTHER",M$2:M$149)</f>
        <v/>
      </c>
      <c r="N151" s="23">
        <f>SUMIF($A$2:$A$149,"OMICRON-OTHER",N$2:N$149)</f>
        <v/>
      </c>
      <c r="O151" s="23">
        <f>SUMIF($A$2:$A$149,"OMICRON-OTHER",O$2:O$149)</f>
        <v/>
      </c>
      <c r="P151" s="23">
        <f>SUMIF($A$2:$A$149,"OMICRON-OTHER",P$2:P$149)</f>
        <v/>
      </c>
      <c r="Q151" s="23">
        <f>SUMIF($A$2:$A$149,"OMICRON-OTHER",Q$2:Q$149)</f>
        <v/>
      </c>
      <c r="R151" s="23">
        <f>SUMIF($A$2:$A$149,"OMICRON-OTHER",R$2:R$149)</f>
        <v/>
      </c>
      <c r="S151" s="23">
        <f>SUMIF($A$2:$A$149,"OMICRON-OTHER",S$2:S$149)</f>
        <v/>
      </c>
      <c r="T151" s="23">
        <f>SUMIF($A$2:$A$149,"OMICRON-OTHER",T$2:T$149)</f>
        <v/>
      </c>
      <c r="U151" s="23">
        <f>SUMIF($A$2:$A$149,"OMICRON-OTHER",U$2:U$149)</f>
        <v/>
      </c>
      <c r="V151" s="23">
        <f>SUMIF($A$2:$A$149,"OMICRON-OTHER",V$2:V$149)</f>
        <v/>
      </c>
      <c r="W151" s="23">
        <f>SUMIF($A$2:$A$149,"OMICRON-OTHER",W$2:W$149)</f>
        <v/>
      </c>
      <c r="X151" s="23">
        <f>SUMIF($A$2:$A$149,"OMICRON-OTHER",X$2:X$149)</f>
        <v/>
      </c>
      <c r="Y151" s="23">
        <f>SUMIF($A$2:$A$149,"OMICRON-OTHER",Y$2:Y$149)</f>
        <v/>
      </c>
      <c r="Z151" s="23">
        <f>SUMIF($A$2:$A$149,"OMICRON-OTHER",Z$2:Z$149)</f>
        <v/>
      </c>
      <c r="AA151" s="23">
        <f>SUMIF($A$2:$A$149,"OMICRON-OTHER",AA$2:AA$149)</f>
        <v/>
      </c>
      <c r="AB151" s="23">
        <f>SUMIF($A$2:$A$149,"OMICRON-OTHER",AB$2:AB$149)</f>
        <v/>
      </c>
      <c r="AC151" s="23">
        <f>SUM(C151:AB151)</f>
        <v/>
      </c>
    </row>
    <row r="152">
      <c r="A152" s="23" t="inlineStr">
        <is>
          <t>HYBRID-VOI</t>
        </is>
      </c>
      <c r="B152" s="23" t="inlineStr">
        <is>
          <t>SUBTOTAL</t>
        </is>
      </c>
      <c r="C152" s="23">
        <f>SUMIF($A$2:$A$149,"HYBRID-VOI",C$2:C$149)</f>
        <v/>
      </c>
      <c r="D152" s="23">
        <f>SUMIF($A$2:$A$149,"HYBRID-VOI",D$2:D$149)</f>
        <v/>
      </c>
      <c r="E152" s="23">
        <f>SUMIF($A$2:$A$149,"HYBRID-VOI",E$2:E$149)</f>
        <v/>
      </c>
      <c r="F152" s="23">
        <f>SUMIF($A$2:$A$149,"HYBRID-VOI",F$2:F$149)</f>
        <v/>
      </c>
      <c r="G152" s="23">
        <f>SUMIF($A$2:$A$149,"HYBRID-VOI",G$2:G$149)</f>
        <v/>
      </c>
      <c r="H152" s="23">
        <f>SUMIF($A$2:$A$149,"HYBRID-VOI",H$2:H$149)</f>
        <v/>
      </c>
      <c r="I152" s="23">
        <f>SUMIF($A$2:$A$149,"HYBRID-VOI",I$2:I$149)</f>
        <v/>
      </c>
      <c r="J152" s="23">
        <f>SUMIF($A$2:$A$149,"HYBRID-VOI",J$2:J$149)</f>
        <v/>
      </c>
      <c r="K152" s="23">
        <f>SUMIF($A$2:$A$149,"HYBRID-VOI",K$2:K$149)</f>
        <v/>
      </c>
      <c r="L152" s="23">
        <f>SUMIF($A$2:$A$149,"HYBRID-VOI",L$2:L$149)</f>
        <v/>
      </c>
      <c r="M152" s="23">
        <f>SUMIF($A$2:$A$149,"HYBRID-VOI",M$2:M$149)</f>
        <v/>
      </c>
      <c r="N152" s="23">
        <f>SUMIF($A$2:$A$149,"HYBRID-VOI",N$2:N$149)</f>
        <v/>
      </c>
      <c r="O152" s="23">
        <f>SUMIF($A$2:$A$149,"HYBRID-VOI",O$2:O$149)</f>
        <v/>
      </c>
      <c r="P152" s="23">
        <f>SUMIF($A$2:$A$149,"HYBRID-VOI",P$2:P$149)</f>
        <v/>
      </c>
      <c r="Q152" s="23">
        <f>SUMIF($A$2:$A$149,"HYBRID-VOI",Q$2:Q$149)</f>
        <v/>
      </c>
      <c r="R152" s="23">
        <f>SUMIF($A$2:$A$149,"HYBRID-VOI",R$2:R$149)</f>
        <v/>
      </c>
      <c r="S152" s="23">
        <f>SUMIF($A$2:$A$149,"HYBRID-VOI",S$2:S$149)</f>
        <v/>
      </c>
      <c r="T152" s="23">
        <f>SUMIF($A$2:$A$149,"HYBRID-VOI",T$2:T$149)</f>
        <v/>
      </c>
      <c r="U152" s="23">
        <f>SUMIF($A$2:$A$149,"HYBRID-VOI",U$2:U$149)</f>
        <v/>
      </c>
      <c r="V152" s="23">
        <f>SUMIF($A$2:$A$149,"HYBRID-VOI",V$2:V$149)</f>
        <v/>
      </c>
      <c r="W152" s="23">
        <f>SUMIF($A$2:$A$149,"HYBRID-VOI",W$2:W$149)</f>
        <v/>
      </c>
      <c r="X152" s="23">
        <f>SUMIF($A$2:$A$149,"HYBRID-VOI",X$2:X$149)</f>
        <v/>
      </c>
      <c r="Y152" s="23">
        <f>SUMIF($A$2:$A$149,"HYBRID-VOI",Y$2:Y$149)</f>
        <v/>
      </c>
      <c r="Z152" s="23">
        <f>SUMIF($A$2:$A$149,"HYBRID-VOI",Z$2:Z$149)</f>
        <v/>
      </c>
      <c r="AA152" s="23">
        <f>SUMIF($A$2:$A$149,"HYBRID-VOI",AA$2:AA$149)</f>
        <v/>
      </c>
      <c r="AB152" s="23">
        <f>SUMIF($A$2:$A$149,"HYBRID-VOI",AB$2:AB$149)</f>
        <v/>
      </c>
      <c r="AC152" s="23">
        <f>SUM(C152:AB152)</f>
        <v/>
      </c>
    </row>
    <row r="153">
      <c r="A153" s="23" t="inlineStr">
        <is>
          <t>HYBRID-VUM</t>
        </is>
      </c>
      <c r="B153" s="23" t="inlineStr">
        <is>
          <t>SUBTOTAL</t>
        </is>
      </c>
      <c r="C153" s="23">
        <f>SUMIF($A$2:$A$149,"HYBRID-VUM",C$2:C$149)</f>
        <v/>
      </c>
      <c r="D153" s="23">
        <f>SUMIF($A$2:$A$149,"HYBRID-VUM",D$2:D$149)</f>
        <v/>
      </c>
      <c r="E153" s="23">
        <f>SUMIF($A$2:$A$149,"HYBRID-VUM",E$2:E$149)</f>
        <v/>
      </c>
      <c r="F153" s="23">
        <f>SUMIF($A$2:$A$149,"HYBRID-VUM",F$2:F$149)</f>
        <v/>
      </c>
      <c r="G153" s="23">
        <f>SUMIF($A$2:$A$149,"HYBRID-VUM",G$2:G$149)</f>
        <v/>
      </c>
      <c r="H153" s="23">
        <f>SUMIF($A$2:$A$149,"HYBRID-VUM",H$2:H$149)</f>
        <v/>
      </c>
      <c r="I153" s="23">
        <f>SUMIF($A$2:$A$149,"HYBRID-VUM",I$2:I$149)</f>
        <v/>
      </c>
      <c r="J153" s="23">
        <f>SUMIF($A$2:$A$149,"HYBRID-VUM",J$2:J$149)</f>
        <v/>
      </c>
      <c r="K153" s="23">
        <f>SUMIF($A$2:$A$149,"HYBRID-VUM",K$2:K$149)</f>
        <v/>
      </c>
      <c r="L153" s="23">
        <f>SUMIF($A$2:$A$149,"HYBRID-VUM",L$2:L$149)</f>
        <v/>
      </c>
      <c r="M153" s="23">
        <f>SUMIF($A$2:$A$149,"HYBRID-VUM",M$2:M$149)</f>
        <v/>
      </c>
      <c r="N153" s="23">
        <f>SUMIF($A$2:$A$149,"HYBRID-VUM",N$2:N$149)</f>
        <v/>
      </c>
      <c r="O153" s="23">
        <f>SUMIF($A$2:$A$149,"HYBRID-VUM",O$2:O$149)</f>
        <v/>
      </c>
      <c r="P153" s="23">
        <f>SUMIF($A$2:$A$149,"HYBRID-VUM",P$2:P$149)</f>
        <v/>
      </c>
      <c r="Q153" s="23">
        <f>SUMIF($A$2:$A$149,"HYBRID-VUM",Q$2:Q$149)</f>
        <v/>
      </c>
      <c r="R153" s="23">
        <f>SUMIF($A$2:$A$149,"HYBRID-VUM",R$2:R$149)</f>
        <v/>
      </c>
      <c r="S153" s="23">
        <f>SUMIF($A$2:$A$149,"HYBRID-VUM",S$2:S$149)</f>
        <v/>
      </c>
      <c r="T153" s="23">
        <f>SUMIF($A$2:$A$149,"HYBRID-VUM",T$2:T$149)</f>
        <v/>
      </c>
      <c r="U153" s="23">
        <f>SUMIF($A$2:$A$149,"HYBRID-VUM",U$2:U$149)</f>
        <v/>
      </c>
      <c r="V153" s="23">
        <f>SUMIF($A$2:$A$149,"HYBRID-VUM",V$2:V$149)</f>
        <v/>
      </c>
      <c r="W153" s="23">
        <f>SUMIF($A$2:$A$149,"HYBRID-VUM",W$2:W$149)</f>
        <v/>
      </c>
      <c r="X153" s="23">
        <f>SUMIF($A$2:$A$149,"HYBRID-VUM",X$2:X$149)</f>
        <v/>
      </c>
      <c r="Y153" s="23">
        <f>SUMIF($A$2:$A$149,"HYBRID-VUM",Y$2:Y$149)</f>
        <v/>
      </c>
      <c r="Z153" s="23">
        <f>SUMIF($A$2:$A$149,"HYBRID-VUM",Z$2:Z$149)</f>
        <v/>
      </c>
      <c r="AA153" s="23">
        <f>SUMIF($A$2:$A$149,"HYBRID-VUM",AA$2:AA$149)</f>
        <v/>
      </c>
      <c r="AB153" s="23">
        <f>SUMIF($A$2:$A$149,"HYBRID-VUM",AB$2:AB$149)</f>
        <v/>
      </c>
      <c r="AC153" s="23">
        <f>SUM(C153:AB153)</f>
        <v/>
      </c>
    </row>
    <row r="154">
      <c r="A154" s="23" t="inlineStr">
        <is>
          <t>OTHERS</t>
        </is>
      </c>
      <c r="B154" s="23" t="inlineStr">
        <is>
          <t>SUBTOTAL</t>
        </is>
      </c>
      <c r="C154" s="23">
        <f>SUMIF($A$2:$A$149,"OTHERS",C$2:C$149)</f>
        <v/>
      </c>
      <c r="D154" s="23">
        <f>SUMIF($A$2:$A$149,"OTHERS",D$2:D$149)</f>
        <v/>
      </c>
      <c r="E154" s="23">
        <f>SUMIF($A$2:$A$149,"OTHERS",E$2:E$149)</f>
        <v/>
      </c>
      <c r="F154" s="23">
        <f>SUMIF($A$2:$A$149,"OTHERS",F$2:F$149)</f>
        <v/>
      </c>
      <c r="G154" s="23">
        <f>SUMIF($A$2:$A$149,"OTHERS",G$2:G$149)</f>
        <v/>
      </c>
      <c r="H154" s="23">
        <f>SUMIF($A$2:$A$149,"OTHERS",H$2:H$149)</f>
        <v/>
      </c>
      <c r="I154" s="23">
        <f>SUMIF($A$2:$A$149,"OTHERS",I$2:I$149)</f>
        <v/>
      </c>
      <c r="J154" s="23">
        <f>SUMIF($A$2:$A$149,"OTHERS",J$2:J$149)</f>
        <v/>
      </c>
      <c r="K154" s="23">
        <f>SUMIF($A$2:$A$149,"OTHERS",K$2:K$149)</f>
        <v/>
      </c>
      <c r="L154" s="23">
        <f>SUMIF($A$2:$A$149,"OTHERS",L$2:L$149)</f>
        <v/>
      </c>
      <c r="M154" s="23">
        <f>SUMIF($A$2:$A$149,"OTHERS",M$2:M$149)</f>
        <v/>
      </c>
      <c r="N154" s="23">
        <f>SUMIF($A$2:$A$149,"OTHERS",N$2:N$149)</f>
        <v/>
      </c>
      <c r="O154" s="23">
        <f>SUMIF($A$2:$A$149,"OTHERS",O$2:O$149)</f>
        <v/>
      </c>
      <c r="P154" s="23">
        <f>SUMIF($A$2:$A$149,"OTHERS",P$2:P$149)</f>
        <v/>
      </c>
      <c r="Q154" s="23">
        <f>SUMIF($A$2:$A$149,"OTHERS",Q$2:Q$149)</f>
        <v/>
      </c>
      <c r="R154" s="23">
        <f>SUMIF($A$2:$A$149,"OTHERS",R$2:R$149)</f>
        <v/>
      </c>
      <c r="S154" s="23">
        <f>SUMIF($A$2:$A$149,"OTHERS",S$2:S$149)</f>
        <v/>
      </c>
      <c r="T154" s="23">
        <f>SUMIF($A$2:$A$149,"OTHERS",T$2:T$149)</f>
        <v/>
      </c>
      <c r="U154" s="23">
        <f>SUMIF($A$2:$A$149,"OTHERS",U$2:U$149)</f>
        <v/>
      </c>
      <c r="V154" s="23">
        <f>SUMIF($A$2:$A$149,"OTHERS",V$2:V$149)</f>
        <v/>
      </c>
      <c r="W154" s="23">
        <f>SUMIF($A$2:$A$149,"OTHERS",W$2:W$149)</f>
        <v/>
      </c>
      <c r="X154" s="23">
        <f>SUMIF($A$2:$A$149,"OTHERS",X$2:X$149)</f>
        <v/>
      </c>
      <c r="Y154" s="23">
        <f>SUMIF($A$2:$A$149,"OTHERS",Y$2:Y$149)</f>
        <v/>
      </c>
      <c r="Z154" s="23">
        <f>SUMIF($A$2:$A$149,"OTHERS",Z$2:Z$149)</f>
        <v/>
      </c>
      <c r="AA154" s="23">
        <f>SUMIF($A$2:$A$149,"OTHERS",AA$2:AA$149)</f>
        <v/>
      </c>
      <c r="AB154" s="23">
        <f>SUMIF($A$2:$A$149,"OTHERS",AB$2:AB$149)</f>
        <v/>
      </c>
      <c r="AC154" s="23">
        <f>SUM(C154:AB154)</f>
        <v/>
      </c>
    </row>
    <row r="155">
      <c r="A155" s="23" t="inlineStr">
        <is>
          <t>UNASSIGNED</t>
        </is>
      </c>
      <c r="B155" s="23" t="inlineStr">
        <is>
          <t>SUBTOTAL</t>
        </is>
      </c>
      <c r="C155" s="23">
        <f>SUMIF($A$2:$A$149,"UNASSIGNED",C$2:C$149)</f>
        <v/>
      </c>
      <c r="D155" s="23">
        <f>SUMIF($A$2:$A$149,"UNASSIGNED",D$2:D$149)</f>
        <v/>
      </c>
      <c r="E155" s="23">
        <f>SUMIF($A$2:$A$149,"UNASSIGNED",E$2:E$149)</f>
        <v/>
      </c>
      <c r="F155" s="23">
        <f>SUMIF($A$2:$A$149,"UNASSIGNED",F$2:F$149)</f>
        <v/>
      </c>
      <c r="G155" s="23">
        <f>SUMIF($A$2:$A$149,"UNASSIGNED",G$2:G$149)</f>
        <v/>
      </c>
      <c r="H155" s="23">
        <f>SUMIF($A$2:$A$149,"UNASSIGNED",H$2:H$149)</f>
        <v/>
      </c>
      <c r="I155" s="23">
        <f>SUMIF($A$2:$A$149,"UNASSIGNED",I$2:I$149)</f>
        <v/>
      </c>
      <c r="J155" s="23">
        <f>SUMIF($A$2:$A$149,"UNASSIGNED",J$2:J$149)</f>
        <v/>
      </c>
      <c r="K155" s="23">
        <f>SUMIF($A$2:$A$149,"UNASSIGNED",K$2:K$149)</f>
        <v/>
      </c>
      <c r="L155" s="23">
        <f>SUMIF($A$2:$A$149,"UNASSIGNED",L$2:L$149)</f>
        <v/>
      </c>
      <c r="M155" s="23">
        <f>SUMIF($A$2:$A$149,"UNASSIGNED",M$2:M$149)</f>
        <v/>
      </c>
      <c r="N155" s="23">
        <f>SUMIF($A$2:$A$149,"UNASSIGNED",N$2:N$149)</f>
        <v/>
      </c>
      <c r="O155" s="23">
        <f>SUMIF($A$2:$A$149,"UNASSIGNED",O$2:O$149)</f>
        <v/>
      </c>
      <c r="P155" s="23">
        <f>SUMIF($A$2:$A$149,"UNASSIGNED",P$2:P$149)</f>
        <v/>
      </c>
      <c r="Q155" s="23">
        <f>SUMIF($A$2:$A$149,"UNASSIGNED",Q$2:Q$149)</f>
        <v/>
      </c>
      <c r="R155" s="23">
        <f>SUMIF($A$2:$A$149,"UNASSIGNED",R$2:R$149)</f>
        <v/>
      </c>
      <c r="S155" s="23">
        <f>SUMIF($A$2:$A$149,"UNASSIGNED",S$2:S$149)</f>
        <v/>
      </c>
      <c r="T155" s="23">
        <f>SUMIF($A$2:$A$149,"UNASSIGNED",T$2:T$149)</f>
        <v/>
      </c>
      <c r="U155" s="23">
        <f>SUMIF($A$2:$A$149,"UNASSIGNED",U$2:U$149)</f>
        <v/>
      </c>
      <c r="V155" s="23">
        <f>SUMIF($A$2:$A$149,"UNASSIGNED",V$2:V$149)</f>
        <v/>
      </c>
      <c r="W155" s="23">
        <f>SUMIF($A$2:$A$149,"UNASSIGNED",W$2:W$149)</f>
        <v/>
      </c>
      <c r="X155" s="23">
        <f>SUMIF($A$2:$A$149,"UNASSIGNED",X$2:X$149)</f>
        <v/>
      </c>
      <c r="Y155" s="23">
        <f>SUMIF($A$2:$A$149,"UNASSIGNED",Y$2:Y$149)</f>
        <v/>
      </c>
      <c r="Z155" s="23">
        <f>SUMIF($A$2:$A$149,"UNASSIGNED",Z$2:Z$149)</f>
        <v/>
      </c>
      <c r="AA155" s="23">
        <f>SUMIF($A$2:$A$149,"UNASSIGNED",AA$2:AA$149)</f>
        <v/>
      </c>
      <c r="AB155" s="23">
        <f>SUMIF($A$2:$A$149,"UNASSIGNED",AB$2:AB$149)</f>
        <v/>
      </c>
      <c r="AC155" s="23">
        <f>SUM(C155:AB155)</f>
        <v/>
      </c>
    </row>
    <row r="156">
      <c r="A156" s="24" t="inlineStr">
        <is>
          <t>GRAND TOTAL</t>
        </is>
      </c>
      <c r="B156" s="24" t="n"/>
      <c r="C156" s="24">
        <f>SUM(C151:C155)</f>
        <v/>
      </c>
      <c r="D156" s="24">
        <f>SUM(D151:D155)</f>
        <v/>
      </c>
      <c r="E156" s="24">
        <f>SUM(E151:E155)</f>
        <v/>
      </c>
      <c r="F156" s="24">
        <f>SUM(F151:F155)</f>
        <v/>
      </c>
      <c r="G156" s="24">
        <f>SUM(G151:G155)</f>
        <v/>
      </c>
      <c r="H156" s="24">
        <f>SUM(H151:H155)</f>
        <v/>
      </c>
      <c r="I156" s="24">
        <f>SUM(I151:I155)</f>
        <v/>
      </c>
      <c r="J156" s="24">
        <f>SUM(J151:J155)</f>
        <v/>
      </c>
      <c r="K156" s="24">
        <f>SUM(K151:K155)</f>
        <v/>
      </c>
      <c r="L156" s="24">
        <f>SUM(L151:L155)</f>
        <v/>
      </c>
      <c r="M156" s="24">
        <f>SUM(M151:M155)</f>
        <v/>
      </c>
      <c r="N156" s="24">
        <f>SUM(N151:N155)</f>
        <v/>
      </c>
      <c r="O156" s="24">
        <f>SUM(O151:O155)</f>
        <v/>
      </c>
      <c r="P156" s="24">
        <f>SUM(P151:P155)</f>
        <v/>
      </c>
      <c r="Q156" s="24">
        <f>SUM(Q151:Q155)</f>
        <v/>
      </c>
      <c r="R156" s="24">
        <f>SUM(R151:R155)</f>
        <v/>
      </c>
      <c r="S156" s="24">
        <f>SUM(S151:S155)</f>
        <v/>
      </c>
      <c r="T156" s="24">
        <f>SUM(T151:T155)</f>
        <v/>
      </c>
      <c r="U156" s="24">
        <f>SUM(U151:U155)</f>
        <v/>
      </c>
      <c r="V156" s="24">
        <f>SUM(V151:V155)</f>
        <v/>
      </c>
      <c r="W156" s="24">
        <f>SUM(W151:W155)</f>
        <v/>
      </c>
      <c r="X156" s="24">
        <f>SUM(X151:X155)</f>
        <v/>
      </c>
      <c r="Y156" s="24">
        <f>SUM(Y151:Y155)</f>
        <v/>
      </c>
      <c r="Z156" s="24">
        <f>SUM(Z151:Z155)</f>
        <v/>
      </c>
      <c r="AA156" s="24">
        <f>SUM(AA151:AA155)</f>
        <v/>
      </c>
      <c r="AB156" s="24">
        <f>SUM(AB151:AB155)</f>
        <v/>
      </c>
      <c r="AC156" s="24">
        <f>SUM(C156:AB156)</f>
        <v/>
      </c>
    </row>
    <row r="157">
      <c r="A157" s="25" t="inlineStr">
        <is>
          <t>Cross-check vs data rows</t>
        </is>
      </c>
      <c r="B157" s="26" t="n"/>
      <c r="C157" s="26">
        <f>SUM(C2:C149)-C156</f>
        <v/>
      </c>
      <c r="D157" s="26">
        <f>SUM(D2:D149)-D156</f>
        <v/>
      </c>
      <c r="E157" s="26">
        <f>SUM(E2:E149)-E156</f>
        <v/>
      </c>
      <c r="F157" s="26">
        <f>SUM(F2:F149)-F156</f>
        <v/>
      </c>
      <c r="G157" s="26">
        <f>SUM(G2:G149)-G156</f>
        <v/>
      </c>
      <c r="H157" s="26">
        <f>SUM(H2:H149)-H156</f>
        <v/>
      </c>
      <c r="I157" s="26">
        <f>SUM(I2:I149)-I156</f>
        <v/>
      </c>
      <c r="J157" s="26">
        <f>SUM(J2:J149)-J156</f>
        <v/>
      </c>
      <c r="K157" s="26">
        <f>SUM(K2:K149)-K156</f>
        <v/>
      </c>
      <c r="L157" s="26">
        <f>SUM(L2:L149)-L156</f>
        <v/>
      </c>
      <c r="M157" s="26">
        <f>SUM(M2:M149)-M156</f>
        <v/>
      </c>
      <c r="N157" s="26">
        <f>SUM(N2:N149)-N156</f>
        <v/>
      </c>
      <c r="O157" s="26">
        <f>SUM(O2:O149)-O156</f>
        <v/>
      </c>
      <c r="P157" s="26">
        <f>SUM(P2:P149)-P156</f>
        <v/>
      </c>
      <c r="Q157" s="26">
        <f>SUM(Q2:Q149)-Q156</f>
        <v/>
      </c>
      <c r="R157" s="26">
        <f>SUM(R2:R149)-R156</f>
        <v/>
      </c>
      <c r="S157" s="26">
        <f>SUM(S2:S149)-S156</f>
        <v/>
      </c>
      <c r="T157" s="26">
        <f>SUM(T2:T149)-T156</f>
        <v/>
      </c>
      <c r="U157" s="26">
        <f>SUM(U2:U149)-U156</f>
        <v/>
      </c>
      <c r="V157" s="26">
        <f>SUM(V2:V149)-V156</f>
        <v/>
      </c>
      <c r="W157" s="26">
        <f>SUM(W2:W149)-W156</f>
        <v/>
      </c>
      <c r="X157" s="26">
        <f>SUM(X2:X149)-X156</f>
        <v/>
      </c>
      <c r="Y157" s="26">
        <f>SUM(Y2:Y149)-Y156</f>
        <v/>
      </c>
      <c r="Z157" s="26">
        <f>SUM(Z2:Z149)-Z156</f>
        <v/>
      </c>
      <c r="AA157" s="26">
        <f>SUM(AA2:AA149)-AA156</f>
        <v/>
      </c>
      <c r="AB157" s="26">
        <f>SUM(AB2:AB149)-AB156</f>
        <v/>
      </c>
      <c r="AC157" s="26">
        <f>SUM(C157:AB157)</f>
        <v/>
      </c>
    </row>
  </sheetData>
  <autoFilter ref="A1:AC1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G35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12" customWidth="1" min="4" max="4"/>
    <col width="15" customWidth="1" min="5" max="5"/>
    <col width="18" customWidth="1" min="6" max="6"/>
    <col width="46" customWidth="1" min="7" max="7"/>
  </cols>
  <sheetData>
    <row r="1">
      <c r="A1" s="6" t="inlineStr">
        <is>
          <t>Strain_ID</t>
        </is>
      </c>
      <c r="B1" s="6" t="inlineStr">
        <is>
          <t>Accession_Number</t>
        </is>
      </c>
      <c r="C1" s="6" t="inlineStr">
        <is>
          <t>UIC_Code</t>
        </is>
      </c>
      <c r="D1" s="6" t="inlineStr">
        <is>
          <t>Run_Number</t>
        </is>
      </c>
      <c r="E1" s="6" t="inlineStr">
        <is>
          <t>Sample_Number</t>
        </is>
      </c>
      <c r="F1" s="6" t="inlineStr">
        <is>
          <t>Lineage_Assigned</t>
        </is>
      </c>
      <c r="G1" s="6" t="inlineStr">
        <is>
          <t>Review_Flag</t>
        </is>
      </c>
    </row>
    <row r="2">
      <c r="A2" s="8" t="inlineStr">
        <is>
          <t>PGCV_001_0001</t>
        </is>
      </c>
      <c r="B2" s="8" t="inlineStr">
        <is>
          <t>COVID-SNL-22-3840</t>
        </is>
      </c>
      <c r="C2" s="8" t="inlineStr">
        <is>
          <t>ARQKTQITQS</t>
        </is>
      </c>
      <c r="D2" s="7" t="n">
        <v>1</v>
      </c>
      <c r="E2" s="7" t="n">
        <v>1</v>
      </c>
      <c r="F2" s="7" t="inlineStr">
        <is>
          <t>Yes</t>
        </is>
      </c>
      <c r="G2" s="8" t="n"/>
    </row>
    <row r="3">
      <c r="A3" s="8" t="inlineStr">
        <is>
          <t>PGCV_001_0002</t>
        </is>
      </c>
      <c r="B3" s="8" t="inlineStr">
        <is>
          <t>COVID-SNL-22-4340</t>
        </is>
      </c>
      <c r="C3" s="8" t="inlineStr">
        <is>
          <t>BDPPT9OY05</t>
        </is>
      </c>
      <c r="D3" s="7" t="n">
        <v>1</v>
      </c>
      <c r="E3" s="7" t="n">
        <v>2</v>
      </c>
      <c r="F3" s="7" t="inlineStr">
        <is>
          <t>Yes</t>
        </is>
      </c>
      <c r="G3" s="8" t="n"/>
    </row>
    <row r="4">
      <c r="A4" s="8" t="inlineStr">
        <is>
          <t>PGCV_001_0003</t>
        </is>
      </c>
      <c r="B4" s="8" t="inlineStr">
        <is>
          <t>COVID-SNL-22-5523</t>
        </is>
      </c>
      <c r="C4" s="8" t="inlineStr">
        <is>
          <t>SVGVT8HO9L</t>
        </is>
      </c>
      <c r="D4" s="7" t="n">
        <v>1</v>
      </c>
      <c r="E4" s="7" t="n">
        <v>3</v>
      </c>
      <c r="F4" s="7" t="inlineStr">
        <is>
          <t>Yes</t>
        </is>
      </c>
      <c r="G4" s="8" t="n"/>
    </row>
    <row r="5">
      <c r="A5" s="8" t="inlineStr">
        <is>
          <t>PGCV_001_0004</t>
        </is>
      </c>
      <c r="B5" s="8" t="inlineStr">
        <is>
          <t>COVID-SNL-22-3002</t>
        </is>
      </c>
      <c r="C5" s="8" t="inlineStr">
        <is>
          <t>VNHEVMBWPD</t>
        </is>
      </c>
      <c r="D5" s="7" t="n">
        <v>1</v>
      </c>
      <c r="E5" s="7" t="n">
        <v>4</v>
      </c>
      <c r="F5" s="7" t="inlineStr">
        <is>
          <t>Yes</t>
        </is>
      </c>
      <c r="G5" s="8" t="n"/>
    </row>
    <row r="6">
      <c r="A6" s="8" t="inlineStr">
        <is>
          <t>PGCV_001_0005</t>
        </is>
      </c>
      <c r="B6" s="8" t="inlineStr">
        <is>
          <t>COVID-SNL-22-3039</t>
        </is>
      </c>
      <c r="C6" s="8" t="inlineStr">
        <is>
          <t>156XSM82VC</t>
        </is>
      </c>
      <c r="D6" s="7" t="n">
        <v>1</v>
      </c>
      <c r="E6" s="7" t="n">
        <v>5</v>
      </c>
      <c r="F6" s="7" t="inlineStr">
        <is>
          <t>Yes</t>
        </is>
      </c>
      <c r="G6" s="8" t="n"/>
    </row>
    <row r="7">
      <c r="A7" s="8" t="inlineStr">
        <is>
          <t>PGCV_001_0006</t>
        </is>
      </c>
      <c r="B7" s="8" t="inlineStr">
        <is>
          <t>COVID-SNL-22-4894</t>
        </is>
      </c>
      <c r="C7" s="8" t="inlineStr">
        <is>
          <t>N2QAB3H4GB</t>
        </is>
      </c>
      <c r="D7" s="7" t="n">
        <v>1</v>
      </c>
      <c r="E7" s="7" t="n">
        <v>6</v>
      </c>
      <c r="F7" s="7" t="inlineStr">
        <is>
          <t>No</t>
        </is>
      </c>
      <c r="G7" s="8" t="n"/>
    </row>
    <row r="8">
      <c r="A8" s="8" t="inlineStr">
        <is>
          <t>PGCV_001_0007</t>
        </is>
      </c>
      <c r="B8" s="8" t="inlineStr">
        <is>
          <t>COVID-SNL-22-3040</t>
        </is>
      </c>
      <c r="C8" s="8" t="inlineStr">
        <is>
          <t>QLPE68OYAG</t>
        </is>
      </c>
      <c r="D8" s="7" t="n">
        <v>1</v>
      </c>
      <c r="E8" s="7" t="n">
        <v>7</v>
      </c>
      <c r="F8" s="7" t="inlineStr">
        <is>
          <t>Yes</t>
        </is>
      </c>
      <c r="G8" s="8" t="n"/>
    </row>
    <row r="9">
      <c r="A9" s="8" t="inlineStr">
        <is>
          <t>PGCV_001_0008</t>
        </is>
      </c>
      <c r="B9" s="8" t="inlineStr">
        <is>
          <t>COVID-SNL-22-4378</t>
        </is>
      </c>
      <c r="C9" s="8" t="inlineStr">
        <is>
          <t>PINVEILWNQ</t>
        </is>
      </c>
      <c r="D9" s="7" t="n">
        <v>1</v>
      </c>
      <c r="E9" s="7" t="n">
        <v>8</v>
      </c>
      <c r="F9" s="7" t="inlineStr">
        <is>
          <t>Yes</t>
        </is>
      </c>
      <c r="G9" s="8" t="n"/>
    </row>
    <row r="10">
      <c r="A10" s="8" t="inlineStr">
        <is>
          <t>PGCV_001_0009</t>
        </is>
      </c>
      <c r="B10" s="8" t="inlineStr">
        <is>
          <t>COVID-SNL-22-6382</t>
        </is>
      </c>
      <c r="C10" s="8" t="inlineStr">
        <is>
          <t>PYHN0FDJZL</t>
        </is>
      </c>
      <c r="D10" s="7" t="n">
        <v>1</v>
      </c>
      <c r="E10" s="7" t="n">
        <v>9</v>
      </c>
      <c r="F10" s="7" t="inlineStr">
        <is>
          <t>Yes</t>
        </is>
      </c>
      <c r="G10" s="8" t="n"/>
    </row>
    <row r="11">
      <c r="A11" s="8" t="inlineStr">
        <is>
          <t>PGCV_001_0010</t>
        </is>
      </c>
      <c r="B11" s="8" t="inlineStr">
        <is>
          <t>COVID-SNL-22-6940</t>
        </is>
      </c>
      <c r="C11" s="8" t="inlineStr">
        <is>
          <t>JUMESRYMMD</t>
        </is>
      </c>
      <c r="D11" s="7" t="n">
        <v>1</v>
      </c>
      <c r="E11" s="7" t="n">
        <v>10</v>
      </c>
      <c r="F11" s="7" t="inlineStr">
        <is>
          <t>Yes</t>
        </is>
      </c>
      <c r="G11" s="8" t="n"/>
    </row>
    <row r="12">
      <c r="A12" s="8" t="inlineStr">
        <is>
          <t>PGCV_001_0011</t>
        </is>
      </c>
      <c r="B12" s="8" t="inlineStr">
        <is>
          <t>COVID-SNL-22-6923</t>
        </is>
      </c>
      <c r="C12" s="8" t="inlineStr">
        <is>
          <t>VFN4ITASEJ</t>
        </is>
      </c>
      <c r="D12" s="7" t="n">
        <v>1</v>
      </c>
      <c r="E12" s="7" t="n">
        <v>11</v>
      </c>
      <c r="F12" s="7" t="inlineStr">
        <is>
          <t>Yes</t>
        </is>
      </c>
      <c r="G12" s="8" t="n"/>
    </row>
    <row r="13">
      <c r="A13" s="8" t="inlineStr">
        <is>
          <t>PGCV_001_0012</t>
        </is>
      </c>
      <c r="B13" s="8" t="inlineStr">
        <is>
          <t>COVID-SNL-22-6463</t>
        </is>
      </c>
      <c r="C13" s="8" t="inlineStr">
        <is>
          <t>HDLLPYB94M</t>
        </is>
      </c>
      <c r="D13" s="7" t="n">
        <v>1</v>
      </c>
      <c r="E13" s="7" t="n">
        <v>12</v>
      </c>
      <c r="F13" s="7" t="inlineStr">
        <is>
          <t>Yes</t>
        </is>
      </c>
      <c r="G13" s="8" t="n"/>
    </row>
    <row r="14">
      <c r="A14" s="8" t="inlineStr">
        <is>
          <t>PGCV_001_0013</t>
        </is>
      </c>
      <c r="B14" s="8" t="inlineStr">
        <is>
          <t>COVID-SNL-22-3938</t>
        </is>
      </c>
      <c r="C14" s="8" t="inlineStr">
        <is>
          <t>VC7SFEISGE</t>
        </is>
      </c>
      <c r="D14" s="7" t="n">
        <v>1</v>
      </c>
      <c r="E14" s="7" t="n">
        <v>13</v>
      </c>
      <c r="F14" s="7" t="inlineStr">
        <is>
          <t>Yes</t>
        </is>
      </c>
      <c r="G14" s="8" t="n"/>
    </row>
    <row r="15">
      <c r="A15" s="8" t="inlineStr">
        <is>
          <t>PGCV_001_0014</t>
        </is>
      </c>
      <c r="B15" s="8" t="inlineStr">
        <is>
          <t>COVID-SNL-22-3972</t>
        </is>
      </c>
      <c r="C15" s="8" t="inlineStr">
        <is>
          <t>OQWQGKTKBN</t>
        </is>
      </c>
      <c r="D15" s="7" t="n">
        <v>1</v>
      </c>
      <c r="E15" s="7" t="n">
        <v>14</v>
      </c>
      <c r="F15" s="7" t="inlineStr">
        <is>
          <t>Yes</t>
        </is>
      </c>
      <c r="G15" s="8" t="n"/>
    </row>
    <row r="16">
      <c r="A16" s="8" t="inlineStr">
        <is>
          <t>PGCV_001_0015</t>
        </is>
      </c>
      <c r="B16" s="8" t="inlineStr">
        <is>
          <t>COVID-SNL-22-3946</t>
        </is>
      </c>
      <c r="C16" s="8" t="inlineStr">
        <is>
          <t>CWN2XDUBD6</t>
        </is>
      </c>
      <c r="D16" s="7" t="n">
        <v>1</v>
      </c>
      <c r="E16" s="7" t="n">
        <v>15</v>
      </c>
      <c r="F16" s="7" t="inlineStr">
        <is>
          <t>Yes</t>
        </is>
      </c>
      <c r="G16" s="8" t="n"/>
    </row>
    <row r="17">
      <c r="A17" s="8" t="inlineStr">
        <is>
          <t>PGCV_001_0016</t>
        </is>
      </c>
      <c r="B17" s="8" t="inlineStr">
        <is>
          <t>COVID-SNL-22-3949</t>
        </is>
      </c>
      <c r="C17" s="8" t="inlineStr">
        <is>
          <t>R7KFFJKH7F</t>
        </is>
      </c>
      <c r="D17" s="7" t="n">
        <v>1</v>
      </c>
      <c r="E17" s="7" t="n">
        <v>16</v>
      </c>
      <c r="F17" s="7" t="inlineStr">
        <is>
          <t>Yes</t>
        </is>
      </c>
      <c r="G17" s="8" t="n"/>
    </row>
    <row r="18">
      <c r="A18" s="8" t="inlineStr">
        <is>
          <t>PGCV_001_0017</t>
        </is>
      </c>
      <c r="B18" s="8" t="inlineStr">
        <is>
          <t>COVID-SNL-22-3951</t>
        </is>
      </c>
      <c r="C18" s="8" t="inlineStr">
        <is>
          <t>V3GCKBJSHD</t>
        </is>
      </c>
      <c r="D18" s="7" t="n">
        <v>1</v>
      </c>
      <c r="E18" s="7" t="n">
        <v>17</v>
      </c>
      <c r="F18" s="7" t="inlineStr">
        <is>
          <t>Yes</t>
        </is>
      </c>
      <c r="G18" s="8" t="n"/>
    </row>
    <row r="19">
      <c r="A19" s="8" t="inlineStr">
        <is>
          <t>PGCV_001_0018</t>
        </is>
      </c>
      <c r="B19" s="8" t="inlineStr">
        <is>
          <t>COVID-SNL-22-4326</t>
        </is>
      </c>
      <c r="C19" s="8" t="inlineStr">
        <is>
          <t>MMPKAPHBUX</t>
        </is>
      </c>
      <c r="D19" s="7" t="n">
        <v>1</v>
      </c>
      <c r="E19" s="7" t="n">
        <v>18</v>
      </c>
      <c r="F19" s="7" t="inlineStr">
        <is>
          <t>Yes</t>
        </is>
      </c>
      <c r="G19" s="8" t="n"/>
    </row>
    <row r="20">
      <c r="A20" s="8" t="inlineStr">
        <is>
          <t>PGCV_001_0019</t>
        </is>
      </c>
      <c r="B20" s="8" t="inlineStr">
        <is>
          <t>COVID-SNL-22-3954</t>
        </is>
      </c>
      <c r="C20" s="8" t="inlineStr">
        <is>
          <t>IKXNOEKBBC</t>
        </is>
      </c>
      <c r="D20" s="7" t="n">
        <v>1</v>
      </c>
      <c r="E20" s="7" t="n">
        <v>19</v>
      </c>
      <c r="F20" s="7" t="inlineStr">
        <is>
          <t>Yes</t>
        </is>
      </c>
      <c r="G20" s="8" t="n"/>
    </row>
    <row r="21">
      <c r="A21" s="8" t="inlineStr">
        <is>
          <t>PGCV_001_0020</t>
        </is>
      </c>
      <c r="B21" s="8" t="inlineStr">
        <is>
          <t>COVID-SNL-22-3955</t>
        </is>
      </c>
      <c r="C21" s="8" t="inlineStr">
        <is>
          <t>SRBR8ZFERA</t>
        </is>
      </c>
      <c r="D21" s="7" t="n">
        <v>1</v>
      </c>
      <c r="E21" s="7" t="n">
        <v>20</v>
      </c>
      <c r="F21" s="7" t="inlineStr">
        <is>
          <t>Yes</t>
        </is>
      </c>
      <c r="G21" s="8" t="n"/>
    </row>
    <row r="22">
      <c r="A22" s="8" t="inlineStr">
        <is>
          <t>PGCV_001_0021</t>
        </is>
      </c>
      <c r="B22" s="8" t="inlineStr">
        <is>
          <t>COVID-SNL-22-3956</t>
        </is>
      </c>
      <c r="C22" s="8" t="inlineStr">
        <is>
          <t>C7HEMCJKHR</t>
        </is>
      </c>
      <c r="D22" s="7" t="n">
        <v>1</v>
      </c>
      <c r="E22" s="7" t="n">
        <v>21</v>
      </c>
      <c r="F22" s="7" t="inlineStr">
        <is>
          <t>Yes</t>
        </is>
      </c>
      <c r="G22" s="8" t="n"/>
    </row>
    <row r="23">
      <c r="A23" s="8" t="inlineStr">
        <is>
          <t>PGCV_001_0022</t>
        </is>
      </c>
      <c r="B23" s="8" t="inlineStr">
        <is>
          <t>COVID-SNL-22-3957</t>
        </is>
      </c>
      <c r="C23" s="8" t="inlineStr">
        <is>
          <t>FCJNULQY13*</t>
        </is>
      </c>
      <c r="D23" s="7" t="n">
        <v>1</v>
      </c>
      <c r="E23" s="7" t="n">
        <v>22</v>
      </c>
      <c r="F23" s="7" t="inlineStr">
        <is>
          <t>Yes</t>
        </is>
      </c>
      <c r="G23" s="8" t="n"/>
    </row>
    <row r="24">
      <c r="A24" s="8" t="inlineStr">
        <is>
          <t>PGCV_001_0023</t>
        </is>
      </c>
      <c r="B24" s="8" t="inlineStr">
        <is>
          <t>COVID-SNL-22-3958</t>
        </is>
      </c>
      <c r="C24" s="8" t="inlineStr">
        <is>
          <t>FCJNULQY13*</t>
        </is>
      </c>
      <c r="D24" s="7" t="n">
        <v>1</v>
      </c>
      <c r="E24" s="7" t="n">
        <v>23</v>
      </c>
      <c r="F24" s="7" t="inlineStr">
        <is>
          <t>Yes</t>
        </is>
      </c>
      <c r="G24" s="8" t="n"/>
    </row>
    <row r="25">
      <c r="A25" s="8" t="inlineStr">
        <is>
          <t>PGCV_001_0024</t>
        </is>
      </c>
      <c r="B25" s="8" t="inlineStr">
        <is>
          <t>COVID-SNL-22-3964</t>
        </is>
      </c>
      <c r="C25" s="8" t="inlineStr">
        <is>
          <t>QYOEZUTZZZ</t>
        </is>
      </c>
      <c r="D25" s="7" t="n">
        <v>1</v>
      </c>
      <c r="E25" s="7" t="n">
        <v>24</v>
      </c>
      <c r="F25" s="7" t="inlineStr">
        <is>
          <t>Yes</t>
        </is>
      </c>
      <c r="G25" s="8" t="n"/>
    </row>
    <row r="26">
      <c r="A26" s="8" t="inlineStr">
        <is>
          <t>PGCV_001_0025</t>
        </is>
      </c>
      <c r="B26" s="8" t="inlineStr">
        <is>
          <t>COVID-SNL-22-4125</t>
        </is>
      </c>
      <c r="C26" s="8" t="inlineStr">
        <is>
          <t>MX1ARD7LAW</t>
        </is>
      </c>
      <c r="D26" s="7" t="n">
        <v>1</v>
      </c>
      <c r="E26" s="7" t="n">
        <v>25</v>
      </c>
      <c r="F26" s="7" t="inlineStr">
        <is>
          <t>Yes</t>
        </is>
      </c>
      <c r="G26" s="8" t="n"/>
    </row>
    <row r="27">
      <c r="A27" s="8" t="inlineStr">
        <is>
          <t>PGCV_001_0026</t>
        </is>
      </c>
      <c r="B27" s="8" t="inlineStr">
        <is>
          <t>COVID-SNL-22-4175</t>
        </is>
      </c>
      <c r="C27" s="8" t="inlineStr">
        <is>
          <t>K8HUCQKUZE</t>
        </is>
      </c>
      <c r="D27" s="7" t="n">
        <v>1</v>
      </c>
      <c r="E27" s="7" t="n">
        <v>26</v>
      </c>
      <c r="F27" s="7" t="inlineStr">
        <is>
          <t>Yes</t>
        </is>
      </c>
      <c r="G27" s="8" t="n"/>
    </row>
    <row r="28">
      <c r="A28" s="8" t="inlineStr">
        <is>
          <t>PGCV_001_0027</t>
        </is>
      </c>
      <c r="B28" s="8" t="inlineStr">
        <is>
          <t>COVID-SNL-22-4185</t>
        </is>
      </c>
      <c r="C28" s="8" t="inlineStr">
        <is>
          <t>VOXIMWLJW7</t>
        </is>
      </c>
      <c r="D28" s="7" t="n">
        <v>1</v>
      </c>
      <c r="E28" s="7" t="n">
        <v>27</v>
      </c>
      <c r="F28" s="7" t="inlineStr">
        <is>
          <t>Yes</t>
        </is>
      </c>
      <c r="G28" s="8" t="n"/>
    </row>
    <row r="29">
      <c r="A29" s="8" t="inlineStr">
        <is>
          <t>PGCV_001_0028</t>
        </is>
      </c>
      <c r="B29" s="8" t="inlineStr">
        <is>
          <t>COVID-SNL-22-4215</t>
        </is>
      </c>
      <c r="C29" s="8" t="inlineStr">
        <is>
          <t>NHTQF77XSS</t>
        </is>
      </c>
      <c r="D29" s="7" t="n">
        <v>1</v>
      </c>
      <c r="E29" s="7" t="n">
        <v>28</v>
      </c>
      <c r="F29" s="7" t="inlineStr">
        <is>
          <t>Yes</t>
        </is>
      </c>
      <c r="G29" s="8" t="n"/>
    </row>
    <row r="30">
      <c r="A30" s="8" t="inlineStr">
        <is>
          <t>PGCV_001_0029</t>
        </is>
      </c>
      <c r="B30" s="8" t="inlineStr">
        <is>
          <t>COVID-SNL-22-4375</t>
        </is>
      </c>
      <c r="C30" s="8" t="inlineStr">
        <is>
          <t>UFNQYJMQB9</t>
        </is>
      </c>
      <c r="D30" s="7" t="n">
        <v>1</v>
      </c>
      <c r="E30" s="7" t="n">
        <v>29</v>
      </c>
      <c r="F30" s="7" t="inlineStr">
        <is>
          <t>Yes</t>
        </is>
      </c>
      <c r="G30" s="8" t="n"/>
    </row>
    <row r="31">
      <c r="A31" s="8" t="inlineStr">
        <is>
          <t>PGCV_001_0030</t>
        </is>
      </c>
      <c r="B31" s="8" t="inlineStr">
        <is>
          <t>COVID-SNL-22-4341</t>
        </is>
      </c>
      <c r="C31" s="8" t="inlineStr">
        <is>
          <t>8TYRQZQF1G</t>
        </is>
      </c>
      <c r="D31" s="7" t="n">
        <v>1</v>
      </c>
      <c r="E31" s="7" t="n">
        <v>30</v>
      </c>
      <c r="F31" s="7" t="inlineStr">
        <is>
          <t>Yes</t>
        </is>
      </c>
      <c r="G31" s="8" t="n"/>
    </row>
    <row r="32">
      <c r="A32" s="8" t="inlineStr">
        <is>
          <t>PGCV_001_0031</t>
        </is>
      </c>
      <c r="B32" s="8" t="inlineStr">
        <is>
          <t>COVID-SNL-22-4374</t>
        </is>
      </c>
      <c r="C32" s="8" t="inlineStr">
        <is>
          <t>O4R9KPYPNE</t>
        </is>
      </c>
      <c r="D32" s="7" t="n">
        <v>1</v>
      </c>
      <c r="E32" s="7" t="n">
        <v>31</v>
      </c>
      <c r="F32" s="7" t="inlineStr">
        <is>
          <t>Yes</t>
        </is>
      </c>
      <c r="G32" s="8" t="n"/>
    </row>
    <row r="33">
      <c r="A33" s="8" t="inlineStr">
        <is>
          <t>PGCV_001_0032</t>
        </is>
      </c>
      <c r="B33" s="8" t="inlineStr">
        <is>
          <t>COVID-SNL-22-5066</t>
        </is>
      </c>
      <c r="C33" s="8" t="inlineStr">
        <is>
          <t>4SAL1DEX2F</t>
        </is>
      </c>
      <c r="D33" s="7" t="n">
        <v>1</v>
      </c>
      <c r="E33" s="7" t="n">
        <v>32</v>
      </c>
      <c r="F33" s="7" t="inlineStr">
        <is>
          <t>Yes</t>
        </is>
      </c>
      <c r="G33" s="8" t="n"/>
    </row>
    <row r="34">
      <c r="A34" s="8" t="inlineStr">
        <is>
          <t>PGCV_001_0033</t>
        </is>
      </c>
      <c r="B34" s="8" t="inlineStr">
        <is>
          <t>COVID-SNL-22-5101</t>
        </is>
      </c>
      <c r="C34" s="8" t="inlineStr">
        <is>
          <t>WPT5ESCLGG</t>
        </is>
      </c>
      <c r="D34" s="7" t="n">
        <v>1</v>
      </c>
      <c r="E34" s="7" t="n">
        <v>33</v>
      </c>
      <c r="F34" s="7" t="inlineStr">
        <is>
          <t>Yes</t>
        </is>
      </c>
      <c r="G34" s="8" t="n"/>
    </row>
    <row r="35">
      <c r="A35" s="8" t="inlineStr">
        <is>
          <t>PGCV_001_0034</t>
        </is>
      </c>
      <c r="B35" s="8" t="inlineStr">
        <is>
          <t>COVID-SNL-22-5116</t>
        </is>
      </c>
      <c r="C35" s="8" t="inlineStr">
        <is>
          <t>U5LLZOAUDI</t>
        </is>
      </c>
      <c r="D35" s="7" t="n">
        <v>1</v>
      </c>
      <c r="E35" s="7" t="n">
        <v>34</v>
      </c>
      <c r="F35" s="7" t="inlineStr">
        <is>
          <t>Yes</t>
        </is>
      </c>
      <c r="G35" s="8" t="n"/>
    </row>
    <row r="36">
      <c r="A36" s="8" t="inlineStr">
        <is>
          <t>PGCV_001_0035</t>
        </is>
      </c>
      <c r="B36" s="8" t="inlineStr">
        <is>
          <t>COVID-SNL-22-5120</t>
        </is>
      </c>
      <c r="C36" s="8" t="inlineStr">
        <is>
          <t>UPLTK2SBCC</t>
        </is>
      </c>
      <c r="D36" s="7" t="n">
        <v>1</v>
      </c>
      <c r="E36" s="7" t="n">
        <v>35</v>
      </c>
      <c r="F36" s="7" t="inlineStr">
        <is>
          <t>Yes</t>
        </is>
      </c>
      <c r="G36" s="8" t="n"/>
    </row>
    <row r="37">
      <c r="A37" s="8" t="inlineStr">
        <is>
          <t>PGCV_001_0036</t>
        </is>
      </c>
      <c r="B37" s="8" t="inlineStr">
        <is>
          <t>COVID-SNL-22-5122</t>
        </is>
      </c>
      <c r="C37" s="8" t="inlineStr">
        <is>
          <t>UF2BDKVXDD</t>
        </is>
      </c>
      <c r="D37" s="7" t="n">
        <v>1</v>
      </c>
      <c r="E37" s="7" t="n">
        <v>36</v>
      </c>
      <c r="F37" s="7" t="inlineStr">
        <is>
          <t>Yes</t>
        </is>
      </c>
      <c r="G37" s="8" t="n"/>
    </row>
    <row r="38">
      <c r="A38" s="8" t="inlineStr">
        <is>
          <t>PGCV_001_0037</t>
        </is>
      </c>
      <c r="B38" s="8" t="inlineStr">
        <is>
          <t>COVID-SNL-22-5125</t>
        </is>
      </c>
      <c r="C38" s="8" t="inlineStr">
        <is>
          <t>JV4RDGYG0B</t>
        </is>
      </c>
      <c r="D38" s="7" t="n">
        <v>1</v>
      </c>
      <c r="E38" s="7" t="n">
        <v>37</v>
      </c>
      <c r="F38" s="7" t="inlineStr">
        <is>
          <t>Yes</t>
        </is>
      </c>
      <c r="G38" s="8" t="n"/>
    </row>
    <row r="39">
      <c r="A39" s="8" t="inlineStr">
        <is>
          <t>PGCV_001_0038</t>
        </is>
      </c>
      <c r="B39" s="8" t="inlineStr">
        <is>
          <t>COVID-SNL-22-5153</t>
        </is>
      </c>
      <c r="C39" s="8" t="inlineStr">
        <is>
          <t>XGWQYEFDUR</t>
        </is>
      </c>
      <c r="D39" s="7" t="n">
        <v>1</v>
      </c>
      <c r="E39" s="7" t="n">
        <v>38</v>
      </c>
      <c r="F39" s="7" t="inlineStr">
        <is>
          <t>Yes</t>
        </is>
      </c>
      <c r="G39" s="8" t="n"/>
    </row>
    <row r="40">
      <c r="A40" s="8" t="inlineStr">
        <is>
          <t>PGCV_001_0039</t>
        </is>
      </c>
      <c r="B40" s="8" t="inlineStr">
        <is>
          <t>COVID-SNL-22-5265</t>
        </is>
      </c>
      <c r="C40" s="8" t="inlineStr">
        <is>
          <t>GIJCH3D1LZ</t>
        </is>
      </c>
      <c r="D40" s="7" t="n">
        <v>1</v>
      </c>
      <c r="E40" s="7" t="n">
        <v>39</v>
      </c>
      <c r="F40" s="7" t="inlineStr">
        <is>
          <t>Yes</t>
        </is>
      </c>
      <c r="G40" s="8" t="n"/>
    </row>
    <row r="41">
      <c r="A41" s="8" t="inlineStr">
        <is>
          <t>PGCV_001_0040</t>
        </is>
      </c>
      <c r="B41" s="8" t="inlineStr">
        <is>
          <t>COVID-SNL-22-5171</t>
        </is>
      </c>
      <c r="C41" s="8" t="inlineStr">
        <is>
          <t>VT99E8N8VL</t>
        </is>
      </c>
      <c r="D41" s="7" t="n">
        <v>1</v>
      </c>
      <c r="E41" s="7" t="n">
        <v>40</v>
      </c>
      <c r="F41" s="7" t="inlineStr">
        <is>
          <t>Yes</t>
        </is>
      </c>
      <c r="G41" s="8" t="n"/>
    </row>
    <row r="42">
      <c r="A42" s="8" t="inlineStr">
        <is>
          <t>PGCV_001_0041</t>
        </is>
      </c>
      <c r="B42" s="8" t="inlineStr">
        <is>
          <t>COVID-SNL-22-5173</t>
        </is>
      </c>
      <c r="C42" s="8" t="inlineStr">
        <is>
          <t>09DSJ5S1NS</t>
        </is>
      </c>
      <c r="D42" s="7" t="n">
        <v>1</v>
      </c>
      <c r="E42" s="7" t="n">
        <v>41</v>
      </c>
      <c r="F42" s="7" t="inlineStr">
        <is>
          <t>Yes</t>
        </is>
      </c>
      <c r="G42" s="8" t="n"/>
    </row>
    <row r="43">
      <c r="A43" s="8" t="inlineStr">
        <is>
          <t>PGCV_001_0042</t>
        </is>
      </c>
      <c r="B43" s="8" t="inlineStr">
        <is>
          <t>COVID-SNL-22-5174</t>
        </is>
      </c>
      <c r="C43" s="8" t="inlineStr">
        <is>
          <t>DJOEPB6IKP</t>
        </is>
      </c>
      <c r="D43" s="7" t="n">
        <v>1</v>
      </c>
      <c r="E43" s="7" t="n">
        <v>42</v>
      </c>
      <c r="F43" s="7" t="inlineStr">
        <is>
          <t>No</t>
        </is>
      </c>
      <c r="G43" s="8" t="n"/>
    </row>
    <row r="44">
      <c r="A44" s="8" t="inlineStr">
        <is>
          <t>PGCV_001_0043</t>
        </is>
      </c>
      <c r="B44" s="8" t="inlineStr">
        <is>
          <t>COVID-SNL-22-5194</t>
        </is>
      </c>
      <c r="C44" s="8" t="inlineStr">
        <is>
          <t>D448PJODKI</t>
        </is>
      </c>
      <c r="D44" s="7" t="n">
        <v>1</v>
      </c>
      <c r="E44" s="7" t="n">
        <v>43</v>
      </c>
      <c r="F44" s="7" t="inlineStr">
        <is>
          <t>Yes</t>
        </is>
      </c>
      <c r="G44" s="8" t="n"/>
    </row>
    <row r="45">
      <c r="A45" s="8" t="inlineStr">
        <is>
          <t>PGCV_001_0044</t>
        </is>
      </c>
      <c r="B45" s="8" t="inlineStr">
        <is>
          <t>COVID-SNL-22-5200</t>
        </is>
      </c>
      <c r="C45" s="8" t="inlineStr">
        <is>
          <t>EJHOGUL0HH</t>
        </is>
      </c>
      <c r="D45" s="7" t="n">
        <v>1</v>
      </c>
      <c r="E45" s="7" t="n">
        <v>44</v>
      </c>
      <c r="F45" s="7" t="inlineStr">
        <is>
          <t>Yes</t>
        </is>
      </c>
      <c r="G45" s="8" t="n"/>
    </row>
    <row r="46">
      <c r="A46" s="8" t="inlineStr">
        <is>
          <t>PGCV_001_0046</t>
        </is>
      </c>
      <c r="B46" s="8" t="inlineStr">
        <is>
          <t>COVID-SNL-22-5214</t>
        </is>
      </c>
      <c r="C46" s="8" t="inlineStr">
        <is>
          <t>VQOFTLMWHO</t>
        </is>
      </c>
      <c r="D46" s="7" t="n">
        <v>1</v>
      </c>
      <c r="E46" s="7" t="n">
        <v>46</v>
      </c>
      <c r="F46" s="7" t="inlineStr">
        <is>
          <t>Yes</t>
        </is>
      </c>
      <c r="G46" s="8" t="n"/>
    </row>
    <row r="47">
      <c r="A47" s="8" t="inlineStr">
        <is>
          <t>PGCV_001_0047</t>
        </is>
      </c>
      <c r="B47" s="8" t="inlineStr">
        <is>
          <t>COVID-SNL-22-5232</t>
        </is>
      </c>
      <c r="C47" s="8" t="inlineStr">
        <is>
          <t>SYJ69WWRPQ</t>
        </is>
      </c>
      <c r="D47" s="7" t="n">
        <v>1</v>
      </c>
      <c r="E47" s="7" t="n">
        <v>47</v>
      </c>
      <c r="F47" s="7" t="inlineStr">
        <is>
          <t>Yes</t>
        </is>
      </c>
      <c r="G47" s="8" t="n"/>
    </row>
    <row r="48">
      <c r="A48" s="8" t="inlineStr">
        <is>
          <t>PGCV_001_0048</t>
        </is>
      </c>
      <c r="B48" s="8" t="inlineStr">
        <is>
          <t>COVID-SNL-22-5241</t>
        </is>
      </c>
      <c r="C48" s="8" t="inlineStr">
        <is>
          <t>I9LO1HI7CN</t>
        </is>
      </c>
      <c r="D48" s="7" t="n">
        <v>1</v>
      </c>
      <c r="E48" s="7" t="n">
        <v>48</v>
      </c>
      <c r="F48" s="7" t="inlineStr">
        <is>
          <t>Yes</t>
        </is>
      </c>
      <c r="G48" s="8" t="n"/>
    </row>
    <row r="49">
      <c r="A49" s="8" t="inlineStr">
        <is>
          <t>PGCV_001_0049</t>
        </is>
      </c>
      <c r="B49" s="8" t="inlineStr">
        <is>
          <t>COVID-SNL-22-5373</t>
        </is>
      </c>
      <c r="C49" s="8" t="inlineStr">
        <is>
          <t>RCP4FVW7CV</t>
        </is>
      </c>
      <c r="D49" s="7" t="n">
        <v>1</v>
      </c>
      <c r="E49" s="7" t="n">
        <v>49</v>
      </c>
      <c r="F49" s="7" t="inlineStr">
        <is>
          <t>Yes</t>
        </is>
      </c>
      <c r="G49" s="8" t="n"/>
    </row>
    <row r="50">
      <c r="A50" s="8" t="inlineStr">
        <is>
          <t>PGCV_001_0050</t>
        </is>
      </c>
      <c r="B50" s="8" t="inlineStr">
        <is>
          <t>COVID-SNL-22-5381</t>
        </is>
      </c>
      <c r="C50" s="8" t="inlineStr">
        <is>
          <t>JEMCC1ZT3W</t>
        </is>
      </c>
      <c r="D50" s="7" t="n">
        <v>1</v>
      </c>
      <c r="E50" s="7" t="n">
        <v>50</v>
      </c>
      <c r="F50" s="7" t="inlineStr">
        <is>
          <t>Yes</t>
        </is>
      </c>
      <c r="G50" s="8" t="n"/>
    </row>
    <row r="51">
      <c r="A51" s="8" t="inlineStr">
        <is>
          <t>PGCV_001_0051</t>
        </is>
      </c>
      <c r="B51" s="8" t="inlineStr">
        <is>
          <t>COVID-SNL-22-5428</t>
        </is>
      </c>
      <c r="C51" s="8" t="inlineStr">
        <is>
          <t>MTLDOUSDRT</t>
        </is>
      </c>
      <c r="D51" s="7" t="n">
        <v>1</v>
      </c>
      <c r="E51" s="7" t="n">
        <v>51</v>
      </c>
      <c r="F51" s="7" t="inlineStr">
        <is>
          <t>Yes</t>
        </is>
      </c>
      <c r="G51" s="8" t="n"/>
    </row>
    <row r="52">
      <c r="A52" s="8" t="inlineStr">
        <is>
          <t>PGCV_001_0052</t>
        </is>
      </c>
      <c r="B52" s="8" t="inlineStr">
        <is>
          <t>COVID-SNL-22-5436</t>
        </is>
      </c>
      <c r="C52" s="8" t="inlineStr">
        <is>
          <t>VMJIDAOQGH</t>
        </is>
      </c>
      <c r="D52" s="7" t="n">
        <v>1</v>
      </c>
      <c r="E52" s="7" t="n">
        <v>52</v>
      </c>
      <c r="F52" s="7" t="inlineStr">
        <is>
          <t>Yes</t>
        </is>
      </c>
      <c r="G52" s="8" t="n"/>
    </row>
    <row r="53">
      <c r="A53" s="8" t="inlineStr">
        <is>
          <t>PGCV_001_0053</t>
        </is>
      </c>
      <c r="B53" s="8" t="inlineStr">
        <is>
          <t>COVID-SNL-22-5442</t>
        </is>
      </c>
      <c r="C53" s="8" t="inlineStr">
        <is>
          <t>DOGINCDGLL</t>
        </is>
      </c>
      <c r="D53" s="7" t="n">
        <v>1</v>
      </c>
      <c r="E53" s="7" t="n">
        <v>53</v>
      </c>
      <c r="F53" s="7" t="inlineStr">
        <is>
          <t>Yes</t>
        </is>
      </c>
      <c r="G53" s="8" t="n"/>
    </row>
    <row r="54">
      <c r="A54" s="8" t="inlineStr">
        <is>
          <t>PGCV_001_0054</t>
        </is>
      </c>
      <c r="B54" s="8" t="inlineStr">
        <is>
          <t>COVID-SNL-22-5451</t>
        </is>
      </c>
      <c r="C54" s="8" t="inlineStr">
        <is>
          <t>C3STYBPAF8</t>
        </is>
      </c>
      <c r="D54" s="7" t="n">
        <v>1</v>
      </c>
      <c r="E54" s="7" t="n">
        <v>54</v>
      </c>
      <c r="F54" s="7" t="inlineStr">
        <is>
          <t>Yes</t>
        </is>
      </c>
      <c r="G54" s="8" t="n"/>
    </row>
    <row r="55">
      <c r="A55" s="8" t="inlineStr">
        <is>
          <t>PGCV_001_0055</t>
        </is>
      </c>
      <c r="B55" s="8" t="inlineStr">
        <is>
          <t>COVID-SNL-22-5465</t>
        </is>
      </c>
      <c r="C55" s="8" t="inlineStr">
        <is>
          <t>URCTREYBSR</t>
        </is>
      </c>
      <c r="D55" s="7" t="n">
        <v>1</v>
      </c>
      <c r="E55" s="7" t="n">
        <v>55</v>
      </c>
      <c r="F55" s="7" t="inlineStr">
        <is>
          <t>No</t>
        </is>
      </c>
      <c r="G55" s="8" t="n"/>
    </row>
    <row r="56">
      <c r="A56" s="8" t="inlineStr">
        <is>
          <t>PGCV_001_0056</t>
        </is>
      </c>
      <c r="B56" s="8" t="inlineStr">
        <is>
          <t>COVID-SNL-22-5474</t>
        </is>
      </c>
      <c r="C56" s="8" t="inlineStr">
        <is>
          <t>U7NM0WUVQG</t>
        </is>
      </c>
      <c r="D56" s="7" t="n">
        <v>1</v>
      </c>
      <c r="E56" s="7" t="n">
        <v>56</v>
      </c>
      <c r="F56" s="7" t="inlineStr">
        <is>
          <t>Yes</t>
        </is>
      </c>
      <c r="G56" s="8" t="n"/>
    </row>
    <row r="57">
      <c r="A57" s="8" t="inlineStr">
        <is>
          <t>PGCV_001_0057</t>
        </is>
      </c>
      <c r="B57" s="8" t="inlineStr">
        <is>
          <t>COVID-SNL-22-5476</t>
        </is>
      </c>
      <c r="C57" s="8" t="inlineStr">
        <is>
          <t>1XHHAJIGP3</t>
        </is>
      </c>
      <c r="D57" s="7" t="n">
        <v>1</v>
      </c>
      <c r="E57" s="7" t="n">
        <v>57</v>
      </c>
      <c r="F57" s="7" t="inlineStr">
        <is>
          <t>Yes</t>
        </is>
      </c>
      <c r="G57" s="8" t="n"/>
    </row>
    <row r="58">
      <c r="A58" s="8" t="inlineStr">
        <is>
          <t>PGCV_001_0058</t>
        </is>
      </c>
      <c r="B58" s="8" t="inlineStr">
        <is>
          <t>COVID-SNL-22-5486</t>
        </is>
      </c>
      <c r="C58" s="8" t="inlineStr">
        <is>
          <t>B5ZABJXGEO</t>
        </is>
      </c>
      <c r="D58" s="7" t="n">
        <v>1</v>
      </c>
      <c r="E58" s="7" t="n">
        <v>58</v>
      </c>
      <c r="F58" s="7" t="inlineStr">
        <is>
          <t>Yes</t>
        </is>
      </c>
      <c r="G58" s="8" t="n"/>
    </row>
    <row r="59">
      <c r="A59" s="8" t="inlineStr">
        <is>
          <t>PGCV_001_0059</t>
        </is>
      </c>
      <c r="B59" s="8" t="inlineStr">
        <is>
          <t>COVID-SNL-22-5492</t>
        </is>
      </c>
      <c r="C59" s="8" t="inlineStr">
        <is>
          <t>APBYIESEIG</t>
        </is>
      </c>
      <c r="D59" s="7" t="n">
        <v>1</v>
      </c>
      <c r="E59" s="7" t="n">
        <v>59</v>
      </c>
      <c r="F59" s="7" t="inlineStr">
        <is>
          <t>Yes</t>
        </is>
      </c>
      <c r="G59" s="8" t="n"/>
    </row>
    <row r="60">
      <c r="A60" s="8" t="inlineStr">
        <is>
          <t>PGCV_001_0060</t>
        </is>
      </c>
      <c r="B60" s="8" t="inlineStr">
        <is>
          <t>COVID-SNL-22-5498</t>
        </is>
      </c>
      <c r="C60" s="8" t="inlineStr">
        <is>
          <t>TH3NM0MHUF</t>
        </is>
      </c>
      <c r="D60" s="7" t="n">
        <v>1</v>
      </c>
      <c r="E60" s="7" t="n">
        <v>60</v>
      </c>
      <c r="F60" s="7" t="inlineStr">
        <is>
          <t>Yes</t>
        </is>
      </c>
      <c r="G60" s="8" t="n"/>
    </row>
    <row r="61">
      <c r="A61" s="8" t="inlineStr">
        <is>
          <t>PGCV_001_0061</t>
        </is>
      </c>
      <c r="B61" s="8" t="inlineStr">
        <is>
          <t>COVID-SNL-22-5512</t>
        </is>
      </c>
      <c r="C61" s="8" t="inlineStr">
        <is>
          <t>ACNOHWLJED</t>
        </is>
      </c>
      <c r="D61" s="7" t="n">
        <v>1</v>
      </c>
      <c r="E61" s="7" t="n">
        <v>61</v>
      </c>
      <c r="F61" s="7" t="inlineStr">
        <is>
          <t>Yes</t>
        </is>
      </c>
      <c r="G61" s="8" t="n"/>
    </row>
    <row r="62">
      <c r="A62" s="8" t="inlineStr">
        <is>
          <t>PGCV_001_0062</t>
        </is>
      </c>
      <c r="B62" s="8" t="inlineStr">
        <is>
          <t>COVID-SNL-22-5513</t>
        </is>
      </c>
      <c r="C62" s="8" t="inlineStr">
        <is>
          <t>X2CWJXJSBV</t>
        </is>
      </c>
      <c r="D62" s="7" t="n">
        <v>1</v>
      </c>
      <c r="E62" s="7" t="n">
        <v>62</v>
      </c>
      <c r="F62" s="7" t="inlineStr">
        <is>
          <t>Yes</t>
        </is>
      </c>
      <c r="G62" s="8" t="n"/>
    </row>
    <row r="63">
      <c r="A63" s="8" t="inlineStr">
        <is>
          <t>PGCV_001_0063</t>
        </is>
      </c>
      <c r="B63" s="8" t="inlineStr">
        <is>
          <t>COVID-SNL-22-5408</t>
        </is>
      </c>
      <c r="C63" s="8" t="inlineStr">
        <is>
          <t>R75J8RD1XF</t>
        </is>
      </c>
      <c r="D63" s="7" t="n">
        <v>1</v>
      </c>
      <c r="E63" s="7" t="n">
        <v>63</v>
      </c>
      <c r="F63" s="7" t="inlineStr">
        <is>
          <t>Yes</t>
        </is>
      </c>
      <c r="G63" s="8" t="n"/>
    </row>
    <row r="64">
      <c r="A64" s="8" t="inlineStr">
        <is>
          <t>PGCV_001_0064</t>
        </is>
      </c>
      <c r="B64" s="8" t="inlineStr">
        <is>
          <t>COVID-SNL-22-5418</t>
        </is>
      </c>
      <c r="C64" s="8" t="inlineStr">
        <is>
          <t>9ZJOO00IUL</t>
        </is>
      </c>
      <c r="D64" s="7" t="n">
        <v>1</v>
      </c>
      <c r="E64" s="7" t="n">
        <v>64</v>
      </c>
      <c r="F64" s="7" t="inlineStr">
        <is>
          <t>Yes</t>
        </is>
      </c>
      <c r="G64" s="8" t="n"/>
    </row>
    <row r="65">
      <c r="A65" s="8" t="inlineStr">
        <is>
          <t>PGCV_001_0065</t>
        </is>
      </c>
      <c r="B65" s="8" t="inlineStr">
        <is>
          <t>COVID-SNL-22-5424</t>
        </is>
      </c>
      <c r="C65" s="8" t="inlineStr">
        <is>
          <t>EOLGS17J1I</t>
        </is>
      </c>
      <c r="D65" s="7" t="n">
        <v>1</v>
      </c>
      <c r="E65" s="7" t="n">
        <v>65</v>
      </c>
      <c r="F65" s="7" t="inlineStr">
        <is>
          <t>Yes</t>
        </is>
      </c>
      <c r="G65" s="8" t="n"/>
    </row>
    <row r="66">
      <c r="A66" s="8" t="inlineStr">
        <is>
          <t>PGCV_001_0066</t>
        </is>
      </c>
      <c r="B66" s="8" t="inlineStr">
        <is>
          <t>COVID-SNL-22-5521</t>
        </is>
      </c>
      <c r="C66" s="8" t="inlineStr">
        <is>
          <t>TCJPSATILJ</t>
        </is>
      </c>
      <c r="D66" s="7" t="n">
        <v>1</v>
      </c>
      <c r="E66" s="7" t="n">
        <v>66</v>
      </c>
      <c r="F66" s="7" t="inlineStr">
        <is>
          <t>Yes</t>
        </is>
      </c>
      <c r="G66" s="8" t="n"/>
    </row>
    <row r="67">
      <c r="A67" s="8" t="inlineStr">
        <is>
          <t>PGCV_001_0067</t>
        </is>
      </c>
      <c r="B67" s="8" t="inlineStr">
        <is>
          <t>COVID-SNL-22-5544</t>
        </is>
      </c>
      <c r="C67" s="8" t="inlineStr">
        <is>
          <t>TVWRLHOO6G</t>
        </is>
      </c>
      <c r="D67" s="7" t="n">
        <v>1</v>
      </c>
      <c r="E67" s="7" t="n">
        <v>67</v>
      </c>
      <c r="F67" s="7" t="inlineStr">
        <is>
          <t>Yes</t>
        </is>
      </c>
      <c r="G67" s="8" t="n"/>
    </row>
    <row r="68">
      <c r="A68" s="8" t="inlineStr">
        <is>
          <t>PGCV_001_0068</t>
        </is>
      </c>
      <c r="B68" s="8" t="inlineStr">
        <is>
          <t>COVID-SNL-22-5547</t>
        </is>
      </c>
      <c r="C68" s="8" t="inlineStr">
        <is>
          <t>SO2NJEAB7O</t>
        </is>
      </c>
      <c r="D68" s="7" t="n">
        <v>1</v>
      </c>
      <c r="E68" s="7" t="n">
        <v>68</v>
      </c>
      <c r="F68" s="7" t="inlineStr">
        <is>
          <t>Yes</t>
        </is>
      </c>
      <c r="G68" s="8" t="n"/>
    </row>
    <row r="69">
      <c r="A69" s="8" t="inlineStr">
        <is>
          <t>PGCV_001_0069</t>
        </is>
      </c>
      <c r="B69" s="8" t="inlineStr">
        <is>
          <t>COVID-SNL-22-5555</t>
        </is>
      </c>
      <c r="C69" s="8" t="inlineStr">
        <is>
          <t>6ISFER2AIC</t>
        </is>
      </c>
      <c r="D69" s="7" t="n">
        <v>1</v>
      </c>
      <c r="E69" s="7" t="n">
        <v>69</v>
      </c>
      <c r="F69" s="7" t="inlineStr">
        <is>
          <t>Yes</t>
        </is>
      </c>
      <c r="G69" s="8" t="n"/>
    </row>
    <row r="70">
      <c r="A70" s="8" t="inlineStr">
        <is>
          <t>PGCV_001_0070</t>
        </is>
      </c>
      <c r="B70" s="8" t="inlineStr">
        <is>
          <t>COVID-SNL-22-5571</t>
        </is>
      </c>
      <c r="C70" s="8" t="inlineStr">
        <is>
          <t>ALO7LAVWWP</t>
        </is>
      </c>
      <c r="D70" s="7" t="n">
        <v>1</v>
      </c>
      <c r="E70" s="7" t="n">
        <v>70</v>
      </c>
      <c r="F70" s="7" t="inlineStr">
        <is>
          <t>Yes</t>
        </is>
      </c>
      <c r="G70" s="8" t="n"/>
    </row>
    <row r="71">
      <c r="A71" s="8" t="inlineStr">
        <is>
          <t>PGCV_001_0071</t>
        </is>
      </c>
      <c r="B71" s="8" t="inlineStr">
        <is>
          <t>COVID-SNL-22-5608</t>
        </is>
      </c>
      <c r="C71" s="8" t="inlineStr">
        <is>
          <t>OLFYJXFTZP</t>
        </is>
      </c>
      <c r="D71" s="7" t="n">
        <v>1</v>
      </c>
      <c r="E71" s="7" t="n">
        <v>71</v>
      </c>
      <c r="F71" s="7" t="inlineStr">
        <is>
          <t>Yes</t>
        </is>
      </c>
      <c r="G71" s="8" t="n"/>
    </row>
    <row r="72">
      <c r="A72" s="8" t="inlineStr">
        <is>
          <t>PGCV_001_0072</t>
        </is>
      </c>
      <c r="B72" s="8" t="inlineStr">
        <is>
          <t>COVID-SNL-22-5695</t>
        </is>
      </c>
      <c r="C72" s="8" t="inlineStr">
        <is>
          <t>GYTN6ZOIJ5</t>
        </is>
      </c>
      <c r="D72" s="7" t="n">
        <v>1</v>
      </c>
      <c r="E72" s="7" t="n">
        <v>72</v>
      </c>
      <c r="F72" s="7" t="inlineStr">
        <is>
          <t>Yes</t>
        </is>
      </c>
      <c r="G72" s="8" t="n"/>
    </row>
    <row r="73">
      <c r="A73" s="8" t="inlineStr">
        <is>
          <t>PGCV_001_0073</t>
        </is>
      </c>
      <c r="B73" s="8" t="inlineStr">
        <is>
          <t>COVID-SNL-22-5696</t>
        </is>
      </c>
      <c r="C73" s="8" t="inlineStr">
        <is>
          <t>NR4ML0KPWI</t>
        </is>
      </c>
      <c r="D73" s="7" t="n">
        <v>1</v>
      </c>
      <c r="E73" s="7" t="n">
        <v>73</v>
      </c>
      <c r="F73" s="7" t="inlineStr">
        <is>
          <t>Yes</t>
        </is>
      </c>
      <c r="G73" s="8" t="n"/>
    </row>
    <row r="74">
      <c r="A74" s="8" t="inlineStr">
        <is>
          <t>PGCV_001_0074</t>
        </is>
      </c>
      <c r="B74" s="8" t="inlineStr">
        <is>
          <t>COVID-SNL-22-5710</t>
        </is>
      </c>
      <c r="C74" s="8" t="inlineStr">
        <is>
          <t>2CCAAWPFQA</t>
        </is>
      </c>
      <c r="D74" s="7" t="n">
        <v>1</v>
      </c>
      <c r="E74" s="7" t="n">
        <v>74</v>
      </c>
      <c r="F74" s="7" t="inlineStr">
        <is>
          <t>Yes</t>
        </is>
      </c>
      <c r="G74" s="8" t="n"/>
    </row>
    <row r="75">
      <c r="A75" s="8" t="inlineStr">
        <is>
          <t>PGCV_001_0075</t>
        </is>
      </c>
      <c r="B75" s="8" t="inlineStr">
        <is>
          <t>COVID-SNL-22-5741</t>
        </is>
      </c>
      <c r="C75" s="8" t="inlineStr">
        <is>
          <t>VP8JB1SGBW</t>
        </is>
      </c>
      <c r="D75" s="7" t="n">
        <v>1</v>
      </c>
      <c r="E75" s="7" t="n">
        <v>75</v>
      </c>
      <c r="F75" s="7" t="inlineStr">
        <is>
          <t>Yes</t>
        </is>
      </c>
      <c r="G75" s="8" t="n"/>
    </row>
    <row r="76">
      <c r="A76" s="8" t="inlineStr">
        <is>
          <t>PGCV_001_0076</t>
        </is>
      </c>
      <c r="B76" s="8" t="inlineStr">
        <is>
          <t>COVID-SNL-22-5742</t>
        </is>
      </c>
      <c r="C76" s="8" t="inlineStr">
        <is>
          <t>0EVVVA9FKK</t>
        </is>
      </c>
      <c r="D76" s="7" t="n">
        <v>1</v>
      </c>
      <c r="E76" s="7" t="n">
        <v>76</v>
      </c>
      <c r="F76" s="7" t="inlineStr">
        <is>
          <t>Yes</t>
        </is>
      </c>
      <c r="G76" s="8" t="n"/>
    </row>
    <row r="77">
      <c r="A77" s="8" t="inlineStr">
        <is>
          <t>PGCV_001_0077</t>
        </is>
      </c>
      <c r="B77" s="8" t="inlineStr">
        <is>
          <t>COVID-SNL-22-5751</t>
        </is>
      </c>
      <c r="C77" s="8" t="inlineStr">
        <is>
          <t>SORSLJNWDE</t>
        </is>
      </c>
      <c r="D77" s="7" t="n">
        <v>1</v>
      </c>
      <c r="E77" s="7" t="n">
        <v>77</v>
      </c>
      <c r="F77" s="7" t="inlineStr">
        <is>
          <t>Yes</t>
        </is>
      </c>
      <c r="G77" s="8" t="n"/>
    </row>
    <row r="78">
      <c r="A78" s="8" t="inlineStr">
        <is>
          <t>PGCV_001_0078</t>
        </is>
      </c>
      <c r="B78" s="8" t="inlineStr">
        <is>
          <t>COVID-SNL-22-5763</t>
        </is>
      </c>
      <c r="C78" s="8" t="inlineStr">
        <is>
          <t>LR7JUQYMQ0</t>
        </is>
      </c>
      <c r="D78" s="7" t="n">
        <v>1</v>
      </c>
      <c r="E78" s="7" t="n">
        <v>78</v>
      </c>
      <c r="F78" s="7" t="inlineStr">
        <is>
          <t>Yes</t>
        </is>
      </c>
      <c r="G78" s="8" t="n"/>
    </row>
    <row r="79">
      <c r="A79" s="8" t="inlineStr">
        <is>
          <t>PGCV_001_0079</t>
        </is>
      </c>
      <c r="B79" s="8" t="inlineStr">
        <is>
          <t>COVID-SNL-22-5771</t>
        </is>
      </c>
      <c r="C79" s="8" t="inlineStr">
        <is>
          <t>WHYZ724WH1</t>
        </is>
      </c>
      <c r="D79" s="7" t="n">
        <v>1</v>
      </c>
      <c r="E79" s="7" t="n">
        <v>79</v>
      </c>
      <c r="F79" s="7" t="inlineStr">
        <is>
          <t>Yes</t>
        </is>
      </c>
      <c r="G79" s="8" t="n"/>
    </row>
    <row r="80">
      <c r="A80" s="8" t="inlineStr">
        <is>
          <t>PGCV_001_0080</t>
        </is>
      </c>
      <c r="B80" s="8" t="inlineStr">
        <is>
          <t>COVID-SNL-22-5804</t>
        </is>
      </c>
      <c r="C80" s="8" t="inlineStr">
        <is>
          <t>4TZXKVNSQ3</t>
        </is>
      </c>
      <c r="D80" s="7" t="n">
        <v>1</v>
      </c>
      <c r="E80" s="7" t="n">
        <v>80</v>
      </c>
      <c r="F80" s="7" t="inlineStr">
        <is>
          <t>Yes</t>
        </is>
      </c>
      <c r="G80" s="8" t="n"/>
    </row>
    <row r="81">
      <c r="A81" s="8" t="inlineStr">
        <is>
          <t>PGCV_001_0081</t>
        </is>
      </c>
      <c r="B81" s="8" t="inlineStr">
        <is>
          <t>COVID-SNL-22-5806</t>
        </is>
      </c>
      <c r="C81" s="8" t="inlineStr">
        <is>
          <t>PV69JMEI2K</t>
        </is>
      </c>
      <c r="D81" s="7" t="n">
        <v>1</v>
      </c>
      <c r="E81" s="7" t="n">
        <v>81</v>
      </c>
      <c r="F81" s="7" t="inlineStr">
        <is>
          <t>Yes</t>
        </is>
      </c>
      <c r="G81" s="8" t="n"/>
    </row>
    <row r="82">
      <c r="A82" s="8" t="inlineStr">
        <is>
          <t>PGCV_001_0082</t>
        </is>
      </c>
      <c r="B82" s="8" t="inlineStr">
        <is>
          <t>COVID-SNL-22-5813</t>
        </is>
      </c>
      <c r="C82" s="8" t="inlineStr">
        <is>
          <t>M1VCJ0EWVU</t>
        </is>
      </c>
      <c r="D82" s="7" t="n">
        <v>1</v>
      </c>
      <c r="E82" s="7" t="n">
        <v>82</v>
      </c>
      <c r="F82" s="7" t="inlineStr">
        <is>
          <t>Yes</t>
        </is>
      </c>
      <c r="G82" s="8" t="n"/>
    </row>
    <row r="83">
      <c r="A83" s="8" t="inlineStr">
        <is>
          <t>PGCV_001_0083</t>
        </is>
      </c>
      <c r="B83" s="8" t="inlineStr">
        <is>
          <t>COVID-SNL-22-5817</t>
        </is>
      </c>
      <c r="C83" s="8" t="inlineStr">
        <is>
          <t>GQFNIDIJHD</t>
        </is>
      </c>
      <c r="D83" s="7" t="n">
        <v>1</v>
      </c>
      <c r="E83" s="7" t="n">
        <v>83</v>
      </c>
      <c r="F83" s="7" t="inlineStr">
        <is>
          <t>Yes</t>
        </is>
      </c>
      <c r="G83" s="8" t="n"/>
    </row>
    <row r="84">
      <c r="A84" s="8" t="inlineStr">
        <is>
          <t>PGCV_001_0084</t>
        </is>
      </c>
      <c r="B84" s="8" t="inlineStr">
        <is>
          <t>COVID-SNL-22-5845</t>
        </is>
      </c>
      <c r="C84" s="8" t="inlineStr">
        <is>
          <t>CR0ETN0J9B</t>
        </is>
      </c>
      <c r="D84" s="7" t="n">
        <v>1</v>
      </c>
      <c r="E84" s="7" t="n">
        <v>84</v>
      </c>
      <c r="F84" s="7" t="inlineStr">
        <is>
          <t>Yes</t>
        </is>
      </c>
      <c r="G84" s="8" t="n"/>
    </row>
    <row r="85">
      <c r="A85" s="8" t="inlineStr">
        <is>
          <t>PGCV_001_0085</t>
        </is>
      </c>
      <c r="B85" s="8" t="inlineStr">
        <is>
          <t>COVID-SNL-22-5847</t>
        </is>
      </c>
      <c r="C85" s="8" t="inlineStr">
        <is>
          <t>IQSTXLFBXI</t>
        </is>
      </c>
      <c r="D85" s="7" t="n">
        <v>1</v>
      </c>
      <c r="E85" s="7" t="n">
        <v>85</v>
      </c>
      <c r="F85" s="7" t="inlineStr">
        <is>
          <t>Yes</t>
        </is>
      </c>
      <c r="G85" s="8" t="n"/>
    </row>
    <row r="86">
      <c r="A86" s="8" t="inlineStr">
        <is>
          <t>PGCV_001_0086</t>
        </is>
      </c>
      <c r="B86" s="8" t="inlineStr">
        <is>
          <t>COVID-SNL-22-5849</t>
        </is>
      </c>
      <c r="C86" s="8" t="inlineStr">
        <is>
          <t>70P5OHOKHJ</t>
        </is>
      </c>
      <c r="D86" s="7" t="n">
        <v>1</v>
      </c>
      <c r="E86" s="7" t="n">
        <v>86</v>
      </c>
      <c r="F86" s="7" t="inlineStr">
        <is>
          <t>No</t>
        </is>
      </c>
      <c r="G86" s="8" t="n"/>
    </row>
    <row r="87">
      <c r="A87" s="8" t="inlineStr">
        <is>
          <t>PGCV_001_0087</t>
        </is>
      </c>
      <c r="B87" s="8" t="inlineStr">
        <is>
          <t>COVID-SNL-22-5863</t>
        </is>
      </c>
      <c r="C87" s="8" t="inlineStr">
        <is>
          <t>LVPKL7THVR</t>
        </is>
      </c>
      <c r="D87" s="7" t="n">
        <v>1</v>
      </c>
      <c r="E87" s="7" t="n">
        <v>87</v>
      </c>
      <c r="F87" s="7" t="inlineStr">
        <is>
          <t>Yes</t>
        </is>
      </c>
      <c r="G87" s="8" t="n"/>
    </row>
    <row r="88">
      <c r="A88" s="8" t="inlineStr">
        <is>
          <t>PGCV_001_0088</t>
        </is>
      </c>
      <c r="B88" s="8" t="inlineStr">
        <is>
          <t>COVID-SNL-22-5864</t>
        </is>
      </c>
      <c r="C88" s="8" t="inlineStr">
        <is>
          <t>3HS54JBXGB</t>
        </is>
      </c>
      <c r="D88" s="7" t="n">
        <v>1</v>
      </c>
      <c r="E88" s="7" t="n">
        <v>88</v>
      </c>
      <c r="F88" s="7" t="inlineStr">
        <is>
          <t>Yes</t>
        </is>
      </c>
      <c r="G88" s="8" t="n"/>
    </row>
    <row r="89">
      <c r="A89" s="8" t="inlineStr">
        <is>
          <t>PGCV_001_0089</t>
        </is>
      </c>
      <c r="B89" s="8" t="inlineStr">
        <is>
          <t>COVID-SNL-22-5869</t>
        </is>
      </c>
      <c r="C89" s="8" t="inlineStr">
        <is>
          <t>DJJSUPGMUU</t>
        </is>
      </c>
      <c r="D89" s="7" t="n">
        <v>1</v>
      </c>
      <c r="E89" s="7" t="n">
        <v>89</v>
      </c>
      <c r="F89" s="7" t="inlineStr">
        <is>
          <t>Yes</t>
        </is>
      </c>
      <c r="G89" s="8" t="n"/>
    </row>
    <row r="90">
      <c r="A90" s="8" t="inlineStr">
        <is>
          <t>PGCV_001_0090</t>
        </is>
      </c>
      <c r="B90" s="8" t="inlineStr">
        <is>
          <t>COVID-SNL-22-5874</t>
        </is>
      </c>
      <c r="C90" s="8" t="inlineStr">
        <is>
          <t>PRAUU1QDOQ</t>
        </is>
      </c>
      <c r="D90" s="7" t="n">
        <v>1</v>
      </c>
      <c r="E90" s="7" t="n">
        <v>90</v>
      </c>
      <c r="F90" s="7" t="inlineStr">
        <is>
          <t>Yes</t>
        </is>
      </c>
      <c r="G90" s="8" t="n"/>
    </row>
    <row r="91">
      <c r="A91" s="8" t="inlineStr">
        <is>
          <t>PGCV_001_0091</t>
        </is>
      </c>
      <c r="B91" s="8" t="inlineStr">
        <is>
          <t>COVID-SNL-22-5893</t>
        </is>
      </c>
      <c r="C91" s="8" t="inlineStr">
        <is>
          <t>SITXFVIS2W</t>
        </is>
      </c>
      <c r="D91" s="7" t="n">
        <v>1</v>
      </c>
      <c r="E91" s="7" t="n">
        <v>91</v>
      </c>
      <c r="F91" s="7" t="inlineStr">
        <is>
          <t>Yes</t>
        </is>
      </c>
      <c r="G91" s="8" t="n"/>
    </row>
    <row r="92">
      <c r="A92" s="8" t="inlineStr">
        <is>
          <t>PGCV_001_0092</t>
        </is>
      </c>
      <c r="B92" s="8" t="inlineStr">
        <is>
          <t>COVID-SNL-22-5925</t>
        </is>
      </c>
      <c r="C92" s="8" t="inlineStr">
        <is>
          <t>FMKNZS2F7H</t>
        </is>
      </c>
      <c r="D92" s="7" t="n">
        <v>1</v>
      </c>
      <c r="E92" s="7" t="n">
        <v>92</v>
      </c>
      <c r="F92" s="7" t="inlineStr">
        <is>
          <t>Yes</t>
        </is>
      </c>
      <c r="G92" s="8" t="n"/>
    </row>
    <row r="93">
      <c r="A93" s="8" t="inlineStr">
        <is>
          <t>PGCV_001_0093</t>
        </is>
      </c>
      <c r="B93" s="8" t="inlineStr">
        <is>
          <t>COVID-SNL-22-5928</t>
        </is>
      </c>
      <c r="C93" s="8" t="inlineStr">
        <is>
          <t>XKE8ENQMC0</t>
        </is>
      </c>
      <c r="D93" s="7" t="n">
        <v>1</v>
      </c>
      <c r="E93" s="7" t="n">
        <v>93</v>
      </c>
      <c r="F93" s="7" t="inlineStr">
        <is>
          <t>Yes</t>
        </is>
      </c>
      <c r="G93" s="8" t="n"/>
    </row>
    <row r="94">
      <c r="A94" s="8" t="inlineStr">
        <is>
          <t>PGCV_001_0094</t>
        </is>
      </c>
      <c r="B94" s="8" t="inlineStr">
        <is>
          <t>COVID-SNL-22-5945</t>
        </is>
      </c>
      <c r="C94" s="8" t="inlineStr">
        <is>
          <t>0SSPDVTWS2</t>
        </is>
      </c>
      <c r="D94" s="7" t="n">
        <v>1</v>
      </c>
      <c r="E94" s="7" t="n">
        <v>94</v>
      </c>
      <c r="F94" s="7" t="inlineStr">
        <is>
          <t>Yes</t>
        </is>
      </c>
      <c r="G94" s="8" t="n"/>
    </row>
    <row r="95">
      <c r="A95" s="8" t="inlineStr">
        <is>
          <t>PGCV_004_0095</t>
        </is>
      </c>
      <c r="B95" s="8" t="inlineStr">
        <is>
          <t>COVID-SNL-22-5968</t>
        </is>
      </c>
      <c r="C95" s="8" t="inlineStr">
        <is>
          <t>EKURYFDHSS</t>
        </is>
      </c>
      <c r="D95" s="7" t="n">
        <v>4</v>
      </c>
      <c r="E95" s="7" t="n">
        <v>95</v>
      </c>
      <c r="F95" s="7" t="inlineStr">
        <is>
          <t>Yes</t>
        </is>
      </c>
      <c r="G95" s="8" t="n"/>
    </row>
    <row r="96">
      <c r="A96" s="8" t="inlineStr">
        <is>
          <t>PGCV_004_0096</t>
        </is>
      </c>
      <c r="B96" s="8" t="inlineStr">
        <is>
          <t>COVID-SNL-22-5980</t>
        </is>
      </c>
      <c r="C96" s="8" t="inlineStr">
        <is>
          <t>FML1LWRLTK</t>
        </is>
      </c>
      <c r="D96" s="7" t="n">
        <v>4</v>
      </c>
      <c r="E96" s="7" t="n">
        <v>96</v>
      </c>
      <c r="F96" s="7" t="inlineStr">
        <is>
          <t>Yes</t>
        </is>
      </c>
      <c r="G96" s="8" t="n"/>
    </row>
    <row r="97">
      <c r="A97" s="8" t="inlineStr">
        <is>
          <t>PGCV_004_0097</t>
        </is>
      </c>
      <c r="B97" s="8" t="inlineStr">
        <is>
          <t>COVID-SNL-22-5981</t>
        </is>
      </c>
      <c r="C97" s="8" t="inlineStr">
        <is>
          <t>GYSRZXWKF6</t>
        </is>
      </c>
      <c r="D97" s="7" t="n">
        <v>4</v>
      </c>
      <c r="E97" s="7" t="n">
        <v>97</v>
      </c>
      <c r="F97" s="7" t="inlineStr">
        <is>
          <t>Yes</t>
        </is>
      </c>
      <c r="G97" s="8" t="n"/>
    </row>
    <row r="98">
      <c r="A98" s="8" t="inlineStr">
        <is>
          <t>PGCV_004_0098</t>
        </is>
      </c>
      <c r="B98" s="8" t="inlineStr">
        <is>
          <t>COVID-SNL-22-6010</t>
        </is>
      </c>
      <c r="C98" s="8" t="inlineStr">
        <is>
          <t>I8VIQDTJ6L</t>
        </is>
      </c>
      <c r="D98" s="7" t="n">
        <v>4</v>
      </c>
      <c r="E98" s="7" t="n">
        <v>98</v>
      </c>
      <c r="F98" s="7" t="inlineStr">
        <is>
          <t>Yes</t>
        </is>
      </c>
      <c r="G98" s="8" t="n"/>
    </row>
    <row r="99">
      <c r="A99" s="8" t="inlineStr">
        <is>
          <t>PGCV_004_0099</t>
        </is>
      </c>
      <c r="B99" s="8" t="inlineStr">
        <is>
          <t>COVID-SNL-22-6015</t>
        </is>
      </c>
      <c r="C99" s="8" t="inlineStr">
        <is>
          <t>WUSZTG9FHU</t>
        </is>
      </c>
      <c r="D99" s="7" t="n">
        <v>4</v>
      </c>
      <c r="E99" s="7" t="n">
        <v>99</v>
      </c>
      <c r="F99" s="7" t="inlineStr">
        <is>
          <t>Yes</t>
        </is>
      </c>
      <c r="G99" s="8" t="n"/>
    </row>
    <row r="100">
      <c r="A100" s="8" t="inlineStr">
        <is>
          <t>PGCV_004_0100</t>
        </is>
      </c>
      <c r="B100" s="8" t="inlineStr">
        <is>
          <t>COVID-SNL-22-18822</t>
        </is>
      </c>
      <c r="C100" s="8" t="inlineStr">
        <is>
          <t>WNFK2PZEP5</t>
        </is>
      </c>
      <c r="D100" s="7" t="n">
        <v>4</v>
      </c>
      <c r="E100" s="7" t="n">
        <v>100</v>
      </c>
      <c r="F100" s="7" t="inlineStr">
        <is>
          <t>Yes</t>
        </is>
      </c>
      <c r="G100" s="8" t="n"/>
    </row>
    <row r="101">
      <c r="A101" s="8" t="inlineStr">
        <is>
          <t>PGCV_004_0101</t>
        </is>
      </c>
      <c r="B101" s="8" t="inlineStr">
        <is>
          <t>COVID-SNL-22-18823</t>
        </is>
      </c>
      <c r="C101" s="8" t="inlineStr">
        <is>
          <t>NMODHDZREX</t>
        </is>
      </c>
      <c r="D101" s="7" t="n">
        <v>4</v>
      </c>
      <c r="E101" s="7" t="n">
        <v>101</v>
      </c>
      <c r="F101" s="7" t="inlineStr">
        <is>
          <t>Yes</t>
        </is>
      </c>
      <c r="G101" s="8" t="n"/>
    </row>
    <row r="102">
      <c r="A102" s="8" t="inlineStr">
        <is>
          <t>PGCV_004_0102</t>
        </is>
      </c>
      <c r="B102" s="8" t="inlineStr">
        <is>
          <t>COVID-SNL-22-20553</t>
        </is>
      </c>
      <c r="C102" s="8" t="inlineStr">
        <is>
          <t>ZXZYDGE53J</t>
        </is>
      </c>
      <c r="D102" s="7" t="n">
        <v>4</v>
      </c>
      <c r="E102" s="7" t="n">
        <v>102</v>
      </c>
      <c r="F102" s="7" t="inlineStr">
        <is>
          <t>Yes</t>
        </is>
      </c>
      <c r="G102" s="8" t="n"/>
    </row>
    <row r="103">
      <c r="A103" s="8" t="inlineStr">
        <is>
          <t>PGCV_004_0103</t>
        </is>
      </c>
      <c r="B103" s="8" t="inlineStr">
        <is>
          <t>COVID-SNL-22-18742</t>
        </is>
      </c>
      <c r="C103" s="8" t="inlineStr">
        <is>
          <t>9ZL6WFQSOG</t>
        </is>
      </c>
      <c r="D103" s="7" t="n">
        <v>4</v>
      </c>
      <c r="E103" s="7" t="n">
        <v>103</v>
      </c>
      <c r="F103" s="7" t="inlineStr">
        <is>
          <t>Yes</t>
        </is>
      </c>
      <c r="G103" s="8" t="n"/>
    </row>
    <row r="104">
      <c r="A104" s="8" t="inlineStr">
        <is>
          <t>PGCV_004_0104</t>
        </is>
      </c>
      <c r="B104" s="8" t="inlineStr">
        <is>
          <t>COVID-SNL-22-18774</t>
        </is>
      </c>
      <c r="C104" s="8" t="inlineStr">
        <is>
          <t>9SBT39RQYC</t>
        </is>
      </c>
      <c r="D104" s="7" t="n">
        <v>4</v>
      </c>
      <c r="E104" s="7" t="n">
        <v>104</v>
      </c>
      <c r="F104" s="7" t="inlineStr">
        <is>
          <t>No</t>
        </is>
      </c>
      <c r="G104" s="8" t="n"/>
    </row>
    <row r="105">
      <c r="A105" s="8" t="inlineStr">
        <is>
          <t>PGCV_004_0105</t>
        </is>
      </c>
      <c r="B105" s="8" t="inlineStr">
        <is>
          <t>COVID-SNL-22-18775</t>
        </is>
      </c>
      <c r="C105" s="8" t="inlineStr">
        <is>
          <t>QPZFB93MYH</t>
        </is>
      </c>
      <c r="D105" s="7" t="n">
        <v>4</v>
      </c>
      <c r="E105" s="7" t="n">
        <v>105</v>
      </c>
      <c r="F105" s="7" t="inlineStr">
        <is>
          <t>Yes</t>
        </is>
      </c>
      <c r="G105" s="8" t="n"/>
    </row>
    <row r="106">
      <c r="A106" s="8" t="inlineStr">
        <is>
          <t>PGCV_004_0106</t>
        </is>
      </c>
      <c r="B106" s="8" t="inlineStr">
        <is>
          <t>COVID-SNL-22-18784</t>
        </is>
      </c>
      <c r="C106" s="8" t="inlineStr">
        <is>
          <t>3KVS9TGSEC</t>
        </is>
      </c>
      <c r="D106" s="7" t="n">
        <v>4</v>
      </c>
      <c r="E106" s="7" t="n">
        <v>106</v>
      </c>
      <c r="F106" s="7" t="inlineStr">
        <is>
          <t>Yes</t>
        </is>
      </c>
      <c r="G106" s="8" t="n"/>
    </row>
    <row r="107">
      <c r="A107" s="8" t="inlineStr">
        <is>
          <t>PGCV_004_0107</t>
        </is>
      </c>
      <c r="B107" s="8" t="inlineStr">
        <is>
          <t>COVID-SNL-22-18836</t>
        </is>
      </c>
      <c r="C107" s="8" t="inlineStr">
        <is>
          <t>OD8HURV4OC</t>
        </is>
      </c>
      <c r="D107" s="7" t="n">
        <v>4</v>
      </c>
      <c r="E107" s="7" t="n">
        <v>107</v>
      </c>
      <c r="F107" s="7" t="inlineStr">
        <is>
          <t>Yes</t>
        </is>
      </c>
      <c r="G107" s="8" t="n"/>
    </row>
    <row r="108">
      <c r="A108" s="8" t="inlineStr">
        <is>
          <t>PGCV_004_0108</t>
        </is>
      </c>
      <c r="B108" s="8" t="inlineStr">
        <is>
          <t>COVID-SNL-22-18940</t>
        </is>
      </c>
      <c r="C108" s="8" t="inlineStr">
        <is>
          <t>MIZNUYAJOY</t>
        </is>
      </c>
      <c r="D108" s="7" t="n">
        <v>4</v>
      </c>
      <c r="E108" s="7" t="n">
        <v>108</v>
      </c>
      <c r="F108" s="7" t="inlineStr">
        <is>
          <t>Yes</t>
        </is>
      </c>
      <c r="G108" s="8" t="n"/>
    </row>
    <row r="109">
      <c r="A109" s="8" t="inlineStr">
        <is>
          <t>PGCV_004_0109</t>
        </is>
      </c>
      <c r="B109" s="8" t="inlineStr">
        <is>
          <t>COVID-SNL-22-19185</t>
        </is>
      </c>
      <c r="C109" s="8" t="inlineStr">
        <is>
          <t>MBEZZOQA3F</t>
        </is>
      </c>
      <c r="D109" s="7" t="n">
        <v>4</v>
      </c>
      <c r="E109" s="7" t="n">
        <v>109</v>
      </c>
      <c r="F109" s="7" t="inlineStr">
        <is>
          <t>Yes</t>
        </is>
      </c>
      <c r="G109" s="8" t="n"/>
    </row>
    <row r="110">
      <c r="A110" s="8" t="inlineStr">
        <is>
          <t>PGCV_004_0110</t>
        </is>
      </c>
      <c r="B110" s="8" t="inlineStr">
        <is>
          <t>COVID-SNL-22-18991</t>
        </is>
      </c>
      <c r="C110" s="8" t="inlineStr">
        <is>
          <t>EPSRCVQLMG</t>
        </is>
      </c>
      <c r="D110" s="7" t="n">
        <v>4</v>
      </c>
      <c r="E110" s="7" t="n">
        <v>110</v>
      </c>
      <c r="F110" s="7" t="inlineStr">
        <is>
          <t>Yes</t>
        </is>
      </c>
      <c r="G110" s="8" t="n"/>
    </row>
    <row r="111">
      <c r="A111" s="8" t="inlineStr">
        <is>
          <t>PGCV_004_0111</t>
        </is>
      </c>
      <c r="B111" s="8" t="inlineStr">
        <is>
          <t>COVID-SNL-22-18993</t>
        </is>
      </c>
      <c r="C111" s="8" t="inlineStr">
        <is>
          <t>HOS6MUARXS</t>
        </is>
      </c>
      <c r="D111" s="7" t="n">
        <v>4</v>
      </c>
      <c r="E111" s="7" t="n">
        <v>111</v>
      </c>
      <c r="F111" s="7" t="inlineStr">
        <is>
          <t>Yes</t>
        </is>
      </c>
      <c r="G111" s="8" t="n"/>
    </row>
    <row r="112">
      <c r="A112" s="8" t="inlineStr">
        <is>
          <t>PGCV_004_0112</t>
        </is>
      </c>
      <c r="B112" s="8" t="inlineStr">
        <is>
          <t>COVID-SNL-22-19158</t>
        </is>
      </c>
      <c r="C112" s="8" t="inlineStr">
        <is>
          <t>AO4DCXNIDE</t>
        </is>
      </c>
      <c r="D112" s="7" t="n">
        <v>4</v>
      </c>
      <c r="E112" s="7" t="n">
        <v>112</v>
      </c>
      <c r="F112" s="7" t="inlineStr">
        <is>
          <t>Yes</t>
        </is>
      </c>
      <c r="G112" s="8" t="n"/>
    </row>
    <row r="113">
      <c r="A113" s="8" t="inlineStr">
        <is>
          <t>PGCV_004_0113</t>
        </is>
      </c>
      <c r="B113" s="8" t="inlineStr">
        <is>
          <t>COVID-SNL-22-18997</t>
        </is>
      </c>
      <c r="C113" s="8" t="inlineStr">
        <is>
          <t>AVND1J7HMD</t>
        </is>
      </c>
      <c r="D113" s="7" t="n">
        <v>4</v>
      </c>
      <c r="E113" s="7" t="n">
        <v>113</v>
      </c>
      <c r="F113" s="7" t="inlineStr">
        <is>
          <t>Yes</t>
        </is>
      </c>
      <c r="G113" s="8" t="n"/>
    </row>
    <row r="114">
      <c r="A114" s="8" t="inlineStr">
        <is>
          <t>PGCV_004_0114</t>
        </is>
      </c>
      <c r="B114" s="8" t="inlineStr">
        <is>
          <t>COVID-SNL-22-19033</t>
        </is>
      </c>
      <c r="C114" s="8" t="inlineStr">
        <is>
          <t>BDUHOOTP0V</t>
        </is>
      </c>
      <c r="D114" s="7" t="n">
        <v>4</v>
      </c>
      <c r="E114" s="7" t="n">
        <v>114</v>
      </c>
      <c r="F114" s="7" t="inlineStr">
        <is>
          <t>Yes</t>
        </is>
      </c>
      <c r="G114" s="8" t="n"/>
    </row>
    <row r="115">
      <c r="A115" s="8" t="inlineStr">
        <is>
          <t>PGCV_004_0115</t>
        </is>
      </c>
      <c r="B115" s="8" t="inlineStr">
        <is>
          <t>COVID-SNL-22-19035</t>
        </is>
      </c>
      <c r="C115" s="8" t="inlineStr">
        <is>
          <t>DA2NFLUC8D</t>
        </is>
      </c>
      <c r="D115" s="7" t="n">
        <v>4</v>
      </c>
      <c r="E115" s="7" t="n">
        <v>115</v>
      </c>
      <c r="F115" s="7" t="inlineStr">
        <is>
          <t>Yes</t>
        </is>
      </c>
      <c r="G115" s="8" t="n"/>
    </row>
    <row r="116">
      <c r="A116" s="8" t="inlineStr">
        <is>
          <t>PGCV_004_0116</t>
        </is>
      </c>
      <c r="B116" s="8" t="inlineStr">
        <is>
          <t>COVID-SNL-22-19037</t>
        </is>
      </c>
      <c r="C116" s="8" t="inlineStr">
        <is>
          <t>7TNGT8VSC5</t>
        </is>
      </c>
      <c r="D116" s="7" t="n">
        <v>4</v>
      </c>
      <c r="E116" s="7" t="n">
        <v>116</v>
      </c>
      <c r="F116" s="7" t="inlineStr">
        <is>
          <t>Yes</t>
        </is>
      </c>
      <c r="G116" s="8" t="n"/>
    </row>
    <row r="117">
      <c r="A117" s="8" t="inlineStr">
        <is>
          <t>PGCV_004_0117</t>
        </is>
      </c>
      <c r="B117" s="8" t="inlineStr">
        <is>
          <t>COVID-SNL-22-19045</t>
        </is>
      </c>
      <c r="C117" s="8" t="inlineStr">
        <is>
          <t>OCXDJMQYN5</t>
        </is>
      </c>
      <c r="D117" s="7" t="n">
        <v>4</v>
      </c>
      <c r="E117" s="7" t="n">
        <v>117</v>
      </c>
      <c r="F117" s="7" t="inlineStr">
        <is>
          <t>Yes</t>
        </is>
      </c>
      <c r="G117" s="8" t="n"/>
    </row>
    <row r="118">
      <c r="A118" s="8" t="inlineStr">
        <is>
          <t>PGCV_004_0118</t>
        </is>
      </c>
      <c r="B118" s="8" t="inlineStr">
        <is>
          <t>COVID-SNL-22-19056</t>
        </is>
      </c>
      <c r="C118" s="8" t="inlineStr">
        <is>
          <t>RORHDDRN2Q</t>
        </is>
      </c>
      <c r="D118" s="7" t="n">
        <v>4</v>
      </c>
      <c r="E118" s="7" t="n">
        <v>118</v>
      </c>
      <c r="F118" s="7" t="inlineStr">
        <is>
          <t>Yes</t>
        </is>
      </c>
      <c r="G118" s="8" t="n"/>
    </row>
    <row r="119">
      <c r="A119" s="8" t="inlineStr">
        <is>
          <t>PGCV_004_0119</t>
        </is>
      </c>
      <c r="B119" s="8" t="inlineStr">
        <is>
          <t>COVID-SNL-22-19067</t>
        </is>
      </c>
      <c r="C119" s="8" t="inlineStr">
        <is>
          <t>YW3Z9PEJWW</t>
        </is>
      </c>
      <c r="D119" s="7" t="n">
        <v>4</v>
      </c>
      <c r="E119" s="7" t="n">
        <v>119</v>
      </c>
      <c r="F119" s="7" t="inlineStr">
        <is>
          <t>Yes</t>
        </is>
      </c>
      <c r="G119" s="8" t="n"/>
    </row>
    <row r="120">
      <c r="A120" s="8" t="inlineStr">
        <is>
          <t>PGCV_004_0120</t>
        </is>
      </c>
      <c r="B120" s="8" t="inlineStr">
        <is>
          <t>COVID-SNL-22-19122</t>
        </is>
      </c>
      <c r="C120" s="8" t="inlineStr">
        <is>
          <t>7LZ5N9K3IS</t>
        </is>
      </c>
      <c r="D120" s="7" t="n">
        <v>4</v>
      </c>
      <c r="E120" s="7" t="n">
        <v>120</v>
      </c>
      <c r="F120" s="7" t="inlineStr">
        <is>
          <t>Yes</t>
        </is>
      </c>
      <c r="G120" s="8" t="n"/>
    </row>
    <row r="121">
      <c r="A121" s="8" t="inlineStr">
        <is>
          <t>PGCV_004_0121</t>
        </is>
      </c>
      <c r="B121" s="8" t="inlineStr">
        <is>
          <t>COVID-SNL-22-19165</t>
        </is>
      </c>
      <c r="C121" s="8" t="inlineStr">
        <is>
          <t>YRSGEPBWVW</t>
        </is>
      </c>
      <c r="D121" s="7" t="n">
        <v>4</v>
      </c>
      <c r="E121" s="7" t="n">
        <v>121</v>
      </c>
      <c r="F121" s="7" t="inlineStr">
        <is>
          <t>Yes</t>
        </is>
      </c>
      <c r="G121" s="8" t="n"/>
    </row>
    <row r="122">
      <c r="A122" s="8" t="inlineStr">
        <is>
          <t>PGCV_004_0122</t>
        </is>
      </c>
      <c r="B122" s="8" t="inlineStr">
        <is>
          <t>COVID-SNL-22-19218</t>
        </is>
      </c>
      <c r="C122" s="8" t="inlineStr">
        <is>
          <t>O59YCO8RD8</t>
        </is>
      </c>
      <c r="D122" s="7" t="n">
        <v>4</v>
      </c>
      <c r="E122" s="7" t="n">
        <v>122</v>
      </c>
      <c r="F122" s="7" t="inlineStr">
        <is>
          <t>Yes</t>
        </is>
      </c>
      <c r="G122" s="8" t="n"/>
    </row>
    <row r="123">
      <c r="A123" s="8" t="inlineStr">
        <is>
          <t>PGCV_004_0123</t>
        </is>
      </c>
      <c r="B123" s="8" t="inlineStr">
        <is>
          <t>COVID-SNL-22-19239</t>
        </is>
      </c>
      <c r="C123" s="8" t="inlineStr">
        <is>
          <t>FSEDKEXQL8</t>
        </is>
      </c>
      <c r="D123" s="7" t="n">
        <v>4</v>
      </c>
      <c r="E123" s="7" t="n">
        <v>123</v>
      </c>
      <c r="F123" s="7" t="inlineStr">
        <is>
          <t>Yes</t>
        </is>
      </c>
      <c r="G123" s="8" t="n"/>
    </row>
    <row r="124">
      <c r="A124" s="8" t="inlineStr">
        <is>
          <t>PGCV_004_0124</t>
        </is>
      </c>
      <c r="B124" s="8" t="inlineStr">
        <is>
          <t>COVID-SNL-22-19305</t>
        </is>
      </c>
      <c r="C124" s="8" t="inlineStr">
        <is>
          <t>S897MRFEMJ</t>
        </is>
      </c>
      <c r="D124" s="7" t="n">
        <v>4</v>
      </c>
      <c r="E124" s="7" t="n">
        <v>124</v>
      </c>
      <c r="F124" s="7" t="inlineStr">
        <is>
          <t>Yes</t>
        </is>
      </c>
      <c r="G124" s="8" t="n"/>
    </row>
    <row r="125">
      <c r="A125" s="8" t="inlineStr">
        <is>
          <t>PGCV_004_0125</t>
        </is>
      </c>
      <c r="B125" s="8" t="inlineStr">
        <is>
          <t>COVID-SNL-22-19381</t>
        </is>
      </c>
      <c r="C125" s="8" t="inlineStr">
        <is>
          <t>X86UVLD0EK</t>
        </is>
      </c>
      <c r="D125" s="7" t="n">
        <v>4</v>
      </c>
      <c r="E125" s="7" t="n">
        <v>125</v>
      </c>
      <c r="F125" s="7" t="inlineStr">
        <is>
          <t>Yes</t>
        </is>
      </c>
      <c r="G125" s="8" t="n"/>
    </row>
    <row r="126">
      <c r="A126" s="8" t="inlineStr">
        <is>
          <t>PGCV_004_0126</t>
        </is>
      </c>
      <c r="B126" s="8" t="inlineStr">
        <is>
          <t>COVID-SNL-22-19413</t>
        </is>
      </c>
      <c r="C126" s="8" t="inlineStr">
        <is>
          <t>2AIWQPK3A7</t>
        </is>
      </c>
      <c r="D126" s="7" t="n">
        <v>4</v>
      </c>
      <c r="E126" s="7" t="n">
        <v>126</v>
      </c>
      <c r="F126" s="7" t="inlineStr">
        <is>
          <t>Yes</t>
        </is>
      </c>
      <c r="G126" s="8" t="n"/>
    </row>
    <row r="127">
      <c r="A127" s="8" t="inlineStr">
        <is>
          <t>PGCV_004_0127</t>
        </is>
      </c>
      <c r="B127" s="8" t="inlineStr">
        <is>
          <t>COVID-SNL-22-19201</t>
        </is>
      </c>
      <c r="C127" s="8" t="inlineStr">
        <is>
          <t>HGVLOED0OA</t>
        </is>
      </c>
      <c r="D127" s="7" t="n">
        <v>4</v>
      </c>
      <c r="E127" s="7" t="n">
        <v>127</v>
      </c>
      <c r="F127" s="7" t="inlineStr">
        <is>
          <t>No</t>
        </is>
      </c>
      <c r="G127" s="8" t="n"/>
    </row>
    <row r="128">
      <c r="A128" s="8" t="inlineStr">
        <is>
          <t>PGCV_004_0128</t>
        </is>
      </c>
      <c r="B128" s="8" t="inlineStr">
        <is>
          <t>COVID-SNL-22-19619</t>
        </is>
      </c>
      <c r="C128" s="8" t="inlineStr">
        <is>
          <t>BHRQ4AHBFU</t>
        </is>
      </c>
      <c r="D128" s="7" t="n">
        <v>4</v>
      </c>
      <c r="E128" s="7" t="n">
        <v>128</v>
      </c>
      <c r="F128" s="7" t="inlineStr">
        <is>
          <t>Yes</t>
        </is>
      </c>
      <c r="G128" s="8" t="n"/>
    </row>
    <row r="129">
      <c r="A129" s="8" t="inlineStr">
        <is>
          <t>PGCV_004_0129</t>
        </is>
      </c>
      <c r="B129" s="8" t="inlineStr">
        <is>
          <t>COVID-SNL-22-19512</t>
        </is>
      </c>
      <c r="C129" s="8" t="inlineStr">
        <is>
          <t>D9EJMMF26B</t>
        </is>
      </c>
      <c r="D129" s="7" t="n">
        <v>4</v>
      </c>
      <c r="E129" s="7" t="n">
        <v>129</v>
      </c>
      <c r="F129" s="7" t="inlineStr">
        <is>
          <t>Yes</t>
        </is>
      </c>
      <c r="G129" s="8" t="n"/>
    </row>
    <row r="130">
      <c r="A130" s="8" t="inlineStr">
        <is>
          <t>PGCV_004_0130</t>
        </is>
      </c>
      <c r="B130" s="8" t="inlineStr">
        <is>
          <t>COVID-SNL-22-19563</t>
        </is>
      </c>
      <c r="C130" s="8" t="inlineStr">
        <is>
          <t>H1RKIEVWYG</t>
        </is>
      </c>
      <c r="D130" s="7" t="n">
        <v>4</v>
      </c>
      <c r="E130" s="7" t="n">
        <v>130</v>
      </c>
      <c r="F130" s="7" t="inlineStr">
        <is>
          <t>Yes</t>
        </is>
      </c>
      <c r="G130" s="8" t="n"/>
    </row>
    <row r="131">
      <c r="A131" s="8" t="inlineStr">
        <is>
          <t>PGCV_004_0131</t>
        </is>
      </c>
      <c r="B131" s="8" t="inlineStr">
        <is>
          <t>COVID-SNL-22-19675</t>
        </is>
      </c>
      <c r="C131" s="8" t="inlineStr">
        <is>
          <t>DXJBQCRQPD</t>
        </is>
      </c>
      <c r="D131" s="7" t="n">
        <v>4</v>
      </c>
      <c r="E131" s="7" t="n">
        <v>131</v>
      </c>
      <c r="F131" s="7" t="inlineStr">
        <is>
          <t>Yes</t>
        </is>
      </c>
      <c r="G131" s="8" t="n"/>
    </row>
    <row r="132">
      <c r="A132" s="8" t="inlineStr">
        <is>
          <t>PGCV_004_0132</t>
        </is>
      </c>
      <c r="B132" s="8" t="inlineStr">
        <is>
          <t>COVID-SNL-22-19704</t>
        </is>
      </c>
      <c r="C132" s="8" t="inlineStr">
        <is>
          <t>P2KIVTJCZL</t>
        </is>
      </c>
      <c r="D132" s="7" t="n">
        <v>4</v>
      </c>
      <c r="E132" s="7" t="n">
        <v>132</v>
      </c>
      <c r="F132" s="7" t="inlineStr">
        <is>
          <t>Yes</t>
        </is>
      </c>
      <c r="G132" s="8" t="n"/>
    </row>
    <row r="133">
      <c r="A133" s="8" t="inlineStr">
        <is>
          <t>PGCV_004_0133</t>
        </is>
      </c>
      <c r="B133" s="8" t="inlineStr">
        <is>
          <t>COVID-SNL-22-19715</t>
        </is>
      </c>
      <c r="C133" s="8" t="inlineStr">
        <is>
          <t>OWW4X7C9HC</t>
        </is>
      </c>
      <c r="D133" s="7" t="n">
        <v>4</v>
      </c>
      <c r="E133" s="7" t="n">
        <v>133</v>
      </c>
      <c r="F133" s="7" t="inlineStr">
        <is>
          <t>Yes</t>
        </is>
      </c>
      <c r="G133" s="8" t="n"/>
    </row>
    <row r="134">
      <c r="A134" s="8" t="inlineStr">
        <is>
          <t>PGCV_004_0134</t>
        </is>
      </c>
      <c r="B134" s="8" t="inlineStr">
        <is>
          <t>COVID-SNL-22-19852</t>
        </is>
      </c>
      <c r="C134" s="8" t="inlineStr">
        <is>
          <t>OASU6CC4MX</t>
        </is>
      </c>
      <c r="D134" s="7" t="n">
        <v>4</v>
      </c>
      <c r="E134" s="7" t="n">
        <v>134</v>
      </c>
      <c r="F134" s="7" t="inlineStr">
        <is>
          <t>Yes</t>
        </is>
      </c>
      <c r="G134" s="8" t="n"/>
    </row>
    <row r="135">
      <c r="A135" s="8" t="inlineStr">
        <is>
          <t>PGCV_004_0135</t>
        </is>
      </c>
      <c r="B135" s="8" t="inlineStr">
        <is>
          <t>COVID-SNL-22-19788</t>
        </is>
      </c>
      <c r="C135" s="8" t="inlineStr">
        <is>
          <t>NEZDZ8FAGH</t>
        </is>
      </c>
      <c r="D135" s="7" t="n">
        <v>4</v>
      </c>
      <c r="E135" s="7" t="n">
        <v>135</v>
      </c>
      <c r="F135" s="7" t="inlineStr">
        <is>
          <t>Yes</t>
        </is>
      </c>
      <c r="G135" s="8" t="n"/>
    </row>
    <row r="136">
      <c r="A136" s="8" t="inlineStr">
        <is>
          <t>PGCV_004_0136</t>
        </is>
      </c>
      <c r="B136" s="8" t="inlineStr">
        <is>
          <t>COVID-SNL-22-19870</t>
        </is>
      </c>
      <c r="C136" s="8" t="inlineStr">
        <is>
          <t>EC5TWR7SI6</t>
        </is>
      </c>
      <c r="D136" s="7" t="n">
        <v>4</v>
      </c>
      <c r="E136" s="7" t="n">
        <v>136</v>
      </c>
      <c r="F136" s="7" t="inlineStr">
        <is>
          <t>Yes</t>
        </is>
      </c>
      <c r="G136" s="8" t="n"/>
    </row>
    <row r="137">
      <c r="A137" s="8" t="inlineStr">
        <is>
          <t>PGCV_004_0137</t>
        </is>
      </c>
      <c r="B137" s="8" t="inlineStr">
        <is>
          <t>COVID-SNL-22-19943</t>
        </is>
      </c>
      <c r="C137" s="8" t="inlineStr">
        <is>
          <t>THWAENSXNF</t>
        </is>
      </c>
      <c r="D137" s="7" t="n">
        <v>4</v>
      </c>
      <c r="E137" s="7" t="n">
        <v>137</v>
      </c>
      <c r="F137" s="7" t="inlineStr">
        <is>
          <t>Yes</t>
        </is>
      </c>
      <c r="G137" s="8" t="n"/>
    </row>
    <row r="138">
      <c r="A138" s="8" t="inlineStr">
        <is>
          <t>PGCV_004_0138</t>
        </is>
      </c>
      <c r="B138" s="8" t="inlineStr">
        <is>
          <t>COVID-SNL-22-19959</t>
        </is>
      </c>
      <c r="C138" s="8" t="inlineStr">
        <is>
          <t>FKFYMKGDNR</t>
        </is>
      </c>
      <c r="D138" s="7" t="n">
        <v>4</v>
      </c>
      <c r="E138" s="7" t="n">
        <v>138</v>
      </c>
      <c r="F138" s="7" t="inlineStr">
        <is>
          <t>Yes</t>
        </is>
      </c>
      <c r="G138" s="8" t="n"/>
    </row>
    <row r="139">
      <c r="A139" s="8" t="inlineStr">
        <is>
          <t>PGCV_004_0139</t>
        </is>
      </c>
      <c r="B139" s="8" t="inlineStr">
        <is>
          <t>COVID-SNL-22-19984</t>
        </is>
      </c>
      <c r="C139" s="8" t="inlineStr">
        <is>
          <t>QRJ6FXHQXI</t>
        </is>
      </c>
      <c r="D139" s="7" t="n">
        <v>4</v>
      </c>
      <c r="E139" s="7" t="n">
        <v>139</v>
      </c>
      <c r="F139" s="7" t="inlineStr">
        <is>
          <t>Yes</t>
        </is>
      </c>
      <c r="G139" s="8" t="n"/>
    </row>
    <row r="140">
      <c r="A140" s="8" t="inlineStr">
        <is>
          <t>PGCV_004_0140</t>
        </is>
      </c>
      <c r="B140" s="8" t="inlineStr">
        <is>
          <t>COVID-SNL-22-20119</t>
        </is>
      </c>
      <c r="C140" s="8" t="inlineStr">
        <is>
          <t>J4FN6BDFUH</t>
        </is>
      </c>
      <c r="D140" s="7" t="n">
        <v>4</v>
      </c>
      <c r="E140" s="7" t="n">
        <v>140</v>
      </c>
      <c r="F140" s="7" t="inlineStr">
        <is>
          <t>Yes</t>
        </is>
      </c>
      <c r="G140" s="8" t="n"/>
    </row>
    <row r="141">
      <c r="A141" s="8" t="inlineStr">
        <is>
          <t>PGCV_004_0141</t>
        </is>
      </c>
      <c r="B141" s="8" t="inlineStr">
        <is>
          <t>COVID-SNL-22-20107</t>
        </is>
      </c>
      <c r="C141" s="8" t="inlineStr">
        <is>
          <t>QGASPMIRNT</t>
        </is>
      </c>
      <c r="D141" s="7" t="n">
        <v>4</v>
      </c>
      <c r="E141" s="7" t="n">
        <v>141</v>
      </c>
      <c r="F141" s="7" t="inlineStr">
        <is>
          <t>Yes</t>
        </is>
      </c>
      <c r="G141" s="8" t="n"/>
    </row>
    <row r="142">
      <c r="A142" s="8" t="inlineStr">
        <is>
          <t>PGCV_004_0142</t>
        </is>
      </c>
      <c r="B142" s="8" t="inlineStr">
        <is>
          <t>COVID-SNL-22-20175</t>
        </is>
      </c>
      <c r="C142" s="8" t="inlineStr">
        <is>
          <t>6QPRCHZBNU</t>
        </is>
      </c>
      <c r="D142" s="7" t="n">
        <v>4</v>
      </c>
      <c r="E142" s="7" t="n">
        <v>142</v>
      </c>
      <c r="F142" s="7" t="inlineStr">
        <is>
          <t>Yes</t>
        </is>
      </c>
      <c r="G142" s="8" t="n"/>
    </row>
    <row r="143">
      <c r="A143" s="8" t="inlineStr">
        <is>
          <t>PGCV_004_0143</t>
        </is>
      </c>
      <c r="B143" s="8" t="inlineStr">
        <is>
          <t>COVID-SNL-22-20410</t>
        </is>
      </c>
      <c r="C143" s="8" t="inlineStr">
        <is>
          <t>VPNZUCJ7DD</t>
        </is>
      </c>
      <c r="D143" s="7" t="n">
        <v>4</v>
      </c>
      <c r="E143" s="7" t="n">
        <v>143</v>
      </c>
      <c r="F143" s="7" t="inlineStr">
        <is>
          <t>Yes</t>
        </is>
      </c>
      <c r="G143" s="8" t="n"/>
    </row>
    <row r="144">
      <c r="A144" s="8" t="inlineStr">
        <is>
          <t>PGCV_004_0144</t>
        </is>
      </c>
      <c r="B144" s="8" t="inlineStr">
        <is>
          <t>COVID-SNL-22-20411</t>
        </is>
      </c>
      <c r="C144" s="8" t="inlineStr">
        <is>
          <t>NCRLBWLWHN</t>
        </is>
      </c>
      <c r="D144" s="7" t="n">
        <v>4</v>
      </c>
      <c r="E144" s="7" t="n">
        <v>144</v>
      </c>
      <c r="F144" s="7" t="inlineStr">
        <is>
          <t>Yes</t>
        </is>
      </c>
      <c r="G144" s="8" t="n"/>
    </row>
    <row r="145">
      <c r="A145" s="8" t="inlineStr">
        <is>
          <t>PGCV_004_0145</t>
        </is>
      </c>
      <c r="B145" s="8" t="inlineStr">
        <is>
          <t>COVID-SNL-22-20428</t>
        </is>
      </c>
      <c r="C145" s="8" t="inlineStr">
        <is>
          <t>ISJJETMQRN</t>
        </is>
      </c>
      <c r="D145" s="7" t="n">
        <v>4</v>
      </c>
      <c r="E145" s="7" t="n">
        <v>145</v>
      </c>
      <c r="F145" s="7" t="inlineStr">
        <is>
          <t>Yes</t>
        </is>
      </c>
      <c r="G145" s="8" t="n"/>
    </row>
    <row r="146">
      <c r="A146" s="8" t="inlineStr">
        <is>
          <t>PGCV_004_0146</t>
        </is>
      </c>
      <c r="B146" s="8" t="inlineStr">
        <is>
          <t>COVID-SNL-22-20658</t>
        </is>
      </c>
      <c r="C146" s="8" t="inlineStr">
        <is>
          <t>C6MYAI9QN5</t>
        </is>
      </c>
      <c r="D146" s="7" t="n">
        <v>4</v>
      </c>
      <c r="E146" s="7" t="n">
        <v>146</v>
      </c>
      <c r="F146" s="7" t="inlineStr">
        <is>
          <t>Yes</t>
        </is>
      </c>
      <c r="G146" s="8" t="n"/>
    </row>
    <row r="147">
      <c r="A147" s="8" t="inlineStr">
        <is>
          <t>PGCV_004_0147</t>
        </is>
      </c>
      <c r="B147" s="8" t="inlineStr">
        <is>
          <t>COVID-SNL-22-20660</t>
        </is>
      </c>
      <c r="C147" s="8" t="inlineStr">
        <is>
          <t>8EGGKBIIDB</t>
        </is>
      </c>
      <c r="D147" s="7" t="n">
        <v>4</v>
      </c>
      <c r="E147" s="7" t="n">
        <v>147</v>
      </c>
      <c r="F147" s="7" t="inlineStr">
        <is>
          <t>Yes</t>
        </is>
      </c>
      <c r="G147" s="8" t="n"/>
    </row>
    <row r="148">
      <c r="A148" s="8" t="inlineStr">
        <is>
          <t>PGCV_004_0148</t>
        </is>
      </c>
      <c r="B148" s="8" t="inlineStr">
        <is>
          <t>COVID-SNL-22-20525</t>
        </is>
      </c>
      <c r="C148" s="8" t="inlineStr">
        <is>
          <t>YYBJRRVRFF</t>
        </is>
      </c>
      <c r="D148" s="7" t="n">
        <v>4</v>
      </c>
      <c r="E148" s="7" t="n">
        <v>148</v>
      </c>
      <c r="F148" s="7" t="inlineStr">
        <is>
          <t>Yes</t>
        </is>
      </c>
      <c r="G148" s="8" t="n"/>
    </row>
    <row r="149">
      <c r="A149" s="8" t="inlineStr">
        <is>
          <t>PGCV_004_0149</t>
        </is>
      </c>
      <c r="B149" s="8" t="inlineStr">
        <is>
          <t>COVID-SNL-22-20565</t>
        </is>
      </c>
      <c r="C149" s="8" t="inlineStr">
        <is>
          <t>8SRV4D9SZT</t>
        </is>
      </c>
      <c r="D149" s="7" t="n">
        <v>4</v>
      </c>
      <c r="E149" s="7" t="n">
        <v>149</v>
      </c>
      <c r="F149" s="7" t="inlineStr">
        <is>
          <t>Yes</t>
        </is>
      </c>
      <c r="G149" s="8" t="n"/>
    </row>
    <row r="150">
      <c r="A150" s="8" t="inlineStr">
        <is>
          <t>PGCV_004_0150</t>
        </is>
      </c>
      <c r="B150" s="8" t="inlineStr">
        <is>
          <t>COVID-SNL-22-20490</t>
        </is>
      </c>
      <c r="C150" s="8" t="inlineStr">
        <is>
          <t>KZJPYWCTG5</t>
        </is>
      </c>
      <c r="D150" s="7" t="n">
        <v>4</v>
      </c>
      <c r="E150" s="7" t="n">
        <v>150</v>
      </c>
      <c r="F150" s="7" t="inlineStr">
        <is>
          <t>Yes</t>
        </is>
      </c>
      <c r="G150" s="8" t="n"/>
    </row>
    <row r="151">
      <c r="A151" s="8" t="inlineStr">
        <is>
          <t>PGCV_004_0151</t>
        </is>
      </c>
      <c r="B151" s="8" t="inlineStr">
        <is>
          <t>COVID-SNL-22-18946</t>
        </is>
      </c>
      <c r="C151" s="8" t="inlineStr">
        <is>
          <t>0HIBE6KU5A</t>
        </is>
      </c>
      <c r="D151" s="7" t="n">
        <v>4</v>
      </c>
      <c r="E151" s="7" t="n">
        <v>151</v>
      </c>
      <c r="F151" s="7" t="inlineStr">
        <is>
          <t>Yes</t>
        </is>
      </c>
      <c r="G151" s="8" t="n"/>
    </row>
    <row r="152">
      <c r="A152" s="8" t="inlineStr">
        <is>
          <t>PGCV_004_0152</t>
        </is>
      </c>
      <c r="B152" s="8" t="inlineStr">
        <is>
          <t>COVID-SNL-22-20900</t>
        </is>
      </c>
      <c r="C152" s="8" t="inlineStr">
        <is>
          <t>LGPNTLSG3P</t>
        </is>
      </c>
      <c r="D152" s="7" t="n">
        <v>4</v>
      </c>
      <c r="E152" s="7" t="n">
        <v>152</v>
      </c>
      <c r="F152" s="7" t="inlineStr">
        <is>
          <t>Yes</t>
        </is>
      </c>
      <c r="G152" s="8" t="n"/>
    </row>
    <row r="153">
      <c r="A153" s="8" t="inlineStr">
        <is>
          <t>PGCV_004_0153</t>
        </is>
      </c>
      <c r="B153" s="8" t="inlineStr">
        <is>
          <t>COVID-SNL-22-20903</t>
        </is>
      </c>
      <c r="C153" s="8" t="inlineStr">
        <is>
          <t>ZUK2OZLFRL</t>
        </is>
      </c>
      <c r="D153" s="7" t="n">
        <v>4</v>
      </c>
      <c r="E153" s="7" t="n">
        <v>153</v>
      </c>
      <c r="F153" s="7" t="inlineStr">
        <is>
          <t>Yes</t>
        </is>
      </c>
      <c r="G153" s="8" t="n"/>
    </row>
    <row r="154">
      <c r="A154" s="8" t="inlineStr">
        <is>
          <t>PGCV_004_0154</t>
        </is>
      </c>
      <c r="B154" s="8" t="inlineStr">
        <is>
          <t>COVID-SNL-22-20908</t>
        </is>
      </c>
      <c r="C154" s="8" t="inlineStr">
        <is>
          <t>BXEDOWA4XX</t>
        </is>
      </c>
      <c r="D154" s="7" t="n">
        <v>4</v>
      </c>
      <c r="E154" s="7" t="n">
        <v>154</v>
      </c>
      <c r="F154" s="7" t="inlineStr">
        <is>
          <t>Yes</t>
        </is>
      </c>
      <c r="G154" s="8" t="n"/>
    </row>
    <row r="155">
      <c r="A155" s="8" t="inlineStr">
        <is>
          <t>PGCV_004_0155</t>
        </is>
      </c>
      <c r="B155" s="8" t="inlineStr">
        <is>
          <t>COVID-SNL-22-20909</t>
        </is>
      </c>
      <c r="C155" s="8" t="inlineStr">
        <is>
          <t>ZPETOW4NC1</t>
        </is>
      </c>
      <c r="D155" s="7" t="n">
        <v>4</v>
      </c>
      <c r="E155" s="7" t="n">
        <v>155</v>
      </c>
      <c r="F155" s="7" t="inlineStr">
        <is>
          <t>Yes</t>
        </is>
      </c>
      <c r="G155" s="8" t="n"/>
    </row>
    <row r="156">
      <c r="A156" s="8" t="inlineStr">
        <is>
          <t>PGCV_004_0156</t>
        </is>
      </c>
      <c r="B156" s="8" t="inlineStr">
        <is>
          <t>COVID-SNL-22-20942</t>
        </is>
      </c>
      <c r="C156" s="8" t="inlineStr">
        <is>
          <t>0OGEOW6OQX</t>
        </is>
      </c>
      <c r="D156" s="7" t="n">
        <v>4</v>
      </c>
      <c r="E156" s="7" t="n">
        <v>156</v>
      </c>
      <c r="F156" s="7" t="inlineStr">
        <is>
          <t>Yes</t>
        </is>
      </c>
      <c r="G156" s="8" t="n"/>
    </row>
    <row r="157">
      <c r="A157" s="8" t="inlineStr">
        <is>
          <t>PGCV_004_0157</t>
        </is>
      </c>
      <c r="B157" s="8" t="inlineStr">
        <is>
          <t>COVID-SNL-22-21093</t>
        </is>
      </c>
      <c r="C157" s="8" t="inlineStr">
        <is>
          <t>OA8PF5YUKC</t>
        </is>
      </c>
      <c r="D157" s="7" t="n">
        <v>4</v>
      </c>
      <c r="E157" s="7" t="n">
        <v>157</v>
      </c>
      <c r="F157" s="7" t="inlineStr">
        <is>
          <t>Yes</t>
        </is>
      </c>
      <c r="G157" s="8" t="n"/>
    </row>
    <row r="158">
      <c r="A158" s="8" t="inlineStr">
        <is>
          <t>PGCV_004_0158</t>
        </is>
      </c>
      <c r="B158" s="8" t="inlineStr">
        <is>
          <t>COVID-SNL-22-21113</t>
        </is>
      </c>
      <c r="C158" s="8" t="inlineStr">
        <is>
          <t>NE5QOCC4YB</t>
        </is>
      </c>
      <c r="D158" s="7" t="n">
        <v>4</v>
      </c>
      <c r="E158" s="7" t="n">
        <v>158</v>
      </c>
      <c r="F158" s="7" t="inlineStr">
        <is>
          <t>Yes</t>
        </is>
      </c>
      <c r="G158" s="8" t="n"/>
    </row>
    <row r="159">
      <c r="A159" s="8" t="inlineStr">
        <is>
          <t>PGCV_004_0159</t>
        </is>
      </c>
      <c r="B159" s="8" t="inlineStr">
        <is>
          <t>COVID-SNL-22-21122</t>
        </is>
      </c>
      <c r="C159" s="8" t="inlineStr">
        <is>
          <t>OCO3C3UE8E</t>
        </is>
      </c>
      <c r="D159" s="7" t="n">
        <v>4</v>
      </c>
      <c r="E159" s="7" t="n">
        <v>159</v>
      </c>
      <c r="F159" s="7" t="inlineStr">
        <is>
          <t>Yes</t>
        </is>
      </c>
      <c r="G159" s="8" t="n"/>
    </row>
    <row r="160">
      <c r="A160" s="8" t="inlineStr">
        <is>
          <t>PGCV_004_0160</t>
        </is>
      </c>
      <c r="B160" s="8" t="inlineStr">
        <is>
          <t>COVID-SNL-22-21136</t>
        </is>
      </c>
      <c r="C160" s="8" t="inlineStr">
        <is>
          <t>RXMOXJBYFA</t>
        </is>
      </c>
      <c r="D160" s="7" t="n">
        <v>4</v>
      </c>
      <c r="E160" s="7" t="n">
        <v>160</v>
      </c>
      <c r="F160" s="7" t="inlineStr">
        <is>
          <t>Yes</t>
        </is>
      </c>
      <c r="G160" s="8" t="n"/>
    </row>
    <row r="161">
      <c r="A161" s="8" t="inlineStr">
        <is>
          <t>PGCV_004_0161</t>
        </is>
      </c>
      <c r="B161" s="8" t="inlineStr">
        <is>
          <t>COVID-SNL-22-21151</t>
        </is>
      </c>
      <c r="C161" s="8" t="inlineStr">
        <is>
          <t>NRLGAQO9SK</t>
        </is>
      </c>
      <c r="D161" s="7" t="n">
        <v>4</v>
      </c>
      <c r="E161" s="7" t="n">
        <v>161</v>
      </c>
      <c r="F161" s="7" t="inlineStr">
        <is>
          <t>Yes</t>
        </is>
      </c>
      <c r="G161" s="8" t="n"/>
    </row>
    <row r="162">
      <c r="A162" s="8" t="inlineStr">
        <is>
          <t>PGCV_004_0162</t>
        </is>
      </c>
      <c r="B162" s="8" t="inlineStr">
        <is>
          <t>COVID-SNL-22-21152</t>
        </is>
      </c>
      <c r="C162" s="8" t="inlineStr">
        <is>
          <t>KTYDS7UBI2</t>
        </is>
      </c>
      <c r="D162" s="7" t="n">
        <v>4</v>
      </c>
      <c r="E162" s="7" t="n">
        <v>162</v>
      </c>
      <c r="F162" s="7" t="inlineStr">
        <is>
          <t>Yes</t>
        </is>
      </c>
      <c r="G162" s="8" t="n"/>
    </row>
    <row r="163">
      <c r="A163" s="8" t="inlineStr">
        <is>
          <t>PGCV_004_0163</t>
        </is>
      </c>
      <c r="B163" s="8" t="inlineStr">
        <is>
          <t>COVID-SNL-22-21161</t>
        </is>
      </c>
      <c r="C163" s="8" t="inlineStr">
        <is>
          <t>1LQZ4U7UKP</t>
        </is>
      </c>
      <c r="D163" s="7" t="n">
        <v>4</v>
      </c>
      <c r="E163" s="7" t="n">
        <v>163</v>
      </c>
      <c r="F163" s="7" t="inlineStr">
        <is>
          <t>Yes</t>
        </is>
      </c>
      <c r="G163" s="8" t="n"/>
    </row>
    <row r="164">
      <c r="A164" s="8" t="inlineStr">
        <is>
          <t>PGCV_005_0164</t>
        </is>
      </c>
      <c r="B164" s="8" t="inlineStr">
        <is>
          <t>COVID-SNL-22-21259</t>
        </is>
      </c>
      <c r="C164" s="8" t="inlineStr">
        <is>
          <t>WBNCBXTDY1</t>
        </is>
      </c>
      <c r="D164" s="7" t="n">
        <v>5</v>
      </c>
      <c r="E164" s="7" t="n">
        <v>164</v>
      </c>
      <c r="F164" s="7" t="inlineStr">
        <is>
          <t>Yes</t>
        </is>
      </c>
      <c r="G164" s="8" t="n"/>
    </row>
    <row r="165">
      <c r="A165" s="8" t="inlineStr">
        <is>
          <t>PGCV_005_0165</t>
        </is>
      </c>
      <c r="B165" s="8" t="inlineStr">
        <is>
          <t>COVID-SNL-22-21272</t>
        </is>
      </c>
      <c r="C165" s="8" t="inlineStr">
        <is>
          <t>1ZB56UMT2H</t>
        </is>
      </c>
      <c r="D165" s="7" t="n">
        <v>5</v>
      </c>
      <c r="E165" s="7" t="n">
        <v>165</v>
      </c>
      <c r="F165" s="7" t="inlineStr">
        <is>
          <t>Yes</t>
        </is>
      </c>
      <c r="G165" s="8" t="n"/>
    </row>
    <row r="166">
      <c r="A166" s="8" t="inlineStr">
        <is>
          <t>PGCV_005_0166</t>
        </is>
      </c>
      <c r="B166" s="8" t="inlineStr">
        <is>
          <t>COVID-SNL-22-21440</t>
        </is>
      </c>
      <c r="C166" s="8" t="inlineStr">
        <is>
          <t>FGSZS2EX1P</t>
        </is>
      </c>
      <c r="D166" s="7" t="n">
        <v>5</v>
      </c>
      <c r="E166" s="7" t="n">
        <v>166</v>
      </c>
      <c r="F166" s="7" t="inlineStr">
        <is>
          <t>Yes</t>
        </is>
      </c>
      <c r="G166" s="8" t="n"/>
    </row>
    <row r="167">
      <c r="A167" s="8" t="inlineStr">
        <is>
          <t>PGCV_005_0167</t>
        </is>
      </c>
      <c r="B167" s="8" t="inlineStr">
        <is>
          <t>COVID-SNL-22-21456</t>
        </is>
      </c>
      <c r="C167" s="8" t="inlineStr">
        <is>
          <t>TPWMZE7HNA</t>
        </is>
      </c>
      <c r="D167" s="7" t="n">
        <v>5</v>
      </c>
      <c r="E167" s="7" t="n">
        <v>167</v>
      </c>
      <c r="F167" s="7" t="inlineStr">
        <is>
          <t>Yes</t>
        </is>
      </c>
      <c r="G167" s="8" t="n"/>
    </row>
    <row r="168">
      <c r="A168" s="8" t="inlineStr">
        <is>
          <t>PGCV_005_0168</t>
        </is>
      </c>
      <c r="B168" s="8" t="inlineStr">
        <is>
          <t>COVID-SNL-22-21420</t>
        </is>
      </c>
      <c r="C168" s="8" t="inlineStr">
        <is>
          <t>BVGDQB8CNQ</t>
        </is>
      </c>
      <c r="D168" s="7" t="n">
        <v>5</v>
      </c>
      <c r="E168" s="7" t="n">
        <v>168</v>
      </c>
      <c r="F168" s="7" t="inlineStr">
        <is>
          <t>Yes</t>
        </is>
      </c>
      <c r="G168" s="8" t="n"/>
    </row>
    <row r="169">
      <c r="A169" s="8" t="inlineStr">
        <is>
          <t>PGCV_005_0169</t>
        </is>
      </c>
      <c r="B169" s="8" t="inlineStr">
        <is>
          <t>COVID-SNL-22-21425</t>
        </is>
      </c>
      <c r="C169" s="8" t="inlineStr">
        <is>
          <t>AAJA0KS0KR</t>
        </is>
      </c>
      <c r="D169" s="7" t="n">
        <v>5</v>
      </c>
      <c r="E169" s="7" t="n">
        <v>169</v>
      </c>
      <c r="F169" s="7" t="inlineStr">
        <is>
          <t>Yes</t>
        </is>
      </c>
      <c r="G169" s="8" t="n"/>
    </row>
    <row r="170">
      <c r="A170" s="8" t="inlineStr">
        <is>
          <t>PGCV_004_0170</t>
        </is>
      </c>
      <c r="B170" s="8" t="inlineStr">
        <is>
          <t>560B96184</t>
        </is>
      </c>
      <c r="C170" s="8" t="inlineStr">
        <is>
          <t>EDPYMWKDIQ</t>
        </is>
      </c>
      <c r="D170" s="7" t="n">
        <v>4</v>
      </c>
      <c r="E170" s="7" t="n">
        <v>170</v>
      </c>
      <c r="F170" s="7" t="inlineStr">
        <is>
          <t>Yes</t>
        </is>
      </c>
      <c r="G170" s="8" t="n"/>
    </row>
    <row r="171">
      <c r="A171" s="8" t="inlineStr">
        <is>
          <t>PGCV_004_0171</t>
        </is>
      </c>
      <c r="B171" s="8" t="inlineStr">
        <is>
          <t>560B96232</t>
        </is>
      </c>
      <c r="C171" s="8" t="inlineStr">
        <is>
          <t>WC8BR1S7NH</t>
        </is>
      </c>
      <c r="D171" s="7" t="n">
        <v>4</v>
      </c>
      <c r="E171" s="7" t="n">
        <v>171</v>
      </c>
      <c r="F171" s="7" t="inlineStr">
        <is>
          <t>Yes</t>
        </is>
      </c>
      <c r="G171" s="8" t="n"/>
    </row>
    <row r="172">
      <c r="A172" s="8" t="inlineStr">
        <is>
          <t>PGCV_004_0172</t>
        </is>
      </c>
      <c r="B172" s="8" t="inlineStr">
        <is>
          <t>560B96233</t>
        </is>
      </c>
      <c r="C172" s="8" t="inlineStr">
        <is>
          <t>ZZ4JFRSURE</t>
        </is>
      </c>
      <c r="D172" s="7" t="n">
        <v>4</v>
      </c>
      <c r="E172" s="7" t="n">
        <v>172</v>
      </c>
      <c r="F172" s="7" t="inlineStr">
        <is>
          <t>Yes</t>
        </is>
      </c>
      <c r="G172" s="8" t="n"/>
    </row>
    <row r="173">
      <c r="A173" s="8" t="inlineStr">
        <is>
          <t>PGCV_004_0173</t>
        </is>
      </c>
      <c r="B173" s="8" t="inlineStr">
        <is>
          <t>560B96234</t>
        </is>
      </c>
      <c r="C173" s="8" t="inlineStr">
        <is>
          <t>G4VDIDXVJL</t>
        </is>
      </c>
      <c r="D173" s="7" t="n">
        <v>4</v>
      </c>
      <c r="E173" s="7" t="n">
        <v>173</v>
      </c>
      <c r="F173" s="7" t="inlineStr">
        <is>
          <t>Yes</t>
        </is>
      </c>
      <c r="G173" s="8" t="n"/>
    </row>
    <row r="174">
      <c r="A174" s="8" t="inlineStr">
        <is>
          <t>PGCV_004_0174</t>
        </is>
      </c>
      <c r="B174" s="8" t="inlineStr">
        <is>
          <t>560B96235</t>
        </is>
      </c>
      <c r="C174" s="8" t="inlineStr">
        <is>
          <t>FI9QGSAFXF</t>
        </is>
      </c>
      <c r="D174" s="7" t="n">
        <v>4</v>
      </c>
      <c r="E174" s="7" t="n">
        <v>174</v>
      </c>
      <c r="F174" s="7" t="inlineStr">
        <is>
          <t>Yes</t>
        </is>
      </c>
      <c r="G174" s="8" t="n"/>
    </row>
    <row r="175">
      <c r="A175" s="8" t="inlineStr">
        <is>
          <t>PGCV_004_0175</t>
        </is>
      </c>
      <c r="B175" s="8" t="inlineStr">
        <is>
          <t>561B96362</t>
        </is>
      </c>
      <c r="C175" s="8" t="inlineStr">
        <is>
          <t>KHBSEXVUPD</t>
        </is>
      </c>
      <c r="D175" s="7" t="n">
        <v>4</v>
      </c>
      <c r="E175" s="7" t="n">
        <v>175</v>
      </c>
      <c r="F175" s="7" t="inlineStr">
        <is>
          <t>Yes</t>
        </is>
      </c>
      <c r="G175" s="8" t="n"/>
    </row>
    <row r="176">
      <c r="A176" s="8" t="inlineStr">
        <is>
          <t>PGCV_004_0176</t>
        </is>
      </c>
      <c r="B176" s="8" t="inlineStr">
        <is>
          <t>561B96381</t>
        </is>
      </c>
      <c r="C176" s="8" t="inlineStr">
        <is>
          <t>AFMG6FC62N</t>
        </is>
      </c>
      <c r="D176" s="7" t="n">
        <v>4</v>
      </c>
      <c r="E176" s="7" t="n">
        <v>176</v>
      </c>
      <c r="F176" s="7" t="inlineStr">
        <is>
          <t>Yes</t>
        </is>
      </c>
      <c r="G176" s="8" t="n"/>
    </row>
    <row r="177">
      <c r="A177" s="8" t="inlineStr">
        <is>
          <t>PGCV_004_0177</t>
        </is>
      </c>
      <c r="B177" s="8" t="inlineStr">
        <is>
          <t>561B96384</t>
        </is>
      </c>
      <c r="C177" s="8" t="inlineStr">
        <is>
          <t>URQMTMHEL5</t>
        </is>
      </c>
      <c r="D177" s="7" t="n">
        <v>4</v>
      </c>
      <c r="E177" s="7" t="n">
        <v>177</v>
      </c>
      <c r="F177" s="7" t="inlineStr">
        <is>
          <t>Yes</t>
        </is>
      </c>
      <c r="G177" s="8" t="n"/>
    </row>
    <row r="178">
      <c r="A178" s="8" t="inlineStr">
        <is>
          <t>PGCV_004_0178</t>
        </is>
      </c>
      <c r="B178" s="8" t="inlineStr">
        <is>
          <t>561B96389</t>
        </is>
      </c>
      <c r="C178" s="8" t="inlineStr">
        <is>
          <t>AFDS23LDGW</t>
        </is>
      </c>
      <c r="D178" s="7" t="n">
        <v>4</v>
      </c>
      <c r="E178" s="7" t="n">
        <v>178</v>
      </c>
      <c r="F178" s="7" t="inlineStr">
        <is>
          <t>Yes</t>
        </is>
      </c>
      <c r="G178" s="8" t="n"/>
    </row>
    <row r="179">
      <c r="A179" s="8" t="inlineStr">
        <is>
          <t>PGCV_004_0179</t>
        </is>
      </c>
      <c r="B179" s="8" t="inlineStr">
        <is>
          <t>561B96393</t>
        </is>
      </c>
      <c r="C179" s="8" t="inlineStr">
        <is>
          <t>GZAR96PD9Q</t>
        </is>
      </c>
      <c r="D179" s="7" t="n">
        <v>4</v>
      </c>
      <c r="E179" s="7" t="n">
        <v>179</v>
      </c>
      <c r="F179" s="7" t="inlineStr">
        <is>
          <t>Yes</t>
        </is>
      </c>
      <c r="G179" s="8" t="n"/>
    </row>
    <row r="180">
      <c r="A180" s="8" t="inlineStr">
        <is>
          <t>PGCV_004_0180</t>
        </is>
      </c>
      <c r="B180" s="8" t="inlineStr">
        <is>
          <t>563B96560</t>
        </is>
      </c>
      <c r="C180" s="8" t="inlineStr">
        <is>
          <t>1CCFKLWSIY</t>
        </is>
      </c>
      <c r="D180" s="7" t="n">
        <v>4</v>
      </c>
      <c r="E180" s="7" t="n">
        <v>180</v>
      </c>
      <c r="F180" s="7" t="inlineStr">
        <is>
          <t>Yes</t>
        </is>
      </c>
      <c r="G180" s="8" t="n"/>
    </row>
    <row r="181">
      <c r="A181" s="8" t="inlineStr">
        <is>
          <t>PGCV_004_0181</t>
        </is>
      </c>
      <c r="B181" s="8" t="inlineStr">
        <is>
          <t>563B96624</t>
        </is>
      </c>
      <c r="C181" s="8" t="inlineStr">
        <is>
          <t>9AG9BTVDKX</t>
        </is>
      </c>
      <c r="D181" s="7" t="n">
        <v>4</v>
      </c>
      <c r="E181" s="7" t="n">
        <v>181</v>
      </c>
      <c r="F181" s="7" t="inlineStr">
        <is>
          <t>Yes</t>
        </is>
      </c>
      <c r="G181" s="8" t="n"/>
    </row>
    <row r="182">
      <c r="A182" s="8" t="inlineStr">
        <is>
          <t>PGCV_004_0182</t>
        </is>
      </c>
      <c r="B182" s="8" t="inlineStr">
        <is>
          <t>563B96630</t>
        </is>
      </c>
      <c r="C182" s="8" t="inlineStr">
        <is>
          <t>QKZ6VY5T6G</t>
        </is>
      </c>
      <c r="D182" s="7" t="n">
        <v>4</v>
      </c>
      <c r="E182" s="7" t="n">
        <v>182</v>
      </c>
      <c r="F182" s="7" t="inlineStr">
        <is>
          <t>Yes</t>
        </is>
      </c>
      <c r="G182" s="8" t="n"/>
    </row>
    <row r="183">
      <c r="A183" s="8" t="inlineStr">
        <is>
          <t>PGCV_004_0183</t>
        </is>
      </c>
      <c r="B183" s="8" t="inlineStr">
        <is>
          <t>563B96631</t>
        </is>
      </c>
      <c r="C183" s="8" t="inlineStr">
        <is>
          <t>07LPANSP77</t>
        </is>
      </c>
      <c r="D183" s="7" t="n">
        <v>4</v>
      </c>
      <c r="E183" s="7" t="n">
        <v>183</v>
      </c>
      <c r="F183" s="7" t="inlineStr">
        <is>
          <t>Yes</t>
        </is>
      </c>
      <c r="G183" s="8" t="n"/>
    </row>
    <row r="184">
      <c r="A184" s="8" t="inlineStr">
        <is>
          <t>PGCV_004_0184</t>
        </is>
      </c>
      <c r="B184" s="8" t="inlineStr">
        <is>
          <t>563B96634</t>
        </is>
      </c>
      <c r="C184" s="8" t="inlineStr">
        <is>
          <t>XGFRETNOCZ</t>
        </is>
      </c>
      <c r="D184" s="7" t="n">
        <v>4</v>
      </c>
      <c r="E184" s="7" t="n">
        <v>184</v>
      </c>
      <c r="F184" s="7" t="inlineStr">
        <is>
          <t>Yes</t>
        </is>
      </c>
      <c r="G184" s="8" t="n"/>
    </row>
    <row r="185">
      <c r="A185" s="8" t="inlineStr">
        <is>
          <t>PGCV_004_0185</t>
        </is>
      </c>
      <c r="B185" s="8" t="inlineStr">
        <is>
          <t>564B96839</t>
        </is>
      </c>
      <c r="C185" s="8" t="inlineStr">
        <is>
          <t>FWCKVQ7GF6</t>
        </is>
      </c>
      <c r="D185" s="7" t="n">
        <v>4</v>
      </c>
      <c r="E185" s="7" t="n">
        <v>185</v>
      </c>
      <c r="F185" s="7" t="inlineStr">
        <is>
          <t>Yes</t>
        </is>
      </c>
      <c r="G185" s="8" t="n"/>
    </row>
    <row r="186">
      <c r="A186" s="8" t="inlineStr">
        <is>
          <t>PGCV_004_0186</t>
        </is>
      </c>
      <c r="B186" s="8" t="inlineStr">
        <is>
          <t>564B96840</t>
        </is>
      </c>
      <c r="C186" s="8" t="inlineStr">
        <is>
          <t>BQO3RTGBTH</t>
        </is>
      </c>
      <c r="D186" s="7" t="n">
        <v>4</v>
      </c>
      <c r="E186" s="7" t="n">
        <v>186</v>
      </c>
      <c r="F186" s="7" t="inlineStr">
        <is>
          <t>Yes</t>
        </is>
      </c>
      <c r="G186" s="8" t="n"/>
    </row>
    <row r="187">
      <c r="A187" s="8" t="inlineStr">
        <is>
          <t>PGCV_004_0187</t>
        </is>
      </c>
      <c r="B187" s="8" t="inlineStr">
        <is>
          <t>568B97227</t>
        </is>
      </c>
      <c r="C187" s="8" t="inlineStr">
        <is>
          <t>0150T6A5TJ</t>
        </is>
      </c>
      <c r="D187" s="7" t="n">
        <v>4</v>
      </c>
      <c r="E187" s="7" t="n">
        <v>187</v>
      </c>
      <c r="F187" s="7" t="inlineStr">
        <is>
          <t>Yes</t>
        </is>
      </c>
      <c r="G187" s="8" t="n"/>
    </row>
    <row r="188">
      <c r="A188" s="8" t="inlineStr">
        <is>
          <t>PGCV_004_0188</t>
        </is>
      </c>
      <c r="B188" s="8" t="inlineStr">
        <is>
          <t>565B96914</t>
        </is>
      </c>
      <c r="C188" s="8" t="inlineStr">
        <is>
          <t>V4UMBXQHDQ</t>
        </is>
      </c>
      <c r="D188" s="7" t="n">
        <v>4</v>
      </c>
      <c r="E188" s="7" t="n">
        <v>188</v>
      </c>
      <c r="F188" s="7" t="inlineStr">
        <is>
          <t>Yes</t>
        </is>
      </c>
      <c r="G188" s="8" t="n"/>
    </row>
    <row r="189">
      <c r="A189" s="8" t="inlineStr">
        <is>
          <t>PGCV_004_0189</t>
        </is>
      </c>
      <c r="B189" s="8" t="inlineStr">
        <is>
          <t>565B96942</t>
        </is>
      </c>
      <c r="C189" s="8" t="inlineStr">
        <is>
          <t>I6HRUPKH4M</t>
        </is>
      </c>
      <c r="D189" s="7" t="n">
        <v>4</v>
      </c>
      <c r="E189" s="7" t="n">
        <v>189</v>
      </c>
      <c r="F189" s="7" t="inlineStr">
        <is>
          <t>Yes</t>
        </is>
      </c>
      <c r="G189" s="8" t="n"/>
    </row>
    <row r="190">
      <c r="A190" s="8" t="inlineStr">
        <is>
          <t>PGCV_004_0190</t>
        </is>
      </c>
      <c r="B190" s="8" t="inlineStr">
        <is>
          <t>566B97012</t>
        </is>
      </c>
      <c r="C190" s="8" t="inlineStr">
        <is>
          <t>DRGNFGPJVB</t>
        </is>
      </c>
      <c r="D190" s="7" t="n">
        <v>4</v>
      </c>
      <c r="E190" s="7" t="n">
        <v>190</v>
      </c>
      <c r="F190" s="7" t="inlineStr">
        <is>
          <t>Yes</t>
        </is>
      </c>
      <c r="G190" s="8" t="n"/>
    </row>
    <row r="191">
      <c r="A191" s="8" t="inlineStr">
        <is>
          <t>PGCV_005_0191</t>
        </is>
      </c>
      <c r="B191" s="8" t="inlineStr">
        <is>
          <t>COVID-SNL-22-21689</t>
        </is>
      </c>
      <c r="C191" s="8" t="inlineStr">
        <is>
          <t>2VRRTHVS12</t>
        </is>
      </c>
      <c r="D191" s="7" t="n">
        <v>5</v>
      </c>
      <c r="E191" s="7" t="n">
        <v>191</v>
      </c>
      <c r="F191" s="7" t="inlineStr">
        <is>
          <t>Yes</t>
        </is>
      </c>
      <c r="G191" s="8" t="n"/>
    </row>
    <row r="192">
      <c r="A192" s="8" t="inlineStr">
        <is>
          <t>PGCV_005_0192</t>
        </is>
      </c>
      <c r="B192" s="8" t="inlineStr">
        <is>
          <t>COVID-SNL-22-21693</t>
        </is>
      </c>
      <c r="C192" s="8" t="inlineStr">
        <is>
          <t>JF0KXTQOVJ</t>
        </is>
      </c>
      <c r="D192" s="7" t="n">
        <v>5</v>
      </c>
      <c r="E192" s="7" t="n">
        <v>192</v>
      </c>
      <c r="F192" s="7" t="inlineStr">
        <is>
          <t>Yes</t>
        </is>
      </c>
      <c r="G192" s="8" t="n"/>
    </row>
    <row r="193">
      <c r="A193" s="8" t="inlineStr">
        <is>
          <t>PGCV_005_0193</t>
        </is>
      </c>
      <c r="B193" s="8" t="inlineStr">
        <is>
          <t>COVID-SNL-22-21698</t>
        </is>
      </c>
      <c r="C193" s="8" t="inlineStr">
        <is>
          <t>LMZIXJOM5R</t>
        </is>
      </c>
      <c r="D193" s="7" t="n">
        <v>5</v>
      </c>
      <c r="E193" s="7" t="n">
        <v>193</v>
      </c>
      <c r="F193" s="7" t="inlineStr">
        <is>
          <t>Yes</t>
        </is>
      </c>
      <c r="G193" s="8" t="n"/>
    </row>
    <row r="194">
      <c r="A194" s="8" t="inlineStr">
        <is>
          <t>PGCV_005_0194</t>
        </is>
      </c>
      <c r="B194" s="8" t="inlineStr">
        <is>
          <t>COVID-SNL-22-21718</t>
        </is>
      </c>
      <c r="C194" s="8" t="inlineStr">
        <is>
          <t>0PI7ZGQBYO</t>
        </is>
      </c>
      <c r="D194" s="7" t="n">
        <v>5</v>
      </c>
      <c r="E194" s="7" t="n">
        <v>194</v>
      </c>
      <c r="F194" s="7" t="inlineStr">
        <is>
          <t>Yes</t>
        </is>
      </c>
      <c r="G194" s="8" t="n"/>
    </row>
    <row r="195">
      <c r="A195" s="8" t="inlineStr">
        <is>
          <t>PGCV_005_0195</t>
        </is>
      </c>
      <c r="B195" s="8" t="inlineStr">
        <is>
          <t>COVID-SNL-22-21719</t>
        </is>
      </c>
      <c r="C195" s="8" t="inlineStr">
        <is>
          <t>FET78IHUG9</t>
        </is>
      </c>
      <c r="D195" s="7" t="n">
        <v>5</v>
      </c>
      <c r="E195" s="7" t="n">
        <v>195</v>
      </c>
      <c r="F195" s="7" t="inlineStr">
        <is>
          <t>Yes</t>
        </is>
      </c>
      <c r="G195" s="8" t="n"/>
    </row>
    <row r="196">
      <c r="A196" s="8" t="inlineStr">
        <is>
          <t>PGCV_005_0196</t>
        </is>
      </c>
      <c r="B196" s="8" t="inlineStr">
        <is>
          <t>COVID-SNL-22-21739</t>
        </is>
      </c>
      <c r="C196" s="8" t="inlineStr">
        <is>
          <t>4DBQJKRNJO</t>
        </is>
      </c>
      <c r="D196" s="7" t="n">
        <v>5</v>
      </c>
      <c r="E196" s="7" t="n">
        <v>196</v>
      </c>
      <c r="F196" s="7" t="inlineStr">
        <is>
          <t>Yes</t>
        </is>
      </c>
      <c r="G196" s="8" t="n"/>
    </row>
    <row r="197">
      <c r="A197" s="8" t="inlineStr">
        <is>
          <t>PGCV_005_0197</t>
        </is>
      </c>
      <c r="B197" s="8" t="inlineStr">
        <is>
          <t>COVID-SNL-22-21743</t>
        </is>
      </c>
      <c r="C197" s="8" t="inlineStr">
        <is>
          <t>RAOC0SYFFQ</t>
        </is>
      </c>
      <c r="D197" s="7" t="n">
        <v>5</v>
      </c>
      <c r="E197" s="7" t="n">
        <v>197</v>
      </c>
      <c r="F197" s="7" t="inlineStr">
        <is>
          <t>Yes</t>
        </is>
      </c>
      <c r="G197" s="8" t="n"/>
    </row>
    <row r="198">
      <c r="A198" s="8" t="inlineStr">
        <is>
          <t>PGCV_005_0198</t>
        </is>
      </c>
      <c r="B198" s="8" t="inlineStr">
        <is>
          <t>COVID-SNL-22-21834</t>
        </is>
      </c>
      <c r="C198" s="8" t="inlineStr">
        <is>
          <t>Y8MZY0TPA1</t>
        </is>
      </c>
      <c r="D198" s="7" t="n">
        <v>5</v>
      </c>
      <c r="E198" s="7" t="n">
        <v>198</v>
      </c>
      <c r="F198" s="7" t="inlineStr">
        <is>
          <t>Yes</t>
        </is>
      </c>
      <c r="G198" s="8" t="n"/>
    </row>
    <row r="199">
      <c r="A199" s="8" t="inlineStr">
        <is>
          <t>PGCV_005_0199</t>
        </is>
      </c>
      <c r="B199" s="8" t="inlineStr">
        <is>
          <t>COVID-SNL-22-21908</t>
        </is>
      </c>
      <c r="C199" s="8" t="inlineStr">
        <is>
          <t>ROCJRS6MBM</t>
        </is>
      </c>
      <c r="D199" s="7" t="n">
        <v>5</v>
      </c>
      <c r="E199" s="7" t="n">
        <v>199</v>
      </c>
      <c r="F199" s="7" t="inlineStr">
        <is>
          <t>Yes</t>
        </is>
      </c>
      <c r="G199" s="8" t="n"/>
    </row>
    <row r="200">
      <c r="A200" s="8" t="inlineStr">
        <is>
          <t>PGCV_005_0200</t>
        </is>
      </c>
      <c r="B200" s="8" t="inlineStr">
        <is>
          <t>COVID-SNL-22-21920</t>
        </is>
      </c>
      <c r="C200" s="8" t="inlineStr">
        <is>
          <t>6ZQSO9A7DK</t>
        </is>
      </c>
      <c r="D200" s="7" t="n">
        <v>5</v>
      </c>
      <c r="E200" s="7" t="n">
        <v>200</v>
      </c>
      <c r="F200" s="7" t="inlineStr">
        <is>
          <t>Yes</t>
        </is>
      </c>
      <c r="G200" s="8" t="n"/>
    </row>
    <row r="201">
      <c r="A201" s="8" t="inlineStr">
        <is>
          <t>PGCV_005_0201</t>
        </is>
      </c>
      <c r="B201" s="8" t="inlineStr">
        <is>
          <t>COVID-SNL-22-21922</t>
        </is>
      </c>
      <c r="C201" s="8" t="inlineStr">
        <is>
          <t>3JRHGOAGNU</t>
        </is>
      </c>
      <c r="D201" s="7" t="n">
        <v>5</v>
      </c>
      <c r="E201" s="7" t="n">
        <v>201</v>
      </c>
      <c r="F201" s="7" t="inlineStr">
        <is>
          <t>Yes</t>
        </is>
      </c>
      <c r="G201" s="8" t="n"/>
    </row>
    <row r="202">
      <c r="A202" s="8" t="inlineStr">
        <is>
          <t>PGCV_005_0202</t>
        </is>
      </c>
      <c r="B202" s="8" t="inlineStr">
        <is>
          <t>COVID-SNL-22-22040</t>
        </is>
      </c>
      <c r="C202" s="8" t="inlineStr">
        <is>
          <t>6Q3XVMZKF2</t>
        </is>
      </c>
      <c r="D202" s="7" t="n">
        <v>5</v>
      </c>
      <c r="E202" s="7" t="n">
        <v>202</v>
      </c>
      <c r="F202" s="7" t="inlineStr">
        <is>
          <t>Yes</t>
        </is>
      </c>
      <c r="G202" s="8" t="n"/>
    </row>
    <row r="203">
      <c r="A203" s="8" t="inlineStr">
        <is>
          <t>PGCV_005_0203</t>
        </is>
      </c>
      <c r="B203" s="8" t="inlineStr">
        <is>
          <t>COVID-SNL-22-22180</t>
        </is>
      </c>
      <c r="C203" s="8" t="inlineStr">
        <is>
          <t>0OGEOW6OQX</t>
        </is>
      </c>
      <c r="D203" s="7" t="n">
        <v>5</v>
      </c>
      <c r="E203" s="7" t="n">
        <v>203</v>
      </c>
      <c r="F203" s="7" t="inlineStr">
        <is>
          <t>Yes</t>
        </is>
      </c>
      <c r="G203" s="8" t="n"/>
    </row>
    <row r="204">
      <c r="A204" s="8" t="inlineStr">
        <is>
          <t>PGCV_005_0204</t>
        </is>
      </c>
      <c r="B204" s="8" t="inlineStr">
        <is>
          <t>COVID-SNL-22-22231</t>
        </is>
      </c>
      <c r="C204" s="8" t="inlineStr">
        <is>
          <t>Q6N4N6VSCH</t>
        </is>
      </c>
      <c r="D204" s="7" t="n">
        <v>5</v>
      </c>
      <c r="E204" s="7" t="n">
        <v>204</v>
      </c>
      <c r="F204" s="7" t="inlineStr">
        <is>
          <t>Yes</t>
        </is>
      </c>
      <c r="G204" s="8" t="n"/>
    </row>
    <row r="205">
      <c r="A205" s="8" t="inlineStr">
        <is>
          <t>PGCV_005_0205</t>
        </is>
      </c>
      <c r="B205" s="8" t="inlineStr">
        <is>
          <t>COVID-SNL-22-22258</t>
        </is>
      </c>
      <c r="C205" s="8" t="inlineStr">
        <is>
          <t>0UNGPGDE95</t>
        </is>
      </c>
      <c r="D205" s="7" t="n">
        <v>5</v>
      </c>
      <c r="E205" s="7" t="n">
        <v>205</v>
      </c>
      <c r="F205" s="7" t="inlineStr">
        <is>
          <t>Yes</t>
        </is>
      </c>
      <c r="G205" s="8" t="n"/>
    </row>
    <row r="206">
      <c r="A206" s="8" t="inlineStr">
        <is>
          <t>PGCV_005_0206</t>
        </is>
      </c>
      <c r="B206" s="8" t="inlineStr">
        <is>
          <t>COVID-SNL-22-22271</t>
        </is>
      </c>
      <c r="C206" s="8" t="inlineStr">
        <is>
          <t>PEIGYIYCVF</t>
        </is>
      </c>
      <c r="D206" s="7" t="n">
        <v>5</v>
      </c>
      <c r="E206" s="7" t="n">
        <v>206</v>
      </c>
      <c r="F206" s="7" t="inlineStr">
        <is>
          <t>Yes</t>
        </is>
      </c>
      <c r="G206" s="8" t="n"/>
    </row>
    <row r="207">
      <c r="A207" s="8" t="inlineStr">
        <is>
          <t>PGCV_005_0207</t>
        </is>
      </c>
      <c r="B207" s="8" t="inlineStr">
        <is>
          <t>COVID-SNL-22-22272</t>
        </is>
      </c>
      <c r="C207" s="8" t="inlineStr">
        <is>
          <t>PQUMFKOAQ0</t>
        </is>
      </c>
      <c r="D207" s="7" t="n">
        <v>5</v>
      </c>
      <c r="E207" s="7" t="n">
        <v>207</v>
      </c>
      <c r="F207" s="7" t="inlineStr">
        <is>
          <t>Yes</t>
        </is>
      </c>
      <c r="G207" s="8" t="n"/>
    </row>
    <row r="208">
      <c r="A208" s="8" t="inlineStr">
        <is>
          <t>PGCV_005_0208</t>
        </is>
      </c>
      <c r="B208" s="8" t="inlineStr">
        <is>
          <t>COVID-SNL-22-22319</t>
        </is>
      </c>
      <c r="C208" s="8" t="inlineStr">
        <is>
          <t>5SZDDYNVBR</t>
        </is>
      </c>
      <c r="D208" s="7" t="n">
        <v>5</v>
      </c>
      <c r="E208" s="7" t="n">
        <v>208</v>
      </c>
      <c r="F208" s="7" t="inlineStr">
        <is>
          <t>No</t>
        </is>
      </c>
      <c r="G208" s="8" t="n"/>
    </row>
    <row r="209">
      <c r="A209" s="8" t="inlineStr">
        <is>
          <t>PGCV_005_0209</t>
        </is>
      </c>
      <c r="B209" s="8" t="inlineStr">
        <is>
          <t>COVID-SNL-22-22373</t>
        </is>
      </c>
      <c r="C209" s="8" t="inlineStr">
        <is>
          <t>H1KZGSHEBP</t>
        </is>
      </c>
      <c r="D209" s="7" t="n">
        <v>5</v>
      </c>
      <c r="E209" s="7" t="n">
        <v>209</v>
      </c>
      <c r="F209" s="7" t="inlineStr">
        <is>
          <t>Yes</t>
        </is>
      </c>
      <c r="G209" s="8" t="n"/>
    </row>
    <row r="210">
      <c r="A210" s="8" t="inlineStr">
        <is>
          <t>PGCV_005_0210</t>
        </is>
      </c>
      <c r="B210" s="8" t="inlineStr">
        <is>
          <t>COVID-SNL-22-22277</t>
        </is>
      </c>
      <c r="C210" s="8" t="inlineStr">
        <is>
          <t>JDSIL8JPXH</t>
        </is>
      </c>
      <c r="D210" s="7" t="n">
        <v>5</v>
      </c>
      <c r="E210" s="7" t="n">
        <v>210</v>
      </c>
      <c r="F210" s="7" t="inlineStr">
        <is>
          <t>Yes</t>
        </is>
      </c>
      <c r="G210" s="8" t="n"/>
    </row>
    <row r="211">
      <c r="A211" s="8" t="inlineStr">
        <is>
          <t>PGCV_005_0211</t>
        </is>
      </c>
      <c r="B211" s="8" t="inlineStr">
        <is>
          <t>COVID-SNL-22-22278</t>
        </is>
      </c>
      <c r="C211" s="8" t="inlineStr">
        <is>
          <t>IDCDKKJ6SY</t>
        </is>
      </c>
      <c r="D211" s="7" t="n">
        <v>5</v>
      </c>
      <c r="E211" s="7" t="n">
        <v>211</v>
      </c>
      <c r="F211" s="7" t="inlineStr">
        <is>
          <t>Yes</t>
        </is>
      </c>
      <c r="G211" s="8" t="n"/>
    </row>
    <row r="212">
      <c r="A212" s="8" t="inlineStr">
        <is>
          <t>PGCV_005_0212</t>
        </is>
      </c>
      <c r="B212" s="8" t="inlineStr">
        <is>
          <t>COVID-SNL-22-22405</t>
        </is>
      </c>
      <c r="C212" s="8" t="inlineStr">
        <is>
          <t>O59YCO8RD8</t>
        </is>
      </c>
      <c r="D212" s="7" t="n">
        <v>5</v>
      </c>
      <c r="E212" s="7" t="n">
        <v>212</v>
      </c>
      <c r="F212" s="7" t="inlineStr">
        <is>
          <t>Yes</t>
        </is>
      </c>
      <c r="G212" s="8" t="n"/>
    </row>
    <row r="213">
      <c r="A213" s="8" t="inlineStr">
        <is>
          <t>PGCV_005_0213</t>
        </is>
      </c>
      <c r="B213" s="8" t="inlineStr">
        <is>
          <t>COVID-SNL-22-22450</t>
        </is>
      </c>
      <c r="C213" s="8" t="inlineStr">
        <is>
          <t>HVHXEIGV0N</t>
        </is>
      </c>
      <c r="D213" s="7" t="n">
        <v>5</v>
      </c>
      <c r="E213" s="7" t="n">
        <v>213</v>
      </c>
      <c r="F213" s="7" t="inlineStr">
        <is>
          <t>Yes</t>
        </is>
      </c>
      <c r="G213" s="8" t="n"/>
    </row>
    <row r="214">
      <c r="A214" s="8" t="inlineStr">
        <is>
          <t>PGCV_005_0214</t>
        </is>
      </c>
      <c r="B214" s="8" t="inlineStr">
        <is>
          <t>COVID-SNL-22-22612</t>
        </is>
      </c>
      <c r="C214" s="8" t="inlineStr">
        <is>
          <t>CE1REN06VG</t>
        </is>
      </c>
      <c r="D214" s="7" t="n">
        <v>5</v>
      </c>
      <c r="E214" s="7" t="n">
        <v>214</v>
      </c>
      <c r="F214" s="7" t="inlineStr">
        <is>
          <t>Yes</t>
        </is>
      </c>
      <c r="G214" s="8" t="n"/>
    </row>
    <row r="215">
      <c r="A215" s="8" t="inlineStr">
        <is>
          <t>PGCV_005_0215</t>
        </is>
      </c>
      <c r="B215" s="8" t="inlineStr">
        <is>
          <t>COVID-SNL-22-22613</t>
        </is>
      </c>
      <c r="C215" s="8" t="inlineStr">
        <is>
          <t>YARPVVXJOJ</t>
        </is>
      </c>
      <c r="D215" s="7" t="n">
        <v>5</v>
      </c>
      <c r="E215" s="7" t="n">
        <v>215</v>
      </c>
      <c r="F215" s="7" t="inlineStr">
        <is>
          <t>Yes</t>
        </is>
      </c>
      <c r="G215" s="8" t="n"/>
    </row>
    <row r="216">
      <c r="A216" s="8" t="inlineStr">
        <is>
          <t>PGCV_005_0216</t>
        </is>
      </c>
      <c r="B216" s="8" t="inlineStr">
        <is>
          <t>COVID-SNL-22-22725</t>
        </is>
      </c>
      <c r="C216" s="8" t="inlineStr">
        <is>
          <t>0XPHZKP8QP</t>
        </is>
      </c>
      <c r="D216" s="7" t="n">
        <v>5</v>
      </c>
      <c r="E216" s="7" t="n">
        <v>216</v>
      </c>
      <c r="F216" s="7" t="inlineStr">
        <is>
          <t>Yes</t>
        </is>
      </c>
      <c r="G216" s="8" t="n"/>
    </row>
    <row r="217">
      <c r="A217" s="8" t="inlineStr">
        <is>
          <t>PGCV_005_0217</t>
        </is>
      </c>
      <c r="B217" s="8" t="inlineStr">
        <is>
          <t>COVID-SNL-22-22732</t>
        </is>
      </c>
      <c r="C217" s="8" t="inlineStr">
        <is>
          <t>M2QILDFYCQ</t>
        </is>
      </c>
      <c r="D217" s="7" t="n">
        <v>5</v>
      </c>
      <c r="E217" s="7" t="n">
        <v>217</v>
      </c>
      <c r="F217" s="7" t="inlineStr">
        <is>
          <t>Yes</t>
        </is>
      </c>
      <c r="G217" s="8" t="n"/>
    </row>
    <row r="218">
      <c r="A218" s="8" t="inlineStr">
        <is>
          <t>PGCV_005_0218</t>
        </is>
      </c>
      <c r="B218" s="8" t="inlineStr">
        <is>
          <t>COVID-SNL-22-22711</t>
        </is>
      </c>
      <c r="C218" s="8" t="inlineStr">
        <is>
          <t>C6SHTWUVVX</t>
        </is>
      </c>
      <c r="D218" s="7" t="n">
        <v>5</v>
      </c>
      <c r="E218" s="7" t="n">
        <v>218</v>
      </c>
      <c r="F218" s="7" t="inlineStr">
        <is>
          <t>Yes</t>
        </is>
      </c>
      <c r="G218" s="8" t="n"/>
    </row>
    <row r="219">
      <c r="A219" s="8" t="inlineStr">
        <is>
          <t>PGCV_005_0219</t>
        </is>
      </c>
      <c r="B219" s="8" t="inlineStr">
        <is>
          <t>COVID-SNL-22-23081</t>
        </is>
      </c>
      <c r="C219" s="8" t="inlineStr">
        <is>
          <t>YVZKABC97X</t>
        </is>
      </c>
      <c r="D219" s="7" t="n">
        <v>5</v>
      </c>
      <c r="E219" s="7" t="n">
        <v>219</v>
      </c>
      <c r="F219" s="7" t="inlineStr">
        <is>
          <t>Yes</t>
        </is>
      </c>
      <c r="G219" s="8" t="n"/>
    </row>
    <row r="220">
      <c r="A220" s="8" t="inlineStr">
        <is>
          <t>PGCV_005_0220</t>
        </is>
      </c>
      <c r="B220" s="8" t="inlineStr">
        <is>
          <t>COVID-SNL-22-23123</t>
        </is>
      </c>
      <c r="C220" s="8" t="inlineStr">
        <is>
          <t>JBNIWDHPC8</t>
        </is>
      </c>
      <c r="D220" s="7" t="n">
        <v>5</v>
      </c>
      <c r="E220" s="7" t="n">
        <v>220</v>
      </c>
      <c r="F220" s="7" t="inlineStr">
        <is>
          <t>Yes</t>
        </is>
      </c>
      <c r="G220" s="8" t="n"/>
    </row>
    <row r="221">
      <c r="A221" s="8" t="inlineStr">
        <is>
          <t>PGCV_005_0221</t>
        </is>
      </c>
      <c r="B221" s="8" t="inlineStr">
        <is>
          <t>COVID-SNL-22-23265</t>
        </is>
      </c>
      <c r="C221" s="8" t="inlineStr">
        <is>
          <t>JDB3DHI0R3</t>
        </is>
      </c>
      <c r="D221" s="7" t="n">
        <v>5</v>
      </c>
      <c r="E221" s="7" t="n">
        <v>221</v>
      </c>
      <c r="F221" s="7" t="inlineStr">
        <is>
          <t>Yes</t>
        </is>
      </c>
      <c r="G221" s="8" t="n"/>
    </row>
    <row r="222">
      <c r="A222" s="8" t="inlineStr">
        <is>
          <t>PGCV_005_0222</t>
        </is>
      </c>
      <c r="B222" s="8" t="inlineStr">
        <is>
          <t>COVID-SNL-22-23329</t>
        </is>
      </c>
      <c r="C222" s="8" t="inlineStr">
        <is>
          <t>FGHSSMF1P6</t>
        </is>
      </c>
      <c r="D222" s="7" t="n">
        <v>5</v>
      </c>
      <c r="E222" s="7" t="n">
        <v>222</v>
      </c>
      <c r="F222" s="7" t="inlineStr">
        <is>
          <t>Yes</t>
        </is>
      </c>
      <c r="G222" s="8" t="n"/>
    </row>
    <row r="223">
      <c r="A223" s="8" t="inlineStr">
        <is>
          <t>PGCV_005_0223</t>
        </is>
      </c>
      <c r="B223" s="8" t="inlineStr">
        <is>
          <t>COVID-SNL-22-23215</t>
        </is>
      </c>
      <c r="C223" s="8" t="inlineStr">
        <is>
          <t>TEQDNIG90C</t>
        </is>
      </c>
      <c r="D223" s="7" t="n">
        <v>5</v>
      </c>
      <c r="E223" s="7" t="n">
        <v>223</v>
      </c>
      <c r="F223" s="7" t="inlineStr">
        <is>
          <t>Yes</t>
        </is>
      </c>
      <c r="G223" s="8" t="n"/>
    </row>
    <row r="224">
      <c r="A224" s="8" t="inlineStr">
        <is>
          <t>PGCV_005_0224</t>
        </is>
      </c>
      <c r="B224" s="8" t="inlineStr">
        <is>
          <t>COVID-SNL-22-23216</t>
        </is>
      </c>
      <c r="C224" s="8" t="inlineStr">
        <is>
          <t>EGHXUXHMFC</t>
        </is>
      </c>
      <c r="D224" s="7" t="n">
        <v>5</v>
      </c>
      <c r="E224" s="7" t="n">
        <v>224</v>
      </c>
      <c r="F224" s="7" t="inlineStr">
        <is>
          <t>Yes</t>
        </is>
      </c>
      <c r="G224" s="8" t="n"/>
    </row>
    <row r="225">
      <c r="A225" s="8" t="inlineStr">
        <is>
          <t>PGCV_005_0225</t>
        </is>
      </c>
      <c r="B225" s="8" t="inlineStr">
        <is>
          <t>COVID-SNL-22-23231</t>
        </is>
      </c>
      <c r="C225" s="8" t="inlineStr">
        <is>
          <t>TCQQDXJPJT</t>
        </is>
      </c>
      <c r="D225" s="7" t="n">
        <v>5</v>
      </c>
      <c r="E225" s="7" t="n">
        <v>225</v>
      </c>
      <c r="F225" s="7" t="inlineStr">
        <is>
          <t>Yes</t>
        </is>
      </c>
      <c r="G225" s="8" t="n"/>
    </row>
    <row r="226">
      <c r="A226" s="8" t="inlineStr">
        <is>
          <t>PGCV_005_0226</t>
        </is>
      </c>
      <c r="B226" s="8" t="inlineStr">
        <is>
          <t>COVID-SNL-22-23363</t>
        </is>
      </c>
      <c r="C226" s="8" t="inlineStr">
        <is>
          <t>PHRPSJYRY9</t>
        </is>
      </c>
      <c r="D226" s="7" t="n">
        <v>5</v>
      </c>
      <c r="E226" s="7" t="n">
        <v>226</v>
      </c>
      <c r="F226" s="7" t="inlineStr">
        <is>
          <t>Yes</t>
        </is>
      </c>
      <c r="G226" s="8" t="n"/>
    </row>
    <row r="227">
      <c r="A227" s="8" t="inlineStr">
        <is>
          <t>PGCV_005_0227</t>
        </is>
      </c>
      <c r="B227" s="8" t="inlineStr">
        <is>
          <t>COVID-SNL-22-23376</t>
        </is>
      </c>
      <c r="C227" s="8" t="inlineStr">
        <is>
          <t>9EDXI9GONL</t>
        </is>
      </c>
      <c r="D227" s="7" t="n">
        <v>5</v>
      </c>
      <c r="E227" s="7" t="n">
        <v>227</v>
      </c>
      <c r="F227" s="7" t="inlineStr">
        <is>
          <t>Yes</t>
        </is>
      </c>
      <c r="G227" s="8" t="n"/>
    </row>
    <row r="228">
      <c r="A228" s="8" t="inlineStr">
        <is>
          <t>PGCV_005_0228</t>
        </is>
      </c>
      <c r="B228" s="8" t="inlineStr">
        <is>
          <t>COVID-SNL-22-23441</t>
        </is>
      </c>
      <c r="C228" s="8" t="inlineStr">
        <is>
          <t>YQSAJWMLOO</t>
        </is>
      </c>
      <c r="D228" s="7" t="n">
        <v>5</v>
      </c>
      <c r="E228" s="7" t="n">
        <v>228</v>
      </c>
      <c r="F228" s="7" t="inlineStr">
        <is>
          <t>Yes</t>
        </is>
      </c>
      <c r="G228" s="8" t="n"/>
    </row>
    <row r="229">
      <c r="A229" s="8" t="inlineStr">
        <is>
          <t>PGCV_005_0229</t>
        </is>
      </c>
      <c r="B229" s="8" t="inlineStr">
        <is>
          <t>COVID-SNL-22-23456</t>
        </is>
      </c>
      <c r="C229" s="8" t="inlineStr">
        <is>
          <t>PILCAEP3W7</t>
        </is>
      </c>
      <c r="D229" s="7" t="n">
        <v>5</v>
      </c>
      <c r="E229" s="7" t="n">
        <v>229</v>
      </c>
      <c r="F229" s="7" t="inlineStr">
        <is>
          <t>Yes</t>
        </is>
      </c>
      <c r="G229" s="8" t="n"/>
    </row>
    <row r="230">
      <c r="A230" s="8" t="inlineStr">
        <is>
          <t>PGCV_005_0230</t>
        </is>
      </c>
      <c r="B230" s="8" t="inlineStr">
        <is>
          <t>COVID-SNL-22-23486</t>
        </is>
      </c>
      <c r="C230" s="8" t="inlineStr">
        <is>
          <t>4JQWST8WGO</t>
        </is>
      </c>
      <c r="D230" s="7" t="n">
        <v>5</v>
      </c>
      <c r="E230" s="7" t="n">
        <v>230</v>
      </c>
      <c r="F230" s="7" t="inlineStr">
        <is>
          <t>Yes</t>
        </is>
      </c>
      <c r="G230" s="8" t="n"/>
    </row>
    <row r="231">
      <c r="A231" s="8" t="inlineStr">
        <is>
          <t>PGCV_005_0231</t>
        </is>
      </c>
      <c r="B231" s="8" t="inlineStr">
        <is>
          <t>COVID-SNL-22-23495</t>
        </is>
      </c>
      <c r="C231" s="8" t="inlineStr">
        <is>
          <t>G8RNPTXOMW</t>
        </is>
      </c>
      <c r="D231" s="7" t="n">
        <v>5</v>
      </c>
      <c r="E231" s="7" t="n">
        <v>231</v>
      </c>
      <c r="F231" s="7" t="inlineStr">
        <is>
          <t>Yes</t>
        </is>
      </c>
      <c r="G231" s="8" t="n"/>
    </row>
    <row r="232">
      <c r="A232" s="8" t="inlineStr">
        <is>
          <t>PGCV_005_0232</t>
        </is>
      </c>
      <c r="B232" s="8" t="inlineStr">
        <is>
          <t>COVID-SNL-22-23498</t>
        </is>
      </c>
      <c r="C232" s="8" t="inlineStr">
        <is>
          <t>XJMJKKURYB</t>
        </is>
      </c>
      <c r="D232" s="7" t="n">
        <v>5</v>
      </c>
      <c r="E232" s="7" t="n">
        <v>232</v>
      </c>
      <c r="F232" s="7" t="inlineStr">
        <is>
          <t>Yes</t>
        </is>
      </c>
      <c r="G232" s="8" t="n"/>
    </row>
    <row r="233">
      <c r="A233" s="8" t="inlineStr">
        <is>
          <t>PGCV_005_0233</t>
        </is>
      </c>
      <c r="B233" s="8" t="inlineStr">
        <is>
          <t>COVID-SNL-22-23673</t>
        </is>
      </c>
      <c r="C233" s="8" t="inlineStr">
        <is>
          <t>I5CC0GTYXU</t>
        </is>
      </c>
      <c r="D233" s="7" t="n">
        <v>5</v>
      </c>
      <c r="E233" s="7" t="n">
        <v>233</v>
      </c>
      <c r="F233" s="7" t="inlineStr">
        <is>
          <t>Yes</t>
        </is>
      </c>
      <c r="G233" s="8" t="n"/>
    </row>
    <row r="234">
      <c r="A234" s="8" t="inlineStr">
        <is>
          <t>PGCV_005_0234</t>
        </is>
      </c>
      <c r="B234" s="8" t="inlineStr">
        <is>
          <t>COVID-SNL-22-23616</t>
        </is>
      </c>
      <c r="C234" s="8" t="inlineStr">
        <is>
          <t>YDFL4FKFMD</t>
        </is>
      </c>
      <c r="D234" s="7" t="n">
        <v>5</v>
      </c>
      <c r="E234" s="7" t="n">
        <v>234</v>
      </c>
      <c r="F234" s="7" t="inlineStr">
        <is>
          <t>Yes</t>
        </is>
      </c>
      <c r="G234" s="8" t="n"/>
    </row>
    <row r="235">
      <c r="A235" s="8" t="inlineStr">
        <is>
          <t>PGCV_005_0235</t>
        </is>
      </c>
      <c r="B235" s="8" t="inlineStr">
        <is>
          <t>COVID-SNL-22-23720</t>
        </is>
      </c>
      <c r="C235" s="8" t="inlineStr">
        <is>
          <t>7J4PEUXBNM</t>
        </is>
      </c>
      <c r="D235" s="7" t="n">
        <v>5</v>
      </c>
      <c r="E235" s="7" t="n">
        <v>235</v>
      </c>
      <c r="F235" s="7" t="inlineStr">
        <is>
          <t>Yes</t>
        </is>
      </c>
      <c r="G235" s="8" t="n"/>
    </row>
    <row r="236">
      <c r="A236" s="8" t="inlineStr">
        <is>
          <t>PGCV_005_0236</t>
        </is>
      </c>
      <c r="B236" s="8" t="inlineStr">
        <is>
          <t>COVID-SNL-22-23727</t>
        </is>
      </c>
      <c r="C236" s="8" t="inlineStr">
        <is>
          <t>HWCVRMPXNJ</t>
        </is>
      </c>
      <c r="D236" s="7" t="n">
        <v>5</v>
      </c>
      <c r="E236" s="7" t="n">
        <v>236</v>
      </c>
      <c r="F236" s="7" t="inlineStr">
        <is>
          <t>Yes</t>
        </is>
      </c>
      <c r="G236" s="8" t="n"/>
    </row>
    <row r="237">
      <c r="A237" s="8" t="inlineStr">
        <is>
          <t>PGCV_005_0237</t>
        </is>
      </c>
      <c r="B237" s="8" t="inlineStr">
        <is>
          <t>COVID-SNL-22-23941</t>
        </is>
      </c>
      <c r="C237" s="8" t="inlineStr">
        <is>
          <t>7GDRUOUQ0N</t>
        </is>
      </c>
      <c r="D237" s="7" t="n">
        <v>5</v>
      </c>
      <c r="E237" s="7" t="n">
        <v>237</v>
      </c>
      <c r="F237" s="7" t="inlineStr">
        <is>
          <t>Yes</t>
        </is>
      </c>
      <c r="G237" s="8" t="n"/>
    </row>
    <row r="238">
      <c r="A238" s="8" t="inlineStr">
        <is>
          <t>PGCV_005_0238</t>
        </is>
      </c>
      <c r="B238" s="8" t="inlineStr">
        <is>
          <t>COVID-SNL-22-23828</t>
        </is>
      </c>
      <c r="C238" s="8" t="inlineStr">
        <is>
          <t>2DLVSUK8V5</t>
        </is>
      </c>
      <c r="D238" s="7" t="n">
        <v>5</v>
      </c>
      <c r="E238" s="7" t="n">
        <v>238</v>
      </c>
      <c r="F238" s="7" t="inlineStr">
        <is>
          <t>Yes</t>
        </is>
      </c>
      <c r="G238" s="8" t="n"/>
    </row>
    <row r="239">
      <c r="A239" s="8" t="inlineStr">
        <is>
          <t>PGCV_005_0239</t>
        </is>
      </c>
      <c r="B239" s="8" t="inlineStr">
        <is>
          <t>COVID-SNL-22-23841</t>
        </is>
      </c>
      <c r="C239" s="8" t="inlineStr">
        <is>
          <t>X4QTIC7OSC</t>
        </is>
      </c>
      <c r="D239" s="7" t="n">
        <v>5</v>
      </c>
      <c r="E239" s="7" t="n">
        <v>239</v>
      </c>
      <c r="F239" s="7" t="inlineStr">
        <is>
          <t>Yes</t>
        </is>
      </c>
      <c r="G239" s="8" t="n"/>
    </row>
    <row r="240">
      <c r="A240" s="8" t="inlineStr">
        <is>
          <t>PGCV_005_0240</t>
        </is>
      </c>
      <c r="B240" s="8" t="inlineStr">
        <is>
          <t>COVID-SNL-22-24024</t>
        </is>
      </c>
      <c r="C240" s="8" t="inlineStr">
        <is>
          <t>PIICH18RPM</t>
        </is>
      </c>
      <c r="D240" s="7" t="n">
        <v>5</v>
      </c>
      <c r="E240" s="7" t="n">
        <v>240</v>
      </c>
      <c r="F240" s="7" t="inlineStr">
        <is>
          <t>Yes</t>
        </is>
      </c>
      <c r="G240" s="8" t="n"/>
    </row>
    <row r="241">
      <c r="A241" s="8" t="inlineStr">
        <is>
          <t>PGCV_005_0241</t>
        </is>
      </c>
      <c r="B241" s="8" t="inlineStr">
        <is>
          <t>COVID-SNL-22-24030</t>
        </is>
      </c>
      <c r="C241" s="8" t="inlineStr">
        <is>
          <t>YDP7FKHSOK</t>
        </is>
      </c>
      <c r="D241" s="7" t="n">
        <v>5</v>
      </c>
      <c r="E241" s="7" t="n">
        <v>241</v>
      </c>
      <c r="F241" s="7" t="inlineStr">
        <is>
          <t>Yes</t>
        </is>
      </c>
      <c r="G241" s="8" t="n"/>
    </row>
    <row r="242">
      <c r="A242" s="8" t="inlineStr">
        <is>
          <t>PGCV_005_0242</t>
        </is>
      </c>
      <c r="B242" s="8" t="inlineStr">
        <is>
          <t>COVID-SNL-22-24098</t>
        </is>
      </c>
      <c r="C242" s="8" t="inlineStr">
        <is>
          <t>VTME8WMPLE</t>
        </is>
      </c>
      <c r="D242" s="7" t="n">
        <v>5</v>
      </c>
      <c r="E242" s="7" t="n">
        <v>242</v>
      </c>
      <c r="F242" s="7" t="inlineStr">
        <is>
          <t>Yes</t>
        </is>
      </c>
      <c r="G242" s="8" t="n"/>
    </row>
    <row r="243">
      <c r="A243" s="8" t="inlineStr">
        <is>
          <t>PGCV_005_0243</t>
        </is>
      </c>
      <c r="B243" s="8" t="inlineStr">
        <is>
          <t>COVID-SNL-22-24109</t>
        </is>
      </c>
      <c r="C243" s="8" t="inlineStr">
        <is>
          <t>ZRCRLGZ2XQ</t>
        </is>
      </c>
      <c r="D243" s="7" t="n">
        <v>5</v>
      </c>
      <c r="E243" s="7" t="n">
        <v>243</v>
      </c>
      <c r="F243" s="7" t="inlineStr">
        <is>
          <t>Yes</t>
        </is>
      </c>
      <c r="G243" s="8" t="n"/>
    </row>
    <row r="244">
      <c r="A244" s="8" t="inlineStr">
        <is>
          <t>PGCV_005_0244</t>
        </is>
      </c>
      <c r="B244" s="8" t="inlineStr">
        <is>
          <t>MLAB167117</t>
        </is>
      </c>
      <c r="C244" s="8" t="inlineStr">
        <is>
          <t>RUXQ4PHXN8</t>
        </is>
      </c>
      <c r="D244" s="7" t="n">
        <v>5</v>
      </c>
      <c r="E244" s="7" t="n">
        <v>244</v>
      </c>
      <c r="F244" s="7" t="inlineStr">
        <is>
          <t>Yes</t>
        </is>
      </c>
      <c r="G244" s="8" t="n"/>
    </row>
    <row r="245">
      <c r="A245" s="8" t="inlineStr">
        <is>
          <t>PGCV_005_0245</t>
        </is>
      </c>
      <c r="B245" s="8" t="inlineStr">
        <is>
          <t>MLAB167116</t>
        </is>
      </c>
      <c r="C245" s="8" t="inlineStr">
        <is>
          <t>ZGM2DRQH8I</t>
        </is>
      </c>
      <c r="D245" s="7" t="n">
        <v>5</v>
      </c>
      <c r="E245" s="7" t="n">
        <v>245</v>
      </c>
      <c r="F245" s="7" t="inlineStr">
        <is>
          <t>Yes</t>
        </is>
      </c>
      <c r="G245" s="8" t="n"/>
    </row>
    <row r="246">
      <c r="A246" s="8" t="inlineStr">
        <is>
          <t>PGCV_005_0246</t>
        </is>
      </c>
      <c r="B246" s="8" t="inlineStr">
        <is>
          <t>MLAB166998</t>
        </is>
      </c>
      <c r="C246" s="8" t="inlineStr">
        <is>
          <t>74S0J7N0DF</t>
        </is>
      </c>
      <c r="D246" s="7" t="n">
        <v>5</v>
      </c>
      <c r="E246" s="7" t="n">
        <v>246</v>
      </c>
      <c r="F246" s="7" t="inlineStr">
        <is>
          <t>Yes</t>
        </is>
      </c>
      <c r="G246" s="8" t="n"/>
    </row>
    <row r="247">
      <c r="A247" s="8" t="inlineStr">
        <is>
          <t>PGCV_005_0247</t>
        </is>
      </c>
      <c r="B247" s="8" t="inlineStr">
        <is>
          <t>MLAB166922</t>
        </is>
      </c>
      <c r="C247" s="8" t="inlineStr">
        <is>
          <t>4MJADCSXUM</t>
        </is>
      </c>
      <c r="D247" s="7" t="n">
        <v>5</v>
      </c>
      <c r="E247" s="7" t="n">
        <v>247</v>
      </c>
      <c r="F247" s="7" t="inlineStr">
        <is>
          <t>Yes</t>
        </is>
      </c>
      <c r="G247" s="8" t="n"/>
    </row>
    <row r="248">
      <c r="A248" s="8" t="inlineStr">
        <is>
          <t>PGCV_005_0248</t>
        </is>
      </c>
      <c r="B248" s="8" t="inlineStr">
        <is>
          <t>MLAB167197</t>
        </is>
      </c>
      <c r="C248" s="8" t="inlineStr">
        <is>
          <t>WT4ZFTBTCX</t>
        </is>
      </c>
      <c r="D248" s="7" t="n">
        <v>5</v>
      </c>
      <c r="E248" s="7" t="n">
        <v>248</v>
      </c>
      <c r="F248" s="7" t="inlineStr">
        <is>
          <t>Yes</t>
        </is>
      </c>
      <c r="G248" s="8" t="n"/>
    </row>
    <row r="249">
      <c r="A249" s="8" t="inlineStr">
        <is>
          <t>PGCV_005_0249</t>
        </is>
      </c>
      <c r="B249" s="8" t="inlineStr">
        <is>
          <t>MLAB167196</t>
        </is>
      </c>
      <c r="C249" s="8" t="inlineStr">
        <is>
          <t>NX1RG6IWUW</t>
        </is>
      </c>
      <c r="D249" s="7" t="n">
        <v>5</v>
      </c>
      <c r="E249" s="7" t="n">
        <v>249</v>
      </c>
      <c r="F249" s="7" t="inlineStr">
        <is>
          <t>Yes</t>
        </is>
      </c>
      <c r="G249" s="8" t="n"/>
    </row>
    <row r="250">
      <c r="A250" s="8" t="inlineStr">
        <is>
          <t>PGCV_005_0250</t>
        </is>
      </c>
      <c r="B250" s="8" t="inlineStr">
        <is>
          <t>MLAB167166</t>
        </is>
      </c>
      <c r="C250" s="8" t="inlineStr">
        <is>
          <t>YHD44MUUMX</t>
        </is>
      </c>
      <c r="D250" s="7" t="n">
        <v>5</v>
      </c>
      <c r="E250" s="7" t="n">
        <v>250</v>
      </c>
      <c r="F250" s="7" t="inlineStr">
        <is>
          <t>Yes</t>
        </is>
      </c>
      <c r="G250" s="8" t="n"/>
    </row>
    <row r="251">
      <c r="A251" s="8" t="inlineStr">
        <is>
          <t>PGCV_005_0251</t>
        </is>
      </c>
      <c r="B251" s="8" t="inlineStr">
        <is>
          <t>MLAB167367</t>
        </is>
      </c>
      <c r="C251" s="8" t="inlineStr">
        <is>
          <t>3PWKDM7P7R</t>
        </is>
      </c>
      <c r="D251" s="7" t="n">
        <v>5</v>
      </c>
      <c r="E251" s="7" t="n">
        <v>251</v>
      </c>
      <c r="F251" s="7" t="inlineStr">
        <is>
          <t>Yes</t>
        </is>
      </c>
      <c r="G251" s="8" t="n"/>
    </row>
    <row r="252">
      <c r="A252" s="8" t="inlineStr">
        <is>
          <t>PGCV_005_0252</t>
        </is>
      </c>
      <c r="B252" s="8" t="inlineStr">
        <is>
          <t>MLAB167366</t>
        </is>
      </c>
      <c r="C252" s="8" t="inlineStr">
        <is>
          <t>D06R3DW4CR</t>
        </is>
      </c>
      <c r="D252" s="7" t="n">
        <v>5</v>
      </c>
      <c r="E252" s="7" t="n">
        <v>252</v>
      </c>
      <c r="F252" s="7" t="inlineStr">
        <is>
          <t>Yes</t>
        </is>
      </c>
      <c r="G252" s="8" t="n"/>
    </row>
    <row r="253">
      <c r="A253" s="8" t="inlineStr">
        <is>
          <t>PGCV_005_0253</t>
        </is>
      </c>
      <c r="B253" s="8" t="inlineStr">
        <is>
          <t>MLAB167486</t>
        </is>
      </c>
      <c r="C253" s="8" t="inlineStr">
        <is>
          <t>YELDVGKFFW</t>
        </is>
      </c>
      <c r="D253" s="7" t="n">
        <v>5</v>
      </c>
      <c r="E253" s="7" t="n">
        <v>253</v>
      </c>
      <c r="F253" s="7" t="inlineStr">
        <is>
          <t>Yes</t>
        </is>
      </c>
      <c r="G253" s="8" t="n"/>
    </row>
    <row r="254">
      <c r="A254" s="8" t="inlineStr">
        <is>
          <t>PGCV_005_0254</t>
        </is>
      </c>
      <c r="B254" s="8" t="inlineStr">
        <is>
          <t>567B97221</t>
        </is>
      </c>
      <c r="C254" s="8" t="inlineStr">
        <is>
          <t>8NOJQSGYSF</t>
        </is>
      </c>
      <c r="D254" s="7" t="n">
        <v>5</v>
      </c>
      <c r="E254" s="7" t="n">
        <v>254</v>
      </c>
      <c r="F254" s="7" t="inlineStr">
        <is>
          <t>Yes</t>
        </is>
      </c>
      <c r="G254" s="8" t="n"/>
    </row>
    <row r="255">
      <c r="A255" s="8" t="inlineStr">
        <is>
          <t>PGCV_005_0255</t>
        </is>
      </c>
      <c r="B255" s="8" t="inlineStr">
        <is>
          <t>567B97192</t>
        </is>
      </c>
      <c r="C255" s="8" t="inlineStr">
        <is>
          <t>ONPI3FM8YP</t>
        </is>
      </c>
      <c r="D255" s="7" t="n">
        <v>5</v>
      </c>
      <c r="E255" s="7" t="n">
        <v>255</v>
      </c>
      <c r="F255" s="7" t="inlineStr">
        <is>
          <t>Yes</t>
        </is>
      </c>
      <c r="G255" s="8" t="n"/>
    </row>
    <row r="256">
      <c r="A256" s="8" t="inlineStr">
        <is>
          <t>PGCV_005_0256</t>
        </is>
      </c>
      <c r="B256" s="8" t="inlineStr">
        <is>
          <t>567B97193</t>
        </is>
      </c>
      <c r="C256" s="8" t="inlineStr">
        <is>
          <t>REPKLG0J</t>
        </is>
      </c>
      <c r="D256" s="7" t="n">
        <v>5</v>
      </c>
      <c r="E256" s="7" t="n">
        <v>256</v>
      </c>
      <c r="F256" s="7" t="inlineStr">
        <is>
          <t>No</t>
        </is>
      </c>
      <c r="G256" s="8" t="n"/>
    </row>
    <row r="257">
      <c r="A257" s="8" t="inlineStr">
        <is>
          <t>PGCV_005_0257</t>
        </is>
      </c>
      <c r="B257" s="8" t="inlineStr">
        <is>
          <t>568B97247</t>
        </is>
      </c>
      <c r="C257" s="8" t="inlineStr">
        <is>
          <t>UEHONVPEKD</t>
        </is>
      </c>
      <c r="D257" s="7" t="n">
        <v>5</v>
      </c>
      <c r="E257" s="7" t="n">
        <v>257</v>
      </c>
      <c r="F257" s="7" t="inlineStr">
        <is>
          <t>Yes</t>
        </is>
      </c>
      <c r="G257" s="8" t="n"/>
    </row>
    <row r="258">
      <c r="A258" s="8" t="inlineStr">
        <is>
          <t>PGCV_005_0258</t>
        </is>
      </c>
      <c r="B258" s="8" t="inlineStr">
        <is>
          <t>569B97358</t>
        </is>
      </c>
      <c r="C258" s="8" t="inlineStr">
        <is>
          <t>WJS0XVUJEF</t>
        </is>
      </c>
      <c r="D258" s="7" t="n">
        <v>5</v>
      </c>
      <c r="E258" s="7" t="n">
        <v>258</v>
      </c>
      <c r="F258" s="7" t="inlineStr">
        <is>
          <t>Yes</t>
        </is>
      </c>
      <c r="G258" s="8" t="n"/>
    </row>
    <row r="259">
      <c r="A259" s="8" t="inlineStr">
        <is>
          <t>PGCV_005_0259</t>
        </is>
      </c>
      <c r="B259" s="8" t="inlineStr">
        <is>
          <t>569B97415</t>
        </is>
      </c>
      <c r="C259" s="8" t="inlineStr">
        <is>
          <t>KQOBTYDVQX</t>
        </is>
      </c>
      <c r="D259" s="7" t="n">
        <v>5</v>
      </c>
      <c r="E259" s="7" t="n">
        <v>259</v>
      </c>
      <c r="F259" s="7" t="inlineStr">
        <is>
          <t>No</t>
        </is>
      </c>
      <c r="G259" s="8" t="n"/>
    </row>
    <row r="260">
      <c r="A260" s="8" t="inlineStr">
        <is>
          <t>PGCV_005_0260</t>
        </is>
      </c>
      <c r="B260" s="8" t="inlineStr">
        <is>
          <t>569B97312</t>
        </is>
      </c>
      <c r="C260" s="8" t="inlineStr">
        <is>
          <t>TIAB431QVU</t>
        </is>
      </c>
      <c r="D260" s="7" t="n">
        <v>5</v>
      </c>
      <c r="E260" s="7" t="n">
        <v>260</v>
      </c>
      <c r="F260" s="7" t="inlineStr">
        <is>
          <t>Yes</t>
        </is>
      </c>
      <c r="G260" s="8" t="n"/>
    </row>
    <row r="261">
      <c r="A261" s="8" t="inlineStr">
        <is>
          <t>PGCV_005_0261</t>
        </is>
      </c>
      <c r="B261" s="8" t="inlineStr">
        <is>
          <t>569B97326</t>
        </is>
      </c>
      <c r="C261" s="8" t="inlineStr">
        <is>
          <t>1DQIAFGGVG</t>
        </is>
      </c>
      <c r="D261" s="7" t="n">
        <v>5</v>
      </c>
      <c r="E261" s="7" t="n">
        <v>261</v>
      </c>
      <c r="F261" s="7" t="inlineStr">
        <is>
          <t>Yes</t>
        </is>
      </c>
      <c r="G261" s="8" t="n"/>
    </row>
    <row r="262">
      <c r="A262" s="8" t="inlineStr">
        <is>
          <t>PGCV_005_0262</t>
        </is>
      </c>
      <c r="B262" s="8" t="inlineStr">
        <is>
          <t>570B97488</t>
        </is>
      </c>
      <c r="C262" s="8" t="inlineStr">
        <is>
          <t>YREBMUNQZE</t>
        </is>
      </c>
      <c r="D262" s="7" t="n">
        <v>5</v>
      </c>
      <c r="E262" s="7" t="n">
        <v>262</v>
      </c>
      <c r="F262" s="7" t="inlineStr">
        <is>
          <t>Yes</t>
        </is>
      </c>
      <c r="G262" s="8" t="n"/>
    </row>
    <row r="263">
      <c r="A263" s="8" t="inlineStr">
        <is>
          <t>PGCV_005_0263</t>
        </is>
      </c>
      <c r="B263" s="8" t="inlineStr">
        <is>
          <t>566B97047</t>
        </is>
      </c>
      <c r="C263" s="8" t="inlineStr">
        <is>
          <t>MVMYU0KSJE</t>
        </is>
      </c>
      <c r="D263" s="7" t="n">
        <v>5</v>
      </c>
      <c r="E263" s="7" t="n">
        <v>263</v>
      </c>
      <c r="F263" s="7" t="inlineStr">
        <is>
          <t>Yes</t>
        </is>
      </c>
      <c r="G263" s="8" t="n"/>
    </row>
    <row r="264">
      <c r="A264" s="8" t="inlineStr">
        <is>
          <t>PGCV_005_0264</t>
        </is>
      </c>
      <c r="B264" s="8" t="inlineStr">
        <is>
          <t>566B97048</t>
        </is>
      </c>
      <c r="C264" s="8" t="inlineStr">
        <is>
          <t>VB9SV6JLJG</t>
        </is>
      </c>
      <c r="D264" s="7" t="n">
        <v>5</v>
      </c>
      <c r="E264" s="7" t="n">
        <v>264</v>
      </c>
      <c r="F264" s="7" t="inlineStr">
        <is>
          <t>Yes</t>
        </is>
      </c>
      <c r="G264" s="8" t="n"/>
    </row>
    <row r="265">
      <c r="A265" s="8" t="inlineStr">
        <is>
          <t>PGCV_007_0265</t>
        </is>
      </c>
      <c r="B265" s="8" t="inlineStr">
        <is>
          <t>COVID-SNL-22-24304</t>
        </is>
      </c>
      <c r="C265" s="8" t="inlineStr">
        <is>
          <t>IXT97DOKVJ</t>
        </is>
      </c>
      <c r="D265" s="7" t="n">
        <v>7</v>
      </c>
      <c r="E265" s="7" t="n">
        <v>265</v>
      </c>
      <c r="F265" s="7" t="inlineStr">
        <is>
          <t>Yes</t>
        </is>
      </c>
      <c r="G265" s="8" t="n"/>
    </row>
    <row r="266">
      <c r="A266" s="8" t="inlineStr">
        <is>
          <t>PGCV_007_0266</t>
        </is>
      </c>
      <c r="B266" s="8" t="inlineStr">
        <is>
          <t>COVID-SNL-22-24396</t>
        </is>
      </c>
      <c r="C266" s="8" t="inlineStr">
        <is>
          <t>QOXWLEWYEK</t>
        </is>
      </c>
      <c r="D266" s="7" t="n">
        <v>7</v>
      </c>
      <c r="E266" s="7" t="n">
        <v>266</v>
      </c>
      <c r="F266" s="7" t="inlineStr">
        <is>
          <t>Yes</t>
        </is>
      </c>
      <c r="G266" s="8" t="n"/>
    </row>
    <row r="267">
      <c r="A267" s="8" t="inlineStr">
        <is>
          <t>PGCV_007_0267</t>
        </is>
      </c>
      <c r="B267" s="8" t="inlineStr">
        <is>
          <t>COVID-SNL-22-24413</t>
        </is>
      </c>
      <c r="C267" s="8" t="inlineStr">
        <is>
          <t>WERCGLTOVG</t>
        </is>
      </c>
      <c r="D267" s="7" t="n">
        <v>7</v>
      </c>
      <c r="E267" s="7" t="n">
        <v>267</v>
      </c>
      <c r="F267" s="7" t="inlineStr">
        <is>
          <t>Yes</t>
        </is>
      </c>
      <c r="G267" s="8" t="n"/>
    </row>
    <row r="268">
      <c r="A268" s="8" t="inlineStr">
        <is>
          <t>PGCV_007_0268</t>
        </is>
      </c>
      <c r="B268" s="8" t="inlineStr">
        <is>
          <t>COVID-SNL-22-24420</t>
        </is>
      </c>
      <c r="C268" s="8" t="inlineStr">
        <is>
          <t>TAZCV80BIC</t>
        </is>
      </c>
      <c r="D268" s="7" t="n">
        <v>7</v>
      </c>
      <c r="E268" s="7" t="n">
        <v>268</v>
      </c>
      <c r="F268" s="7" t="inlineStr">
        <is>
          <t>Yes</t>
        </is>
      </c>
      <c r="G268" s="8" t="n"/>
    </row>
    <row r="269">
      <c r="A269" s="8" t="inlineStr">
        <is>
          <t>PGCV_007_0269</t>
        </is>
      </c>
      <c r="B269" s="8" t="inlineStr">
        <is>
          <t>COVID-SNL-22-24501</t>
        </is>
      </c>
      <c r="C269" s="8" t="inlineStr">
        <is>
          <t>3YBIH3KWZP</t>
        </is>
      </c>
      <c r="D269" s="7" t="n">
        <v>7</v>
      </c>
      <c r="E269" s="7" t="n">
        <v>269</v>
      </c>
      <c r="F269" s="7" t="inlineStr">
        <is>
          <t>Yes</t>
        </is>
      </c>
      <c r="G269" s="8" t="n"/>
    </row>
    <row r="270">
      <c r="A270" s="8" t="inlineStr">
        <is>
          <t>PGCV_007_0270</t>
        </is>
      </c>
      <c r="B270" s="8" t="inlineStr">
        <is>
          <t>COVID-SNL-22-24670</t>
        </is>
      </c>
      <c r="C270" s="8" t="inlineStr">
        <is>
          <t>PG1YU5F9WN</t>
        </is>
      </c>
      <c r="D270" s="7" t="n">
        <v>7</v>
      </c>
      <c r="E270" s="7" t="n">
        <v>270</v>
      </c>
      <c r="F270" s="7" t="inlineStr">
        <is>
          <t>Yes</t>
        </is>
      </c>
      <c r="G270" s="8" t="n"/>
    </row>
    <row r="271">
      <c r="A271" s="8" t="inlineStr">
        <is>
          <t>PGCV_007_0271</t>
        </is>
      </c>
      <c r="B271" s="8" t="inlineStr">
        <is>
          <t>COVID-SNL-22-24672</t>
        </is>
      </c>
      <c r="C271" s="8" t="inlineStr">
        <is>
          <t>STNRV6AEMJ</t>
        </is>
      </c>
      <c r="D271" s="7" t="n">
        <v>7</v>
      </c>
      <c r="E271" s="7" t="n">
        <v>271</v>
      </c>
      <c r="F271" s="7" t="inlineStr">
        <is>
          <t>Yes</t>
        </is>
      </c>
      <c r="G271" s="8" t="n"/>
    </row>
    <row r="272">
      <c r="A272" s="8" t="inlineStr">
        <is>
          <t>PGCV_007_0272</t>
        </is>
      </c>
      <c r="B272" s="8" t="inlineStr">
        <is>
          <t>COVID-SNL-22-24693</t>
        </is>
      </c>
      <c r="C272" s="8" t="inlineStr">
        <is>
          <t>ZN4LLQGOUU</t>
        </is>
      </c>
      <c r="D272" s="7" t="n">
        <v>7</v>
      </c>
      <c r="E272" s="7" t="n">
        <v>272</v>
      </c>
      <c r="F272" s="7" t="inlineStr">
        <is>
          <t>Yes</t>
        </is>
      </c>
      <c r="G272" s="8" t="n"/>
    </row>
    <row r="273">
      <c r="A273" s="8" t="inlineStr">
        <is>
          <t>PGCV_007_0273</t>
        </is>
      </c>
      <c r="B273" s="8" t="inlineStr">
        <is>
          <t>COVID-SNL-22-24775</t>
        </is>
      </c>
      <c r="C273" s="8" t="inlineStr">
        <is>
          <t>RL6NH5VXJR</t>
        </is>
      </c>
      <c r="D273" s="7" t="n">
        <v>7</v>
      </c>
      <c r="E273" s="7" t="n">
        <v>273</v>
      </c>
      <c r="F273" s="7" t="inlineStr">
        <is>
          <t>Yes</t>
        </is>
      </c>
      <c r="G273" s="8" t="n"/>
    </row>
    <row r="274">
      <c r="A274" s="8" t="inlineStr">
        <is>
          <t>PGCV_007_0274</t>
        </is>
      </c>
      <c r="B274" s="8" t="inlineStr">
        <is>
          <t>COVID-SNL-22-24830</t>
        </is>
      </c>
      <c r="C274" s="8" t="inlineStr">
        <is>
          <t>RV8DUXFZJG</t>
        </is>
      </c>
      <c r="D274" s="7" t="n">
        <v>7</v>
      </c>
      <c r="E274" s="7" t="n">
        <v>274</v>
      </c>
      <c r="F274" s="7" t="inlineStr">
        <is>
          <t>Yes</t>
        </is>
      </c>
      <c r="G274" s="8" t="n"/>
    </row>
    <row r="275">
      <c r="A275" s="8" t="inlineStr">
        <is>
          <t>PGCV_007_0275</t>
        </is>
      </c>
      <c r="B275" s="8" t="inlineStr">
        <is>
          <t>COVID-SNL-22-24871</t>
        </is>
      </c>
      <c r="C275" s="8" t="inlineStr">
        <is>
          <t>JCTS3AYCSC</t>
        </is>
      </c>
      <c r="D275" s="7" t="n">
        <v>7</v>
      </c>
      <c r="E275" s="7" t="n">
        <v>275</v>
      </c>
      <c r="F275" s="7" t="inlineStr">
        <is>
          <t>Yes</t>
        </is>
      </c>
      <c r="G275" s="8" t="n"/>
    </row>
    <row r="276">
      <c r="A276" s="8" t="inlineStr">
        <is>
          <t>PGCV_007_0276</t>
        </is>
      </c>
      <c r="B276" s="8" t="inlineStr">
        <is>
          <t>COVID-SNL-22-24948</t>
        </is>
      </c>
      <c r="C276" s="8" t="inlineStr">
        <is>
          <t>RON1MYXCW0</t>
        </is>
      </c>
      <c r="D276" s="7" t="n">
        <v>7</v>
      </c>
      <c r="E276" s="7" t="n">
        <v>276</v>
      </c>
      <c r="F276" s="7" t="inlineStr">
        <is>
          <t>No</t>
        </is>
      </c>
      <c r="G276" s="8" t="n"/>
    </row>
    <row r="277">
      <c r="A277" s="8" t="inlineStr">
        <is>
          <t>PGCV_007_0277</t>
        </is>
      </c>
      <c r="B277" s="8" t="inlineStr">
        <is>
          <t>COVID-SNL-22-24954</t>
        </is>
      </c>
      <c r="C277" s="8" t="inlineStr">
        <is>
          <t>UMUTUB5UXD</t>
        </is>
      </c>
      <c r="D277" s="7" t="n">
        <v>7</v>
      </c>
      <c r="E277" s="7" t="n">
        <v>277</v>
      </c>
      <c r="F277" s="7" t="inlineStr">
        <is>
          <t>Yes</t>
        </is>
      </c>
      <c r="G277" s="8" t="n"/>
    </row>
    <row r="278">
      <c r="A278" s="8" t="inlineStr">
        <is>
          <t>PGCV_007_0278</t>
        </is>
      </c>
      <c r="B278" s="8" t="inlineStr">
        <is>
          <t>COVID-SNL-22-25220</t>
        </is>
      </c>
      <c r="C278" s="8" t="inlineStr">
        <is>
          <t>ZCURNRPLHM</t>
        </is>
      </c>
      <c r="D278" s="7" t="n">
        <v>7</v>
      </c>
      <c r="E278" s="7" t="n">
        <v>278</v>
      </c>
      <c r="F278" s="7" t="inlineStr">
        <is>
          <t>Yes</t>
        </is>
      </c>
      <c r="G278" s="8" t="n"/>
    </row>
    <row r="279">
      <c r="A279" s="8" t="inlineStr">
        <is>
          <t>PGCV_007_0279</t>
        </is>
      </c>
      <c r="B279" s="8" t="inlineStr">
        <is>
          <t>COVID-SNL-22-25254</t>
        </is>
      </c>
      <c r="C279" s="8" t="inlineStr">
        <is>
          <t>USJW8OZ7PH</t>
        </is>
      </c>
      <c r="D279" s="7" t="n">
        <v>7</v>
      </c>
      <c r="E279" s="7" t="n">
        <v>279</v>
      </c>
      <c r="F279" s="7" t="inlineStr">
        <is>
          <t>Yes</t>
        </is>
      </c>
      <c r="G279" s="8" t="n"/>
    </row>
    <row r="280">
      <c r="A280" s="8" t="inlineStr">
        <is>
          <t>PGCV_007_0280</t>
        </is>
      </c>
      <c r="B280" s="8" t="inlineStr">
        <is>
          <t>COVID-SNL-22-25255</t>
        </is>
      </c>
      <c r="C280" s="8" t="inlineStr">
        <is>
          <t>3OKOG8EJNE</t>
        </is>
      </c>
      <c r="D280" s="7" t="n">
        <v>7</v>
      </c>
      <c r="E280" s="7" t="n">
        <v>280</v>
      </c>
      <c r="F280" s="7" t="inlineStr">
        <is>
          <t>Yes</t>
        </is>
      </c>
      <c r="G280" s="8" t="n"/>
    </row>
    <row r="281">
      <c r="A281" s="8" t="inlineStr">
        <is>
          <t>PGCV_007_0281</t>
        </is>
      </c>
      <c r="B281" s="8" t="inlineStr">
        <is>
          <t>COVID-SNL-22-25141</t>
        </is>
      </c>
      <c r="C281" s="8" t="inlineStr">
        <is>
          <t>MCVKHFERTN</t>
        </is>
      </c>
      <c r="D281" s="7" t="n">
        <v>7</v>
      </c>
      <c r="E281" s="7" t="n">
        <v>281</v>
      </c>
      <c r="F281" s="7" t="inlineStr">
        <is>
          <t>Yes</t>
        </is>
      </c>
      <c r="G281" s="8" t="n"/>
    </row>
    <row r="282">
      <c r="A282" s="8" t="inlineStr">
        <is>
          <t>PGCV_007_0282</t>
        </is>
      </c>
      <c r="B282" s="8" t="inlineStr">
        <is>
          <t>COVID-SNL-22-25419</t>
        </is>
      </c>
      <c r="C282" s="8" t="inlineStr">
        <is>
          <t>OFXTW9O4V6</t>
        </is>
      </c>
      <c r="D282" s="7" t="n">
        <v>7</v>
      </c>
      <c r="E282" s="7" t="n">
        <v>282</v>
      </c>
      <c r="F282" s="7" t="inlineStr">
        <is>
          <t>Yes</t>
        </is>
      </c>
      <c r="G282" s="8" t="n"/>
    </row>
    <row r="283">
      <c r="A283" s="8" t="inlineStr">
        <is>
          <t>PGCV_007_0283</t>
        </is>
      </c>
      <c r="B283" s="8" t="inlineStr">
        <is>
          <t>COVID-SNL-22-25652</t>
        </is>
      </c>
      <c r="C283" s="8" t="inlineStr">
        <is>
          <t>YFGT8JHDVE</t>
        </is>
      </c>
      <c r="D283" s="7" t="n">
        <v>7</v>
      </c>
      <c r="E283" s="7" t="n">
        <v>283</v>
      </c>
      <c r="F283" s="7" t="inlineStr">
        <is>
          <t>Yes</t>
        </is>
      </c>
      <c r="G283" s="8" t="n"/>
    </row>
    <row r="284">
      <c r="A284" s="8" t="inlineStr">
        <is>
          <t>PGCV_007_0284</t>
        </is>
      </c>
      <c r="B284" s="8" t="inlineStr">
        <is>
          <t>COVID-SNL-22-23862</t>
        </is>
      </c>
      <c r="C284" s="8" t="inlineStr">
        <is>
          <t>S8GZW47ALM</t>
        </is>
      </c>
      <c r="D284" s="7" t="n">
        <v>7</v>
      </c>
      <c r="E284" s="7" t="n">
        <v>284</v>
      </c>
      <c r="F284" s="7" t="inlineStr">
        <is>
          <t>No</t>
        </is>
      </c>
      <c r="G284" s="8" t="n"/>
    </row>
    <row r="285">
      <c r="A285" s="8" t="inlineStr">
        <is>
          <t>PGCV_007_0285</t>
        </is>
      </c>
      <c r="B285" s="8" t="inlineStr">
        <is>
          <t>COVID-SNL-22-23901</t>
        </is>
      </c>
      <c r="C285" s="8" t="inlineStr">
        <is>
          <t>ORA5EM4L4B</t>
        </is>
      </c>
      <c r="D285" s="7" t="n">
        <v>7</v>
      </c>
      <c r="E285" s="7" t="n">
        <v>285</v>
      </c>
      <c r="F285" s="7" t="inlineStr">
        <is>
          <t>Yes</t>
        </is>
      </c>
      <c r="G285" s="8" t="n"/>
    </row>
    <row r="286">
      <c r="A286" s="8" t="inlineStr">
        <is>
          <t>PGCV_007_0286</t>
        </is>
      </c>
      <c r="B286" s="8" t="inlineStr">
        <is>
          <t>COVID-SNL-22-23904</t>
        </is>
      </c>
      <c r="C286" s="8" t="inlineStr">
        <is>
          <t>T008KK8V7C</t>
        </is>
      </c>
      <c r="D286" s="7" t="n">
        <v>7</v>
      </c>
      <c r="E286" s="7" t="n">
        <v>286</v>
      </c>
      <c r="F286" s="7" t="inlineStr">
        <is>
          <t>Yes</t>
        </is>
      </c>
      <c r="G286" s="8" t="n"/>
    </row>
    <row r="287">
      <c r="A287" s="8" t="inlineStr">
        <is>
          <t>PGCV_007_0287</t>
        </is>
      </c>
      <c r="B287" s="8" t="inlineStr">
        <is>
          <t>COVID-SNL-22-23956</t>
        </is>
      </c>
      <c r="C287" s="8" t="inlineStr">
        <is>
          <t>3KRRJP5XIZ</t>
        </is>
      </c>
      <c r="D287" s="7" t="n">
        <v>7</v>
      </c>
      <c r="E287" s="7" t="n">
        <v>287</v>
      </c>
      <c r="F287" s="7" t="inlineStr">
        <is>
          <t>Yes</t>
        </is>
      </c>
      <c r="G287" s="8" t="n"/>
    </row>
    <row r="288">
      <c r="A288" s="8" t="inlineStr">
        <is>
          <t>PGCV_007_0288</t>
        </is>
      </c>
      <c r="B288" s="8" t="inlineStr">
        <is>
          <t>COVID-SNL-22-24072</t>
        </is>
      </c>
      <c r="C288" s="8" t="inlineStr">
        <is>
          <t>AAJA0KS0KR</t>
        </is>
      </c>
      <c r="D288" s="7" t="n">
        <v>7</v>
      </c>
      <c r="E288" s="7" t="n">
        <v>288</v>
      </c>
      <c r="F288" s="7" t="inlineStr">
        <is>
          <t>Yes</t>
        </is>
      </c>
      <c r="G288" s="8" t="n"/>
    </row>
    <row r="289">
      <c r="A289" s="8" t="inlineStr">
        <is>
          <t>PGCV_007_0289</t>
        </is>
      </c>
      <c r="B289" s="8" t="inlineStr">
        <is>
          <t>COVID-SNL-22-24074</t>
        </is>
      </c>
      <c r="C289" s="8" t="inlineStr">
        <is>
          <t>FHHOE26AG3</t>
        </is>
      </c>
      <c r="D289" s="7" t="n">
        <v>7</v>
      </c>
      <c r="E289" s="7" t="n">
        <v>289</v>
      </c>
      <c r="F289" s="7" t="inlineStr">
        <is>
          <t>Yes</t>
        </is>
      </c>
      <c r="G289" s="8" t="n"/>
    </row>
    <row r="290">
      <c r="A290" s="8" t="inlineStr">
        <is>
          <t>PGCV_007_0290</t>
        </is>
      </c>
      <c r="B290" s="8" t="inlineStr">
        <is>
          <t>COVID-SNL-22-24101</t>
        </is>
      </c>
      <c r="C290" s="8" t="inlineStr">
        <is>
          <t>EDLHDZO7PK</t>
        </is>
      </c>
      <c r="D290" s="7" t="n">
        <v>7</v>
      </c>
      <c r="E290" s="7" t="n">
        <v>290</v>
      </c>
      <c r="F290" s="7" t="inlineStr">
        <is>
          <t>Yes</t>
        </is>
      </c>
      <c r="G290" s="8" t="n"/>
    </row>
    <row r="291">
      <c r="A291" s="8" t="inlineStr">
        <is>
          <t>PGCV_007_0291</t>
        </is>
      </c>
      <c r="B291" s="8" t="inlineStr">
        <is>
          <t>COVID-SNL-22-24102</t>
        </is>
      </c>
      <c r="C291" s="8" t="inlineStr">
        <is>
          <t>W42VHH8MDT</t>
        </is>
      </c>
      <c r="D291" s="7" t="n">
        <v>7</v>
      </c>
      <c r="E291" s="7" t="n">
        <v>291</v>
      </c>
      <c r="F291" s="7" t="inlineStr">
        <is>
          <t>Yes</t>
        </is>
      </c>
      <c r="G291" s="8" t="n"/>
    </row>
    <row r="292">
      <c r="A292" s="8" t="inlineStr">
        <is>
          <t>PGCV_007_0292</t>
        </is>
      </c>
      <c r="B292" s="8" t="inlineStr">
        <is>
          <t>COVID-SNL-22-24108</t>
        </is>
      </c>
      <c r="C292" s="8" t="inlineStr">
        <is>
          <t>YKOTKC6M5E</t>
        </is>
      </c>
      <c r="D292" s="7" t="n">
        <v>7</v>
      </c>
      <c r="E292" s="7" t="n">
        <v>292</v>
      </c>
      <c r="F292" s="7" t="inlineStr">
        <is>
          <t>Yes</t>
        </is>
      </c>
      <c r="G292" s="8" t="n"/>
    </row>
    <row r="293">
      <c r="A293" s="8" t="inlineStr">
        <is>
          <t>PGCV_007_0293</t>
        </is>
      </c>
      <c r="B293" s="8" t="inlineStr">
        <is>
          <t>COVID-SNL-22-24110</t>
        </is>
      </c>
      <c r="C293" s="8" t="inlineStr">
        <is>
          <t>MGZNYZYI2U</t>
        </is>
      </c>
      <c r="D293" s="7" t="n">
        <v>7</v>
      </c>
      <c r="E293" s="7" t="n">
        <v>293</v>
      </c>
      <c r="F293" s="7" t="inlineStr">
        <is>
          <t>No</t>
        </is>
      </c>
      <c r="G293" s="8" t="n"/>
    </row>
    <row r="294">
      <c r="A294" s="8" t="inlineStr">
        <is>
          <t>PGCV_007_0294</t>
        </is>
      </c>
      <c r="B294" s="8" t="inlineStr">
        <is>
          <t>COVID-SNL-22-24128</t>
        </is>
      </c>
      <c r="C294" s="8" t="inlineStr">
        <is>
          <t>SKRZP1CFXX</t>
        </is>
      </c>
      <c r="D294" s="7" t="n">
        <v>7</v>
      </c>
      <c r="E294" s="7" t="n">
        <v>294</v>
      </c>
      <c r="F294" s="7" t="inlineStr">
        <is>
          <t>Yes</t>
        </is>
      </c>
      <c r="G294" s="8" t="n"/>
    </row>
    <row r="295">
      <c r="A295" s="8" t="inlineStr">
        <is>
          <t>PGCV_007_0295</t>
        </is>
      </c>
      <c r="B295" s="8" t="inlineStr">
        <is>
          <t>COVID-SNL-22-24145</t>
        </is>
      </c>
      <c r="C295" s="8" t="inlineStr">
        <is>
          <t>N92BIGARQT</t>
        </is>
      </c>
      <c r="D295" s="7" t="n">
        <v>7</v>
      </c>
      <c r="E295" s="7" t="n">
        <v>295</v>
      </c>
      <c r="F295" s="7" t="inlineStr">
        <is>
          <t>No</t>
        </is>
      </c>
      <c r="G295" s="8" t="n"/>
    </row>
    <row r="296">
      <c r="A296" s="8" t="inlineStr">
        <is>
          <t>PGCV_007_0296</t>
        </is>
      </c>
      <c r="B296" s="8" t="inlineStr">
        <is>
          <t>COVID-SNL-22-24163</t>
        </is>
      </c>
      <c r="C296" s="8" t="inlineStr">
        <is>
          <t>LVQWLRABEM</t>
        </is>
      </c>
      <c r="D296" s="7" t="n">
        <v>7</v>
      </c>
      <c r="E296" s="7" t="n">
        <v>296</v>
      </c>
      <c r="F296" s="7" t="inlineStr">
        <is>
          <t>No</t>
        </is>
      </c>
      <c r="G296" s="8" t="n"/>
    </row>
    <row r="297">
      <c r="A297" s="8" t="inlineStr">
        <is>
          <t>PGCV_007_0297</t>
        </is>
      </c>
      <c r="B297" s="8" t="inlineStr">
        <is>
          <t>COVID-SNL-22-24021</t>
        </is>
      </c>
      <c r="C297" s="8" t="inlineStr">
        <is>
          <t>93CX2SA0IT</t>
        </is>
      </c>
      <c r="D297" s="7" t="n">
        <v>7</v>
      </c>
      <c r="E297" s="7" t="n">
        <v>297</v>
      </c>
      <c r="F297" s="7" t="inlineStr">
        <is>
          <t>Yes</t>
        </is>
      </c>
      <c r="G297" s="8" t="n"/>
    </row>
    <row r="298">
      <c r="A298" s="8" t="inlineStr">
        <is>
          <t>PGCV_007_0298</t>
        </is>
      </c>
      <c r="B298" s="8" t="inlineStr">
        <is>
          <t>COVID-SNL-22-24194</t>
        </is>
      </c>
      <c r="C298" s="8" t="inlineStr">
        <is>
          <t>LPH0LVIAV4</t>
        </is>
      </c>
      <c r="D298" s="7" t="n">
        <v>7</v>
      </c>
      <c r="E298" s="7" t="n">
        <v>298</v>
      </c>
      <c r="F298" s="7" t="inlineStr">
        <is>
          <t>Yes</t>
        </is>
      </c>
      <c r="G298" s="8" t="n"/>
    </row>
    <row r="299">
      <c r="A299" s="8" t="inlineStr">
        <is>
          <t>PGCV_007_0299</t>
        </is>
      </c>
      <c r="B299" s="8" t="inlineStr">
        <is>
          <t>COVID-SNL-22-24203</t>
        </is>
      </c>
      <c r="C299" s="8" t="inlineStr">
        <is>
          <t>2FS70K1JDQ</t>
        </is>
      </c>
      <c r="D299" s="7" t="n">
        <v>7</v>
      </c>
      <c r="E299" s="7" t="n">
        <v>299</v>
      </c>
      <c r="F299" s="7" t="inlineStr">
        <is>
          <t>No</t>
        </is>
      </c>
      <c r="G299" s="8" t="n"/>
    </row>
    <row r="300">
      <c r="A300" s="8" t="inlineStr">
        <is>
          <t>PGCV_007_0300</t>
        </is>
      </c>
      <c r="B300" s="8" t="inlineStr">
        <is>
          <t>COVID-SNL-22-24299</t>
        </is>
      </c>
      <c r="C300" s="8" t="inlineStr">
        <is>
          <t>GC2RFR2ZMJ</t>
        </is>
      </c>
      <c r="D300" s="7" t="n">
        <v>7</v>
      </c>
      <c r="E300" s="7" t="n">
        <v>300</v>
      </c>
      <c r="F300" s="7" t="inlineStr">
        <is>
          <t>No</t>
        </is>
      </c>
      <c r="G300" s="8" t="n"/>
    </row>
    <row r="301">
      <c r="A301" s="8" t="inlineStr">
        <is>
          <t>PGCV_007_0301</t>
        </is>
      </c>
      <c r="B301" s="8" t="inlineStr">
        <is>
          <t>COVID-SNL-22-24387</t>
        </is>
      </c>
      <c r="C301" s="8" t="inlineStr">
        <is>
          <t>V7STN8IAVB</t>
        </is>
      </c>
      <c r="D301" s="7" t="n">
        <v>7</v>
      </c>
      <c r="E301" s="7" t="n">
        <v>301</v>
      </c>
      <c r="F301" s="7" t="inlineStr">
        <is>
          <t>Yes</t>
        </is>
      </c>
      <c r="G301" s="8" t="n"/>
    </row>
    <row r="302">
      <c r="A302" s="8" t="inlineStr">
        <is>
          <t>PGCV_007_0302</t>
        </is>
      </c>
      <c r="B302" s="8" t="inlineStr">
        <is>
          <t>COVID-SNL-22-24395</t>
        </is>
      </c>
      <c r="C302" s="8" t="inlineStr">
        <is>
          <t>LATWAYSQ7J</t>
        </is>
      </c>
      <c r="D302" s="7" t="n">
        <v>7</v>
      </c>
      <c r="E302" s="7" t="n">
        <v>302</v>
      </c>
      <c r="F302" s="7" t="inlineStr">
        <is>
          <t>Yes</t>
        </is>
      </c>
      <c r="G302" s="8" t="n"/>
    </row>
    <row r="303">
      <c r="A303" s="8" t="inlineStr">
        <is>
          <t>PGCV_007_0303</t>
        </is>
      </c>
      <c r="B303" s="8" t="inlineStr">
        <is>
          <t>COVID-SNL-22-24397</t>
        </is>
      </c>
      <c r="C303" s="8" t="inlineStr">
        <is>
          <t>FTY76FUNWJ</t>
        </is>
      </c>
      <c r="D303" s="7" t="n">
        <v>7</v>
      </c>
      <c r="E303" s="7" t="n">
        <v>303</v>
      </c>
      <c r="F303" s="7" t="inlineStr">
        <is>
          <t>Yes</t>
        </is>
      </c>
      <c r="G303" s="8" t="n"/>
    </row>
    <row r="304">
      <c r="A304" s="8" t="inlineStr">
        <is>
          <t>PGCV_007_0304</t>
        </is>
      </c>
      <c r="B304" s="8" t="inlineStr">
        <is>
          <t>COVID-SNL-22-24415</t>
        </is>
      </c>
      <c r="C304" s="8" t="inlineStr">
        <is>
          <t>L7IRJZ9PCM</t>
        </is>
      </c>
      <c r="D304" s="7" t="n">
        <v>7</v>
      </c>
      <c r="E304" s="7" t="n">
        <v>304</v>
      </c>
      <c r="F304" s="7" t="inlineStr">
        <is>
          <t>Yes</t>
        </is>
      </c>
      <c r="G304" s="8" t="n"/>
    </row>
    <row r="305">
      <c r="A305" s="8" t="inlineStr">
        <is>
          <t>PGCV_007_0305</t>
        </is>
      </c>
      <c r="B305" s="8" t="inlineStr">
        <is>
          <t>COVID-SNL-22-24494</t>
        </is>
      </c>
      <c r="C305" s="8" t="inlineStr">
        <is>
          <t>WSPH4LYGTG</t>
        </is>
      </c>
      <c r="D305" s="7" t="n">
        <v>7</v>
      </c>
      <c r="E305" s="7" t="n">
        <v>305</v>
      </c>
      <c r="F305" s="7" t="inlineStr">
        <is>
          <t>Yes</t>
        </is>
      </c>
      <c r="G305" s="8" t="n"/>
    </row>
    <row r="306">
      <c r="A306" s="8" t="inlineStr">
        <is>
          <t>PGCV_007_0306</t>
        </is>
      </c>
      <c r="B306" s="8" t="inlineStr">
        <is>
          <t>COVID-SNL-22-24579</t>
        </is>
      </c>
      <c r="C306" s="8" t="inlineStr">
        <is>
          <t>0M1UCUSARQ</t>
        </is>
      </c>
      <c r="D306" s="7" t="n">
        <v>7</v>
      </c>
      <c r="E306" s="7" t="n">
        <v>306</v>
      </c>
      <c r="F306" s="7" t="inlineStr">
        <is>
          <t>Yes</t>
        </is>
      </c>
      <c r="G306" s="8" t="n"/>
    </row>
    <row r="307">
      <c r="A307" s="8" t="inlineStr">
        <is>
          <t>PGCV_007_0307</t>
        </is>
      </c>
      <c r="B307" s="8" t="inlineStr">
        <is>
          <t>COVID-SNL-22-24686</t>
        </is>
      </c>
      <c r="C307" s="8" t="inlineStr">
        <is>
          <t>IDHTE6AIO4</t>
        </is>
      </c>
      <c r="D307" s="7" t="n">
        <v>7</v>
      </c>
      <c r="E307" s="7" t="n">
        <v>307</v>
      </c>
      <c r="F307" s="7" t="inlineStr">
        <is>
          <t>No</t>
        </is>
      </c>
      <c r="G307" s="12" t="inlineStr">
        <is>
          <t>specimen also sequenced as PGCV_007_0337</t>
        </is>
      </c>
    </row>
    <row r="308">
      <c r="A308" s="8" t="inlineStr">
        <is>
          <t>PGCV_007_0308</t>
        </is>
      </c>
      <c r="B308" s="8" t="inlineStr">
        <is>
          <t>COVID-SNL-22-24687</t>
        </is>
      </c>
      <c r="C308" s="8" t="inlineStr">
        <is>
          <t>WYNUAERIPY</t>
        </is>
      </c>
      <c r="D308" s="7" t="n">
        <v>7</v>
      </c>
      <c r="E308" s="7" t="n">
        <v>308</v>
      </c>
      <c r="F308" s="7" t="inlineStr">
        <is>
          <t>Yes</t>
        </is>
      </c>
      <c r="G308" s="8" t="n"/>
    </row>
    <row r="309">
      <c r="A309" s="8" t="inlineStr">
        <is>
          <t>PGCV_007_0309</t>
        </is>
      </c>
      <c r="B309" s="8" t="inlineStr">
        <is>
          <t>COVID-SNL-22-24594</t>
        </is>
      </c>
      <c r="C309" s="8" t="inlineStr">
        <is>
          <t>PSTJKHVNUU</t>
        </is>
      </c>
      <c r="D309" s="7" t="n">
        <v>7</v>
      </c>
      <c r="E309" s="7" t="n">
        <v>309</v>
      </c>
      <c r="F309" s="7" t="inlineStr">
        <is>
          <t>Yes</t>
        </is>
      </c>
      <c r="G309" s="8" t="n"/>
    </row>
    <row r="310">
      <c r="A310" s="8" t="inlineStr">
        <is>
          <t>PGCV_007_0310</t>
        </is>
      </c>
      <c r="B310" s="8" t="inlineStr">
        <is>
          <t>COVID-SNL-22-24722</t>
        </is>
      </c>
      <c r="C310" s="8" t="inlineStr">
        <is>
          <t>3NXH1YQD8D</t>
        </is>
      </c>
      <c r="D310" s="7" t="n">
        <v>7</v>
      </c>
      <c r="E310" s="7" t="n">
        <v>310</v>
      </c>
      <c r="F310" s="7" t="inlineStr">
        <is>
          <t>Yes</t>
        </is>
      </c>
      <c r="G310" s="8" t="n"/>
    </row>
    <row r="311">
      <c r="A311" s="8" t="inlineStr">
        <is>
          <t>PGCV_007_0311</t>
        </is>
      </c>
      <c r="B311" s="8" t="inlineStr">
        <is>
          <t>COVID-SNL-22-24800</t>
        </is>
      </c>
      <c r="C311" s="8" t="inlineStr">
        <is>
          <t>YD92JVUEFE</t>
        </is>
      </c>
      <c r="D311" s="7" t="n">
        <v>7</v>
      </c>
      <c r="E311" s="7" t="n">
        <v>311</v>
      </c>
      <c r="F311" s="7" t="inlineStr">
        <is>
          <t>Yes</t>
        </is>
      </c>
      <c r="G311" s="8" t="n"/>
    </row>
    <row r="312">
      <c r="A312" s="8" t="inlineStr">
        <is>
          <t>PGCV_007_0312</t>
        </is>
      </c>
      <c r="B312" s="8" t="inlineStr">
        <is>
          <t>COVID-SNL-22-24819</t>
        </is>
      </c>
      <c r="C312" s="8" t="inlineStr">
        <is>
          <t>ZO5ZBC8XR8</t>
        </is>
      </c>
      <c r="D312" s="7" t="n">
        <v>7</v>
      </c>
      <c r="E312" s="7" t="n">
        <v>312</v>
      </c>
      <c r="F312" s="7" t="inlineStr">
        <is>
          <t>No</t>
        </is>
      </c>
      <c r="G312" s="8" t="n"/>
    </row>
    <row r="313">
      <c r="A313" s="8" t="inlineStr">
        <is>
          <t>PGCV_007_0313</t>
        </is>
      </c>
      <c r="B313" s="8" t="inlineStr">
        <is>
          <t>COVID-SNL-22-24863</t>
        </is>
      </c>
      <c r="C313" s="8" t="inlineStr">
        <is>
          <t>BVSGD6PLEU</t>
        </is>
      </c>
      <c r="D313" s="7" t="n">
        <v>7</v>
      </c>
      <c r="E313" s="7" t="n">
        <v>313</v>
      </c>
      <c r="F313" s="7" t="inlineStr">
        <is>
          <t>Yes</t>
        </is>
      </c>
      <c r="G313" s="8" t="n"/>
    </row>
    <row r="314">
      <c r="A314" s="8" t="inlineStr">
        <is>
          <t>PGCV_007_0314</t>
        </is>
      </c>
      <c r="B314" s="8" t="inlineStr">
        <is>
          <t>COVID-SNL-22-24966</t>
        </is>
      </c>
      <c r="C314" s="8" t="inlineStr">
        <is>
          <t>S1RSR6HPC1</t>
        </is>
      </c>
      <c r="D314" s="7" t="n">
        <v>7</v>
      </c>
      <c r="E314" s="7" t="n">
        <v>314</v>
      </c>
      <c r="F314" s="7" t="inlineStr">
        <is>
          <t>Yes</t>
        </is>
      </c>
      <c r="G314" s="8" t="n"/>
    </row>
    <row r="315">
      <c r="A315" s="8" t="inlineStr">
        <is>
          <t>PGCV_007_0315</t>
        </is>
      </c>
      <c r="B315" s="8" t="inlineStr">
        <is>
          <t>COVID-SNL-22-25227</t>
        </is>
      </c>
      <c r="C315" s="8" t="inlineStr">
        <is>
          <t>1P4DAYLHN0</t>
        </is>
      </c>
      <c r="D315" s="7" t="n">
        <v>7</v>
      </c>
      <c r="E315" s="7" t="n">
        <v>315</v>
      </c>
      <c r="F315" s="7" t="inlineStr">
        <is>
          <t>No</t>
        </is>
      </c>
      <c r="G315" s="8" t="n"/>
    </row>
    <row r="316">
      <c r="A316" s="8" t="inlineStr">
        <is>
          <t>PGCV_007_0316</t>
        </is>
      </c>
      <c r="B316" s="8" t="inlineStr">
        <is>
          <t>COVID-SNL-22-25230</t>
        </is>
      </c>
      <c r="C316" s="8" t="inlineStr">
        <is>
          <t>YMQKUL7M5B</t>
        </is>
      </c>
      <c r="D316" s="7" t="n">
        <v>7</v>
      </c>
      <c r="E316" s="7" t="n">
        <v>316</v>
      </c>
      <c r="F316" s="7" t="inlineStr">
        <is>
          <t>Yes</t>
        </is>
      </c>
      <c r="G316" s="8" t="n"/>
    </row>
    <row r="317">
      <c r="A317" s="8" t="inlineStr">
        <is>
          <t>PGCV_007_0317</t>
        </is>
      </c>
      <c r="B317" s="8" t="inlineStr">
        <is>
          <t>COVID-SNL-22-25233</t>
        </is>
      </c>
      <c r="C317" s="8" t="inlineStr">
        <is>
          <t>JNB8IR2YGG</t>
        </is>
      </c>
      <c r="D317" s="7" t="n">
        <v>7</v>
      </c>
      <c r="E317" s="7" t="n">
        <v>317</v>
      </c>
      <c r="F317" s="7" t="inlineStr">
        <is>
          <t>Yes</t>
        </is>
      </c>
      <c r="G317" s="8" t="n"/>
    </row>
    <row r="318">
      <c r="A318" s="8" t="inlineStr">
        <is>
          <t>PGCV_007_0318</t>
        </is>
      </c>
      <c r="B318" s="8" t="inlineStr">
        <is>
          <t>COVID-SNL-22-25199</t>
        </is>
      </c>
      <c r="C318" s="8" t="inlineStr">
        <is>
          <t>VNMQ7XNLV0</t>
        </is>
      </c>
      <c r="D318" s="7" t="n">
        <v>7</v>
      </c>
      <c r="E318" s="7" t="n">
        <v>318</v>
      </c>
      <c r="F318" s="7" t="inlineStr">
        <is>
          <t>No</t>
        </is>
      </c>
      <c r="G318" s="8" t="n"/>
    </row>
    <row r="319">
      <c r="A319" s="8" t="inlineStr">
        <is>
          <t>PGCV_007_0319</t>
        </is>
      </c>
      <c r="B319" s="8" t="inlineStr">
        <is>
          <t>COVID-SNL-22-25583</t>
        </is>
      </c>
      <c r="C319" s="8" t="inlineStr">
        <is>
          <t>ALDRGVIM40</t>
        </is>
      </c>
      <c r="D319" s="7" t="n">
        <v>7</v>
      </c>
      <c r="E319" s="7" t="n">
        <v>319</v>
      </c>
      <c r="F319" s="7" t="inlineStr">
        <is>
          <t>Yes</t>
        </is>
      </c>
      <c r="G319" s="8" t="n"/>
    </row>
    <row r="320">
      <c r="A320" s="8" t="inlineStr">
        <is>
          <t>PGCV_007_0320</t>
        </is>
      </c>
      <c r="B320" s="8" t="inlineStr">
        <is>
          <t>COVID-SNL-22-25635</t>
        </is>
      </c>
      <c r="C320" s="8" t="inlineStr">
        <is>
          <t>5WTNWRVAQ6</t>
        </is>
      </c>
      <c r="D320" s="7" t="n">
        <v>7</v>
      </c>
      <c r="E320" s="7" t="n">
        <v>320</v>
      </c>
      <c r="F320" s="7" t="inlineStr">
        <is>
          <t>Yes</t>
        </is>
      </c>
      <c r="G320" s="8" t="n"/>
    </row>
    <row r="321">
      <c r="A321" s="8" t="inlineStr">
        <is>
          <t>PGCV_007_0321</t>
        </is>
      </c>
      <c r="B321" s="8" t="inlineStr">
        <is>
          <t>COVID-SNL-22-25688</t>
        </is>
      </c>
      <c r="C321" s="8" t="inlineStr">
        <is>
          <t>UWGAK88IPC</t>
        </is>
      </c>
      <c r="D321" s="7" t="n">
        <v>7</v>
      </c>
      <c r="E321" s="7" t="n">
        <v>321</v>
      </c>
      <c r="F321" s="7" t="inlineStr">
        <is>
          <t>No</t>
        </is>
      </c>
      <c r="G321" s="8" t="n"/>
    </row>
    <row r="322">
      <c r="A322" s="8" t="inlineStr">
        <is>
          <t>PGCV_007_0322</t>
        </is>
      </c>
      <c r="B322" s="8" t="inlineStr">
        <is>
          <t>COVID-SNL-22-25720</t>
        </is>
      </c>
      <c r="C322" s="8" t="inlineStr">
        <is>
          <t>FLLEX2WDFN</t>
        </is>
      </c>
      <c r="D322" s="7" t="n">
        <v>7</v>
      </c>
      <c r="E322" s="7" t="n">
        <v>322</v>
      </c>
      <c r="F322" s="7" t="inlineStr">
        <is>
          <t>Yes</t>
        </is>
      </c>
      <c r="G322" s="8" t="n"/>
    </row>
    <row r="323">
      <c r="A323" s="8" t="inlineStr">
        <is>
          <t>PGCV_007_0323</t>
        </is>
      </c>
      <c r="B323" s="8" t="inlineStr">
        <is>
          <t>COVID-SNL-22-25846</t>
        </is>
      </c>
      <c r="C323" s="8" t="inlineStr">
        <is>
          <t>Z0SP3OXTY4</t>
        </is>
      </c>
      <c r="D323" s="7" t="n">
        <v>7</v>
      </c>
      <c r="E323" s="7" t="n">
        <v>323</v>
      </c>
      <c r="F323" s="7" t="inlineStr">
        <is>
          <t>Yes</t>
        </is>
      </c>
      <c r="G323" s="8" t="n"/>
    </row>
    <row r="324">
      <c r="A324" s="8" t="inlineStr">
        <is>
          <t>PGCV_007_0324</t>
        </is>
      </c>
      <c r="B324" s="8" t="inlineStr">
        <is>
          <t>COVID-SNL-22-25887</t>
        </is>
      </c>
      <c r="C324" s="8" t="inlineStr">
        <is>
          <t>INSJ1PCSG7</t>
        </is>
      </c>
      <c r="D324" s="7" t="n">
        <v>7</v>
      </c>
      <c r="E324" s="7" t="n">
        <v>324</v>
      </c>
      <c r="F324" s="7" t="inlineStr">
        <is>
          <t>Yes</t>
        </is>
      </c>
      <c r="G324" s="8" t="n"/>
    </row>
    <row r="325">
      <c r="A325" s="8" t="inlineStr">
        <is>
          <t>PGCV_007_0325</t>
        </is>
      </c>
      <c r="B325" s="8" t="inlineStr">
        <is>
          <t>COVID-SNL-22-25890</t>
        </is>
      </c>
      <c r="C325" s="8" t="inlineStr">
        <is>
          <t>SZ1VSUMP9A</t>
        </is>
      </c>
      <c r="D325" s="7" t="n">
        <v>7</v>
      </c>
      <c r="E325" s="7" t="n">
        <v>325</v>
      </c>
      <c r="F325" s="7" t="inlineStr">
        <is>
          <t>Yes</t>
        </is>
      </c>
      <c r="G325" s="8" t="n"/>
    </row>
    <row r="326">
      <c r="A326" s="8" t="inlineStr">
        <is>
          <t>PGCV_007_0326</t>
        </is>
      </c>
      <c r="B326" s="8" t="inlineStr">
        <is>
          <t>COVID-SNL-22-25928</t>
        </is>
      </c>
      <c r="C326" s="8" t="inlineStr">
        <is>
          <t>U7DVHQ2OUV</t>
        </is>
      </c>
      <c r="D326" s="7" t="n">
        <v>7</v>
      </c>
      <c r="E326" s="7" t="n">
        <v>326</v>
      </c>
      <c r="F326" s="7" t="inlineStr">
        <is>
          <t>Yes</t>
        </is>
      </c>
      <c r="G326" s="8" t="n"/>
    </row>
    <row r="327">
      <c r="A327" s="8" t="inlineStr">
        <is>
          <t>PGCV_007_0327</t>
        </is>
      </c>
      <c r="B327" s="8" t="inlineStr">
        <is>
          <t>COVID-SNL-22-26206</t>
        </is>
      </c>
      <c r="C327" s="8" t="inlineStr">
        <is>
          <t>IPBMV2FIDT</t>
        </is>
      </c>
      <c r="D327" s="7" t="n">
        <v>7</v>
      </c>
      <c r="E327" s="7" t="n">
        <v>327</v>
      </c>
      <c r="F327" s="7" t="inlineStr">
        <is>
          <t>Yes</t>
        </is>
      </c>
      <c r="G327" s="8" t="n"/>
    </row>
    <row r="328">
      <c r="A328" s="8" t="inlineStr">
        <is>
          <t>PGCV_007_0328</t>
        </is>
      </c>
      <c r="B328" s="8" t="inlineStr">
        <is>
          <t>COVID-SNL-22-26220</t>
        </is>
      </c>
      <c r="C328" s="8" t="inlineStr">
        <is>
          <t>CJUYSIFLQB</t>
        </is>
      </c>
      <c r="D328" s="7" t="n">
        <v>7</v>
      </c>
      <c r="E328" s="7" t="n">
        <v>328</v>
      </c>
      <c r="F328" s="7" t="inlineStr">
        <is>
          <t>Yes</t>
        </is>
      </c>
      <c r="G328" s="8" t="n"/>
    </row>
    <row r="329">
      <c r="A329" s="8" t="inlineStr">
        <is>
          <t>PGCV_007_0329</t>
        </is>
      </c>
      <c r="B329" s="8" t="inlineStr">
        <is>
          <t>COVID-SNL-22-26336</t>
        </is>
      </c>
      <c r="C329" s="8" t="inlineStr">
        <is>
          <t>FGR9CX9P0I</t>
        </is>
      </c>
      <c r="D329" s="7" t="n">
        <v>7</v>
      </c>
      <c r="E329" s="7" t="n">
        <v>329</v>
      </c>
      <c r="F329" s="7" t="inlineStr">
        <is>
          <t>Yes</t>
        </is>
      </c>
      <c r="G329" s="8" t="n"/>
    </row>
    <row r="330">
      <c r="A330" s="8" t="inlineStr">
        <is>
          <t>PGCV_007_0330</t>
        </is>
      </c>
      <c r="B330" s="8" t="inlineStr">
        <is>
          <t>COVID-SNL-22-26351</t>
        </is>
      </c>
      <c r="C330" s="8" t="inlineStr">
        <is>
          <t>AOKNYVV0DB</t>
        </is>
      </c>
      <c r="D330" s="7" t="n">
        <v>7</v>
      </c>
      <c r="E330" s="7" t="n">
        <v>330</v>
      </c>
      <c r="F330" s="7" t="inlineStr">
        <is>
          <t>No</t>
        </is>
      </c>
      <c r="G330" s="8" t="n"/>
    </row>
    <row r="331">
      <c r="A331" s="8" t="inlineStr">
        <is>
          <t>PGCV_007_0331</t>
        </is>
      </c>
      <c r="B331" s="8" t="inlineStr">
        <is>
          <t>COVID-SNL-22-26354</t>
        </is>
      </c>
      <c r="C331" s="8" t="inlineStr">
        <is>
          <t>ILPNPP4EVN</t>
        </is>
      </c>
      <c r="D331" s="7" t="n">
        <v>7</v>
      </c>
      <c r="E331" s="7" t="n">
        <v>331</v>
      </c>
      <c r="F331" s="7" t="inlineStr">
        <is>
          <t>Yes</t>
        </is>
      </c>
      <c r="G331" s="8" t="n"/>
    </row>
    <row r="332">
      <c r="A332" s="8" t="inlineStr">
        <is>
          <t>PGCV_007_0332</t>
        </is>
      </c>
      <c r="B332" s="8" t="inlineStr">
        <is>
          <t>COVID-SNL-22-26363</t>
        </is>
      </c>
      <c r="C332" s="8" t="inlineStr">
        <is>
          <t>SS6S8NVW55</t>
        </is>
      </c>
      <c r="D332" s="7" t="n">
        <v>7</v>
      </c>
      <c r="E332" s="7" t="n">
        <v>332</v>
      </c>
      <c r="F332" s="7" t="inlineStr">
        <is>
          <t>Yes</t>
        </is>
      </c>
      <c r="G332" s="8" t="n"/>
    </row>
    <row r="333">
      <c r="A333" s="8" t="inlineStr">
        <is>
          <t>PGCV_007_0333</t>
        </is>
      </c>
      <c r="B333" s="8" t="inlineStr">
        <is>
          <t>574B97860</t>
        </is>
      </c>
      <c r="C333" s="8" t="inlineStr">
        <is>
          <t>E5U9SJCK19</t>
        </is>
      </c>
      <c r="D333" s="7" t="n">
        <v>7</v>
      </c>
      <c r="E333" s="7" t="n">
        <v>333</v>
      </c>
      <c r="F333" s="7" t="inlineStr">
        <is>
          <t>Yes</t>
        </is>
      </c>
      <c r="G333" s="8" t="n"/>
    </row>
    <row r="334">
      <c r="A334" s="8" t="inlineStr">
        <is>
          <t>PGCV_007_0334</t>
        </is>
      </c>
      <c r="B334" s="8" t="inlineStr">
        <is>
          <t>574B97857</t>
        </is>
      </c>
      <c r="C334" s="8" t="inlineStr">
        <is>
          <t>UHCCCZHVA5</t>
        </is>
      </c>
      <c r="D334" s="7" t="n">
        <v>7</v>
      </c>
      <c r="E334" s="7" t="n">
        <v>334</v>
      </c>
      <c r="F334" s="7" t="inlineStr">
        <is>
          <t>Yes</t>
        </is>
      </c>
      <c r="G334" s="8" t="n"/>
    </row>
    <row r="335">
      <c r="A335" s="8" t="inlineStr">
        <is>
          <t>PGCV_007_0335</t>
        </is>
      </c>
      <c r="B335" s="8" t="inlineStr">
        <is>
          <t>576B98007</t>
        </is>
      </c>
      <c r="C335" s="8" t="inlineStr">
        <is>
          <t>IFMEV7O8VC</t>
        </is>
      </c>
      <c r="D335" s="7" t="n">
        <v>7</v>
      </c>
      <c r="E335" s="7" t="n">
        <v>335</v>
      </c>
      <c r="F335" s="7" t="inlineStr">
        <is>
          <t>Yes</t>
        </is>
      </c>
      <c r="G335" s="8" t="n"/>
    </row>
    <row r="336">
      <c r="A336" s="8" t="inlineStr">
        <is>
          <t>PGCV_007_0336</t>
        </is>
      </c>
      <c r="B336" s="8" t="inlineStr">
        <is>
          <t>578B98252</t>
        </is>
      </c>
      <c r="C336" s="8" t="inlineStr">
        <is>
          <t>RL2A4CAUDM</t>
        </is>
      </c>
      <c r="D336" s="7" t="n">
        <v>7</v>
      </c>
      <c r="E336" s="7" t="n">
        <v>336</v>
      </c>
      <c r="F336" s="7" t="inlineStr">
        <is>
          <t>Yes</t>
        </is>
      </c>
      <c r="G336" s="8" t="n"/>
    </row>
    <row r="337">
      <c r="A337" s="8" t="inlineStr">
        <is>
          <t>PGCV_007_0337</t>
        </is>
      </c>
      <c r="B337" s="8" t="inlineStr">
        <is>
          <t>COVID-SNL-22-24686</t>
        </is>
      </c>
      <c r="C337" s="8" t="inlineStr">
        <is>
          <t>IDHTE6AIO4</t>
        </is>
      </c>
      <c r="D337" s="7" t="n">
        <v>7</v>
      </c>
      <c r="E337" s="7" t="n">
        <v>337</v>
      </c>
      <c r="F337" s="7" t="inlineStr">
        <is>
          <t>Yes</t>
        </is>
      </c>
      <c r="G337" s="12" t="inlineStr">
        <is>
          <t>specimen also sequenced as PGCV_007_0307</t>
        </is>
      </c>
    </row>
    <row r="338">
      <c r="A338" s="8" t="inlineStr">
        <is>
          <t>PGCV_007_0338</t>
        </is>
      </c>
      <c r="B338" s="8" t="inlineStr">
        <is>
          <t>COVID-SNL-22-26628</t>
        </is>
      </c>
      <c r="C338" s="8" t="inlineStr">
        <is>
          <t>UEY2RQV3LJ</t>
        </is>
      </c>
      <c r="D338" s="7" t="n">
        <v>7</v>
      </c>
      <c r="E338" s="7" t="n">
        <v>338</v>
      </c>
      <c r="F338" s="7" t="inlineStr">
        <is>
          <t>Yes</t>
        </is>
      </c>
      <c r="G338" s="8" t="n"/>
    </row>
    <row r="339">
      <c r="A339" s="8" t="inlineStr">
        <is>
          <t>PGCV_007_0339</t>
        </is>
      </c>
      <c r="B339" s="8" t="inlineStr">
        <is>
          <t>COVID-SNL-22-26796</t>
        </is>
      </c>
      <c r="C339" s="8" t="inlineStr">
        <is>
          <t>TLTYPLGPER</t>
        </is>
      </c>
      <c r="D339" s="7" t="n">
        <v>7</v>
      </c>
      <c r="E339" s="7" t="n">
        <v>339</v>
      </c>
      <c r="F339" s="7" t="inlineStr">
        <is>
          <t>Yes</t>
        </is>
      </c>
      <c r="G339" s="8" t="n"/>
    </row>
    <row r="340">
      <c r="A340" s="8" t="inlineStr">
        <is>
          <t>PGCV_007_0340</t>
        </is>
      </c>
      <c r="B340" s="8" t="inlineStr">
        <is>
          <t>COVID-SNL-22-26996</t>
        </is>
      </c>
      <c r="C340" s="8" t="inlineStr">
        <is>
          <t>AYEWA0T6DJ</t>
        </is>
      </c>
      <c r="D340" s="7" t="n">
        <v>7</v>
      </c>
      <c r="E340" s="7" t="n">
        <v>340</v>
      </c>
      <c r="F340" s="7" t="inlineStr">
        <is>
          <t>Yes</t>
        </is>
      </c>
      <c r="G340" s="8" t="n"/>
    </row>
    <row r="341">
      <c r="A341" s="8" t="inlineStr">
        <is>
          <t>PGCV_007_0341</t>
        </is>
      </c>
      <c r="B341" s="8" t="inlineStr">
        <is>
          <t>COVID-SNL-22-27026</t>
        </is>
      </c>
      <c r="C341" s="8" t="inlineStr">
        <is>
          <t>EBQJYZ12PU</t>
        </is>
      </c>
      <c r="D341" s="7" t="n">
        <v>7</v>
      </c>
      <c r="E341" s="7" t="n">
        <v>341</v>
      </c>
      <c r="F341" s="7" t="inlineStr">
        <is>
          <t>Yes</t>
        </is>
      </c>
      <c r="G341" s="8" t="n"/>
    </row>
    <row r="342">
      <c r="A342" s="8" t="inlineStr">
        <is>
          <t>PGCV_007_0342</t>
        </is>
      </c>
      <c r="B342" s="8" t="inlineStr">
        <is>
          <t>COVID-SNL-22-27034</t>
        </is>
      </c>
      <c r="C342" s="8" t="inlineStr">
        <is>
          <t>VNHEVMBWPD</t>
        </is>
      </c>
      <c r="D342" s="7" t="n">
        <v>7</v>
      </c>
      <c r="E342" s="7" t="n">
        <v>342</v>
      </c>
      <c r="F342" s="7" t="inlineStr">
        <is>
          <t>No</t>
        </is>
      </c>
      <c r="G342" s="12" t="inlineStr">
        <is>
          <t>specimen also sequenced as PGCV_007_0343</t>
        </is>
      </c>
    </row>
    <row r="343">
      <c r="A343" s="8" t="inlineStr">
        <is>
          <t>PGCV_007_0343</t>
        </is>
      </c>
      <c r="B343" s="8" t="inlineStr">
        <is>
          <t>COVID-SNL-22-27034</t>
        </is>
      </c>
      <c r="C343" s="8" t="inlineStr">
        <is>
          <t>VNHEVMBWPD</t>
        </is>
      </c>
      <c r="D343" s="7" t="n">
        <v>7</v>
      </c>
      <c r="E343" s="7" t="n">
        <v>343</v>
      </c>
      <c r="F343" s="7" t="inlineStr">
        <is>
          <t>Yes</t>
        </is>
      </c>
      <c r="G343" s="12" t="inlineStr">
        <is>
          <t>specimen also sequenced as PGCV_007_0342</t>
        </is>
      </c>
    </row>
    <row r="344">
      <c r="A344" s="8" t="inlineStr">
        <is>
          <t>PGCV_007_0344</t>
        </is>
      </c>
      <c r="B344" s="8" t="inlineStr">
        <is>
          <t>COVID-SNL-22-27173</t>
        </is>
      </c>
      <c r="C344" s="8" t="inlineStr">
        <is>
          <t>VGAH0EVUCO</t>
        </is>
      </c>
      <c r="D344" s="7" t="n">
        <v>7</v>
      </c>
      <c r="E344" s="7" t="n">
        <v>344</v>
      </c>
      <c r="F344" s="7" t="inlineStr">
        <is>
          <t>Yes</t>
        </is>
      </c>
      <c r="G344" s="8" t="n"/>
    </row>
    <row r="345">
      <c r="A345" s="8" t="inlineStr">
        <is>
          <t>PGCV_007_0345</t>
        </is>
      </c>
      <c r="B345" s="8" t="inlineStr">
        <is>
          <t>COVID-SNL-22-27174</t>
        </is>
      </c>
      <c r="C345" s="8" t="inlineStr">
        <is>
          <t>IZEM34GAOO</t>
        </is>
      </c>
      <c r="D345" s="7" t="n">
        <v>7</v>
      </c>
      <c r="E345" s="7" t="n">
        <v>345</v>
      </c>
      <c r="F345" s="7" t="inlineStr">
        <is>
          <t>Yes</t>
        </is>
      </c>
      <c r="G345" s="8" t="n"/>
    </row>
    <row r="346">
      <c r="A346" s="8" t="inlineStr">
        <is>
          <t>PGCV_007_0346</t>
        </is>
      </c>
      <c r="B346" s="8" t="inlineStr">
        <is>
          <t>COVID-SNL-22-27348</t>
        </is>
      </c>
      <c r="C346" s="8" t="inlineStr">
        <is>
          <t>ZPJTB1V7YP</t>
        </is>
      </c>
      <c r="D346" s="7" t="n">
        <v>7</v>
      </c>
      <c r="E346" s="7" t="n">
        <v>346</v>
      </c>
      <c r="F346" s="7" t="inlineStr">
        <is>
          <t>Yes</t>
        </is>
      </c>
      <c r="G346" s="8" t="n"/>
    </row>
    <row r="347">
      <c r="A347" s="8" t="inlineStr">
        <is>
          <t>PGCV_007_0347</t>
        </is>
      </c>
      <c r="B347" s="8" t="inlineStr">
        <is>
          <t>COVID-SNL-22-27363</t>
        </is>
      </c>
      <c r="C347" s="8" t="inlineStr">
        <is>
          <t>8DHTDJ4BK3</t>
        </is>
      </c>
      <c r="D347" s="7" t="n">
        <v>7</v>
      </c>
      <c r="E347" s="7" t="n">
        <v>347</v>
      </c>
      <c r="F347" s="7" t="inlineStr">
        <is>
          <t>Yes</t>
        </is>
      </c>
      <c r="G347" s="8" t="n"/>
    </row>
    <row r="348">
      <c r="A348" s="8" t="inlineStr">
        <is>
          <t>PGCV_007_0348</t>
        </is>
      </c>
      <c r="B348" s="8" t="inlineStr">
        <is>
          <t>COVID-SNL-22-27397</t>
        </is>
      </c>
      <c r="C348" s="8" t="inlineStr">
        <is>
          <t>HJN4PFQVIF</t>
        </is>
      </c>
      <c r="D348" s="7" t="n">
        <v>7</v>
      </c>
      <c r="E348" s="7" t="n">
        <v>348</v>
      </c>
      <c r="F348" s="7" t="inlineStr">
        <is>
          <t>No</t>
        </is>
      </c>
      <c r="G348" s="8" t="n"/>
    </row>
    <row r="349">
      <c r="A349" s="8" t="inlineStr">
        <is>
          <t>PGCV_008_0349</t>
        </is>
      </c>
      <c r="B349" s="8" t="inlineStr">
        <is>
          <t>COVID-SNL-22-27431</t>
        </is>
      </c>
      <c r="C349" s="8" t="inlineStr">
        <is>
          <t>AVBG0MK9MA</t>
        </is>
      </c>
      <c r="D349" s="7" t="n">
        <v>8</v>
      </c>
      <c r="E349" s="7" t="n">
        <v>349</v>
      </c>
      <c r="F349" s="7" t="inlineStr">
        <is>
          <t>No</t>
        </is>
      </c>
      <c r="G349" s="8" t="n"/>
    </row>
    <row r="350">
      <c r="A350" s="8" t="inlineStr">
        <is>
          <t>PGCV_008_0350</t>
        </is>
      </c>
      <c r="B350" s="8" t="inlineStr">
        <is>
          <t>COVID-SNL-22-27432</t>
        </is>
      </c>
      <c r="C350" s="8" t="inlineStr">
        <is>
          <t>ZQIBDAJSJE</t>
        </is>
      </c>
      <c r="D350" s="7" t="n">
        <v>8</v>
      </c>
      <c r="E350" s="7" t="n">
        <v>350</v>
      </c>
      <c r="F350" s="7" t="inlineStr">
        <is>
          <t>Yes</t>
        </is>
      </c>
      <c r="G350" s="8" t="n"/>
    </row>
    <row r="351">
      <c r="A351" s="8" t="inlineStr">
        <is>
          <t>PGCV_008_0351</t>
        </is>
      </c>
      <c r="B351" s="8" t="inlineStr">
        <is>
          <t>COVID-SNL-22-27433</t>
        </is>
      </c>
      <c r="C351" s="8" t="inlineStr">
        <is>
          <t>6JVPOXLJC4</t>
        </is>
      </c>
      <c r="D351" s="7" t="n">
        <v>8</v>
      </c>
      <c r="E351" s="7" t="n">
        <v>351</v>
      </c>
      <c r="F351" s="7" t="inlineStr">
        <is>
          <t>Yes</t>
        </is>
      </c>
      <c r="G351" s="8" t="n"/>
    </row>
    <row r="352">
      <c r="A352" s="8" t="inlineStr">
        <is>
          <t>PGCV_008_0352</t>
        </is>
      </c>
      <c r="B352" s="8" t="inlineStr">
        <is>
          <t>COVID-SNL-22-27444</t>
        </is>
      </c>
      <c r="C352" s="8" t="inlineStr">
        <is>
          <t>30IXBZDXV6</t>
        </is>
      </c>
      <c r="D352" s="7" t="n">
        <v>8</v>
      </c>
      <c r="E352" s="7" t="n">
        <v>352</v>
      </c>
      <c r="F352" s="7" t="inlineStr">
        <is>
          <t>Yes</t>
        </is>
      </c>
      <c r="G352" s="8" t="n"/>
    </row>
    <row r="353">
      <c r="A353" s="8" t="inlineStr">
        <is>
          <t>PGCV_008_0353</t>
        </is>
      </c>
      <c r="B353" s="8" t="inlineStr">
        <is>
          <t>COVID-SNL-22-27487</t>
        </is>
      </c>
      <c r="C353" s="8" t="inlineStr">
        <is>
          <t>4NGK1HPWTJ</t>
        </is>
      </c>
      <c r="D353" s="7" t="n">
        <v>8</v>
      </c>
      <c r="E353" s="7" t="n">
        <v>353</v>
      </c>
      <c r="F353" s="7" t="inlineStr">
        <is>
          <t>Yes</t>
        </is>
      </c>
      <c r="G353" s="8" t="n"/>
    </row>
    <row r="354">
      <c r="A354" s="8" t="inlineStr">
        <is>
          <t>PGCV_008_0354</t>
        </is>
      </c>
      <c r="B354" s="8" t="inlineStr">
        <is>
          <t>COVID-SNL-22-27616</t>
        </is>
      </c>
      <c r="C354" s="8" t="inlineStr">
        <is>
          <t>E4JCBWDH2F</t>
        </is>
      </c>
      <c r="D354" s="7" t="n">
        <v>8</v>
      </c>
      <c r="E354" s="7" t="n">
        <v>354</v>
      </c>
      <c r="F354" s="7" t="inlineStr">
        <is>
          <t>Yes</t>
        </is>
      </c>
      <c r="G354" s="8" t="n"/>
    </row>
    <row r="355">
      <c r="A355" s="8" t="inlineStr">
        <is>
          <t>PGCV_008_0355</t>
        </is>
      </c>
      <c r="B355" s="8" t="inlineStr">
        <is>
          <t>COVID-SNL-22-27656</t>
        </is>
      </c>
      <c r="C355" s="8" t="inlineStr">
        <is>
          <t>PN3XQWLQFV</t>
        </is>
      </c>
      <c r="D355" s="7" t="n">
        <v>8</v>
      </c>
      <c r="E355" s="7" t="n">
        <v>355</v>
      </c>
      <c r="F355" s="7" t="inlineStr">
        <is>
          <t>Yes</t>
        </is>
      </c>
      <c r="G355" s="8" t="n"/>
    </row>
    <row r="356">
      <c r="A356" s="8" t="inlineStr">
        <is>
          <t>PGCV_008_0356</t>
        </is>
      </c>
      <c r="B356" s="8" t="inlineStr">
        <is>
          <t>COVID-SNL-22-28021</t>
        </is>
      </c>
      <c r="C356" s="8" t="inlineStr">
        <is>
          <t>U6XDJDPTOR</t>
        </is>
      </c>
      <c r="D356" s="7" t="n">
        <v>8</v>
      </c>
      <c r="E356" s="7" t="n">
        <v>356</v>
      </c>
      <c r="F356" s="7" t="inlineStr">
        <is>
          <t>Yes</t>
        </is>
      </c>
      <c r="G356" s="8" t="n"/>
    </row>
    <row r="357">
      <c r="A357" s="8" t="inlineStr">
        <is>
          <t>PGCV_008_0357</t>
        </is>
      </c>
      <c r="B357" s="8" t="inlineStr">
        <is>
          <t>COVID-SNL-22-28243</t>
        </is>
      </c>
      <c r="C357" s="8" t="inlineStr">
        <is>
          <t>LMGWOP17NS</t>
        </is>
      </c>
      <c r="D357" s="7" t="n">
        <v>8</v>
      </c>
      <c r="E357" s="7" t="n">
        <v>357</v>
      </c>
      <c r="F357" s="7" t="inlineStr">
        <is>
          <t>Yes</t>
        </is>
      </c>
      <c r="G357" s="8" t="n"/>
    </row>
    <row r="358">
      <c r="A358" s="8" t="inlineStr">
        <is>
          <t>PGCV_008_0358</t>
        </is>
      </c>
      <c r="B358" s="8" t="inlineStr">
        <is>
          <t>COVID-SNL-22-28457</t>
        </is>
      </c>
      <c r="C358" s="8" t="inlineStr">
        <is>
          <t>HUBCGNWCXN</t>
        </is>
      </c>
      <c r="D358" s="7" t="n">
        <v>8</v>
      </c>
      <c r="E358" s="7" t="n">
        <v>358</v>
      </c>
      <c r="F358" s="7" t="inlineStr">
        <is>
          <t>Yes</t>
        </is>
      </c>
      <c r="G358" s="8" t="n"/>
    </row>
    <row r="359">
      <c r="A359" s="8" t="inlineStr">
        <is>
          <t>PGCV_008_0359</t>
        </is>
      </c>
      <c r="B359" s="8" t="inlineStr">
        <is>
          <t>COVID-SNL-22-28462</t>
        </is>
      </c>
      <c r="C359" s="8" t="inlineStr">
        <is>
          <t>CYFROOAWP5</t>
        </is>
      </c>
      <c r="D359" s="7" t="n">
        <v>8</v>
      </c>
      <c r="E359" s="7" t="n">
        <v>359</v>
      </c>
      <c r="F359" s="7" t="inlineStr">
        <is>
          <t>Yes</t>
        </is>
      </c>
      <c r="G359" s="8" t="n"/>
    </row>
    <row r="360">
      <c r="A360" s="8" t="inlineStr">
        <is>
          <t>PGCV_008_0360</t>
        </is>
      </c>
      <c r="B360" s="8" t="inlineStr">
        <is>
          <t>COVID-SNL-22-28501</t>
        </is>
      </c>
      <c r="C360" s="8" t="inlineStr">
        <is>
          <t>9XJWA7XMVS</t>
        </is>
      </c>
      <c r="D360" s="7" t="n">
        <v>8</v>
      </c>
      <c r="E360" s="7" t="n">
        <v>360</v>
      </c>
      <c r="F360" s="7" t="inlineStr">
        <is>
          <t>Yes</t>
        </is>
      </c>
      <c r="G360" s="8" t="n"/>
    </row>
    <row r="361">
      <c r="A361" s="8" t="inlineStr">
        <is>
          <t>PGCV_008_0361</t>
        </is>
      </c>
      <c r="B361" s="8" t="inlineStr">
        <is>
          <t>COVID-SNL-22-28709</t>
        </is>
      </c>
      <c r="C361" s="8" t="inlineStr">
        <is>
          <t>SJU1F704XB</t>
        </is>
      </c>
      <c r="D361" s="7" t="n">
        <v>8</v>
      </c>
      <c r="E361" s="7" t="n">
        <v>361</v>
      </c>
      <c r="F361" s="7" t="inlineStr">
        <is>
          <t>Yes</t>
        </is>
      </c>
      <c r="G361" s="8" t="n"/>
    </row>
    <row r="362">
      <c r="A362" s="8" t="inlineStr">
        <is>
          <t>PGCV_008_0362</t>
        </is>
      </c>
      <c r="B362" s="8" t="inlineStr">
        <is>
          <t>COVID-SNL-22-28757</t>
        </is>
      </c>
      <c r="C362" s="8" t="inlineStr">
        <is>
          <t>R3MNWUGGPF</t>
        </is>
      </c>
      <c r="D362" s="7" t="n">
        <v>8</v>
      </c>
      <c r="E362" s="7" t="n">
        <v>362</v>
      </c>
      <c r="F362" s="7" t="inlineStr">
        <is>
          <t>Yes</t>
        </is>
      </c>
      <c r="G362" s="8" t="n"/>
    </row>
    <row r="363">
      <c r="A363" s="8" t="inlineStr">
        <is>
          <t>PGCV_008_0363</t>
        </is>
      </c>
      <c r="B363" s="8" t="inlineStr">
        <is>
          <t>COVID-SNL-22-28765</t>
        </is>
      </c>
      <c r="C363" s="8" t="inlineStr">
        <is>
          <t>UGJD5YCFVE</t>
        </is>
      </c>
      <c r="D363" s="7" t="n">
        <v>8</v>
      </c>
      <c r="E363" s="7" t="n">
        <v>363</v>
      </c>
      <c r="F363" s="7" t="inlineStr">
        <is>
          <t>Yes</t>
        </is>
      </c>
      <c r="G363" s="8" t="n"/>
    </row>
    <row r="364">
      <c r="A364" s="8" t="inlineStr">
        <is>
          <t>PGCV_008_0364</t>
        </is>
      </c>
      <c r="B364" s="8" t="inlineStr">
        <is>
          <t>COVID-SNL-22-28805</t>
        </is>
      </c>
      <c r="C364" s="8" t="inlineStr">
        <is>
          <t>1H2SQJDZCT</t>
        </is>
      </c>
      <c r="D364" s="7" t="n">
        <v>8</v>
      </c>
      <c r="E364" s="7" t="n">
        <v>364</v>
      </c>
      <c r="F364" s="7" t="inlineStr">
        <is>
          <t>Yes</t>
        </is>
      </c>
      <c r="G364" s="8" t="n"/>
    </row>
    <row r="365">
      <c r="A365" s="8" t="inlineStr">
        <is>
          <t>PGCV_008_0365</t>
        </is>
      </c>
      <c r="B365" s="8" t="inlineStr">
        <is>
          <t>COVID-SNL-22-29070</t>
        </is>
      </c>
      <c r="C365" s="8" t="inlineStr">
        <is>
          <t>3VQPC7QKAT</t>
        </is>
      </c>
      <c r="D365" s="7" t="n">
        <v>8</v>
      </c>
      <c r="E365" s="7" t="n">
        <v>365</v>
      </c>
      <c r="F365" s="7" t="inlineStr">
        <is>
          <t>No</t>
        </is>
      </c>
      <c r="G365" s="8" t="n"/>
    </row>
    <row r="366">
      <c r="A366" s="8" t="inlineStr">
        <is>
          <t>PGCV_008_0366</t>
        </is>
      </c>
      <c r="B366" s="8" t="inlineStr">
        <is>
          <t>COVID-SNL-22-29255</t>
        </is>
      </c>
      <c r="C366" s="8" t="inlineStr">
        <is>
          <t>XRQVHC0D63</t>
        </is>
      </c>
      <c r="D366" s="7" t="n">
        <v>8</v>
      </c>
      <c r="E366" s="7" t="n">
        <v>366</v>
      </c>
      <c r="F366" s="7" t="inlineStr">
        <is>
          <t>Yes</t>
        </is>
      </c>
      <c r="G366" s="8" t="n"/>
    </row>
    <row r="367">
      <c r="A367" s="8" t="inlineStr">
        <is>
          <t>PGCV_008_0367</t>
        </is>
      </c>
      <c r="B367" s="8" t="inlineStr">
        <is>
          <t>COVID-SNL-22-29296</t>
        </is>
      </c>
      <c r="C367" s="8" t="inlineStr">
        <is>
          <t>DVIJMAF2N2</t>
        </is>
      </c>
      <c r="D367" s="7" t="n">
        <v>8</v>
      </c>
      <c r="E367" s="7" t="n">
        <v>367</v>
      </c>
      <c r="F367" s="7" t="inlineStr">
        <is>
          <t>Yes</t>
        </is>
      </c>
      <c r="G367" s="8" t="n"/>
    </row>
    <row r="368">
      <c r="A368" s="8" t="inlineStr">
        <is>
          <t>PGCV_008_0368</t>
        </is>
      </c>
      <c r="B368" s="8" t="inlineStr">
        <is>
          <t>COVID-SNL-22-29530</t>
        </is>
      </c>
      <c r="C368" s="8" t="inlineStr">
        <is>
          <t>ZFA6RM3JVX</t>
        </is>
      </c>
      <c r="D368" s="7" t="n">
        <v>8</v>
      </c>
      <c r="E368" s="7" t="n">
        <v>368</v>
      </c>
      <c r="F368" s="7" t="inlineStr">
        <is>
          <t>No</t>
        </is>
      </c>
      <c r="G368" s="8" t="n"/>
    </row>
    <row r="369">
      <c r="A369" s="8" t="inlineStr">
        <is>
          <t>PGCV_008_0369</t>
        </is>
      </c>
      <c r="B369" s="8" t="inlineStr">
        <is>
          <t>579B98412</t>
        </is>
      </c>
      <c r="C369" s="8" t="inlineStr">
        <is>
          <t>CWJZSGMOPV</t>
        </is>
      </c>
      <c r="D369" s="7" t="n">
        <v>8</v>
      </c>
      <c r="E369" s="7" t="n">
        <v>369</v>
      </c>
      <c r="F369" s="7" t="inlineStr">
        <is>
          <t>Yes</t>
        </is>
      </c>
      <c r="G369" s="8" t="n"/>
    </row>
    <row r="370">
      <c r="A370" s="8" t="inlineStr">
        <is>
          <t>PGCV_008_0370</t>
        </is>
      </c>
      <c r="B370" s="8" t="inlineStr">
        <is>
          <t>580B98510</t>
        </is>
      </c>
      <c r="C370" s="8" t="inlineStr">
        <is>
          <t>PDN3WPH4UR</t>
        </is>
      </c>
      <c r="D370" s="7" t="n">
        <v>8</v>
      </c>
      <c r="E370" s="7" t="n">
        <v>370</v>
      </c>
      <c r="F370" s="7" t="inlineStr">
        <is>
          <t>Yes</t>
        </is>
      </c>
      <c r="G370" s="8" t="n"/>
    </row>
    <row r="371">
      <c r="A371" s="8" t="inlineStr">
        <is>
          <t>PGCV_008_0371</t>
        </is>
      </c>
      <c r="B371" s="8" t="inlineStr">
        <is>
          <t>583B98712</t>
        </is>
      </c>
      <c r="C371" s="8" t="inlineStr">
        <is>
          <t>0Q86DZMTPB</t>
        </is>
      </c>
      <c r="D371" s="7" t="n">
        <v>8</v>
      </c>
      <c r="E371" s="7" t="n">
        <v>371</v>
      </c>
      <c r="F371" s="7" t="inlineStr">
        <is>
          <t>Yes</t>
        </is>
      </c>
      <c r="G371" s="8" t="n"/>
    </row>
    <row r="372">
      <c r="A372" s="8" t="inlineStr">
        <is>
          <t>PGCV_008_0372</t>
        </is>
      </c>
      <c r="B372" s="8" t="inlineStr">
        <is>
          <t>MLAB167942</t>
        </is>
      </c>
      <c r="C372" s="8" t="inlineStr">
        <is>
          <t>SGOMH029GF</t>
        </is>
      </c>
      <c r="D372" s="7" t="n">
        <v>8</v>
      </c>
      <c r="E372" s="7" t="n">
        <v>372</v>
      </c>
      <c r="F372" s="7" t="inlineStr">
        <is>
          <t>Yes</t>
        </is>
      </c>
      <c r="G372" s="8" t="n"/>
    </row>
    <row r="373">
      <c r="A373" s="8" t="inlineStr">
        <is>
          <t>PGCV_008_0373</t>
        </is>
      </c>
      <c r="B373" s="8" t="inlineStr">
        <is>
          <t>MLAB168198</t>
        </is>
      </c>
      <c r="C373" s="8" t="inlineStr">
        <is>
          <t>I45KDW8PK8</t>
        </is>
      </c>
      <c r="D373" s="7" t="n">
        <v>8</v>
      </c>
      <c r="E373" s="7" t="n">
        <v>373</v>
      </c>
      <c r="F373" s="7" t="inlineStr">
        <is>
          <t>Yes</t>
        </is>
      </c>
      <c r="G373" s="8" t="n"/>
    </row>
    <row r="374">
      <c r="A374" s="8" t="inlineStr">
        <is>
          <t>PGCV_008_0374</t>
        </is>
      </c>
      <c r="B374" s="8" t="inlineStr">
        <is>
          <t>MLAB168496</t>
        </is>
      </c>
      <c r="C374" s="8" t="inlineStr">
        <is>
          <t>TTESOBVFEP</t>
        </is>
      </c>
      <c r="D374" s="7" t="n">
        <v>8</v>
      </c>
      <c r="E374" s="7" t="n">
        <v>374</v>
      </c>
      <c r="F374" s="7" t="inlineStr">
        <is>
          <t>Yes</t>
        </is>
      </c>
      <c r="G374" s="8" t="n"/>
    </row>
    <row r="375">
      <c r="A375" s="8" t="inlineStr">
        <is>
          <t>PGCV_009_0375</t>
        </is>
      </c>
      <c r="B375" s="8" t="inlineStr">
        <is>
          <t>COVID-SNL-22-29953</t>
        </is>
      </c>
      <c r="C375" s="8" t="inlineStr">
        <is>
          <t>L5AUC6COMP</t>
        </is>
      </c>
      <c r="D375" s="7" t="n">
        <v>9</v>
      </c>
      <c r="E375" s="7" t="n">
        <v>375</v>
      </c>
      <c r="F375" s="7" t="inlineStr">
        <is>
          <t>Yes</t>
        </is>
      </c>
      <c r="G375" s="8" t="n"/>
    </row>
    <row r="376">
      <c r="A376" s="8" t="inlineStr">
        <is>
          <t>PGCV_009_0376</t>
        </is>
      </c>
      <c r="B376" s="8" t="inlineStr">
        <is>
          <t>COVID-SNL-22-30041</t>
        </is>
      </c>
      <c r="C376" s="8" t="inlineStr">
        <is>
          <t>O4V5884Q8E</t>
        </is>
      </c>
      <c r="D376" s="7" t="n">
        <v>9</v>
      </c>
      <c r="E376" s="7" t="n">
        <v>376</v>
      </c>
      <c r="F376" s="7" t="inlineStr">
        <is>
          <t>Yes</t>
        </is>
      </c>
      <c r="G376" s="8" t="n"/>
    </row>
    <row r="377">
      <c r="A377" s="8" t="inlineStr">
        <is>
          <t>PGCV_009_0377</t>
        </is>
      </c>
      <c r="B377" s="8" t="inlineStr">
        <is>
          <t>COVID-SNL-22-30172</t>
        </is>
      </c>
      <c r="C377" s="8" t="inlineStr">
        <is>
          <t>I5EISJHXZ6</t>
        </is>
      </c>
      <c r="D377" s="7" t="n">
        <v>9</v>
      </c>
      <c r="E377" s="7" t="n">
        <v>377</v>
      </c>
      <c r="F377" s="7" t="inlineStr">
        <is>
          <t>Yes</t>
        </is>
      </c>
      <c r="G377" s="8" t="n"/>
    </row>
    <row r="378">
      <c r="A378" s="8" t="inlineStr">
        <is>
          <t>PGCV_009_0378</t>
        </is>
      </c>
      <c r="B378" s="8" t="inlineStr">
        <is>
          <t>COVID-SNL-22-30492</t>
        </is>
      </c>
      <c r="C378" s="8" t="inlineStr">
        <is>
          <t>2XLJ8YIAST</t>
        </is>
      </c>
      <c r="D378" s="7" t="n">
        <v>9</v>
      </c>
      <c r="E378" s="7" t="n">
        <v>378</v>
      </c>
      <c r="F378" s="7" t="inlineStr">
        <is>
          <t>Yes</t>
        </is>
      </c>
      <c r="G378" s="8" t="n"/>
    </row>
    <row r="379">
      <c r="A379" s="8" t="inlineStr">
        <is>
          <t>PGCV_009_0379</t>
        </is>
      </c>
      <c r="B379" s="8" t="inlineStr">
        <is>
          <t>COVID-SNL-22-30398</t>
        </is>
      </c>
      <c r="C379" s="8" t="inlineStr">
        <is>
          <t>VFY3A864IA</t>
        </is>
      </c>
      <c r="D379" s="7" t="n">
        <v>9</v>
      </c>
      <c r="E379" s="7" t="n">
        <v>379</v>
      </c>
      <c r="F379" s="7" t="inlineStr">
        <is>
          <t>Yes</t>
        </is>
      </c>
      <c r="G379" s="8" t="n"/>
    </row>
    <row r="380">
      <c r="A380" s="8" t="inlineStr">
        <is>
          <t>PGCV_009_0380</t>
        </is>
      </c>
      <c r="B380" s="8" t="inlineStr">
        <is>
          <t>COVID-SNL-22-30406</t>
        </is>
      </c>
      <c r="C380" s="8" t="inlineStr">
        <is>
          <t>RKQDNLOZOB</t>
        </is>
      </c>
      <c r="D380" s="7" t="n">
        <v>9</v>
      </c>
      <c r="E380" s="7" t="n">
        <v>380</v>
      </c>
      <c r="F380" s="7" t="inlineStr">
        <is>
          <t>Yes</t>
        </is>
      </c>
      <c r="G380" s="8" t="n"/>
    </row>
    <row r="381">
      <c r="A381" s="8" t="inlineStr">
        <is>
          <t>PGCV_009_0381</t>
        </is>
      </c>
      <c r="B381" s="8" t="inlineStr">
        <is>
          <t>COVID-SNL-22-30407</t>
        </is>
      </c>
      <c r="C381" s="8" t="inlineStr">
        <is>
          <t>HKYFM4L6LA</t>
        </is>
      </c>
      <c r="D381" s="7" t="n">
        <v>9</v>
      </c>
      <c r="E381" s="7" t="n">
        <v>381</v>
      </c>
      <c r="F381" s="7" t="inlineStr">
        <is>
          <t>No</t>
        </is>
      </c>
      <c r="G381" s="8" t="n"/>
    </row>
    <row r="382">
      <c r="A382" s="8" t="inlineStr">
        <is>
          <t>PGCV_009_0382</t>
        </is>
      </c>
      <c r="B382" s="8" t="inlineStr">
        <is>
          <t>COVID-SNL-22-30499</t>
        </is>
      </c>
      <c r="C382" s="8" t="inlineStr">
        <is>
          <t>BKNPM7BFT1</t>
        </is>
      </c>
      <c r="D382" s="7" t="n">
        <v>9</v>
      </c>
      <c r="E382" s="7" t="n">
        <v>382</v>
      </c>
      <c r="F382" s="7" t="inlineStr">
        <is>
          <t>Yes</t>
        </is>
      </c>
      <c r="G382" s="8" t="n"/>
    </row>
    <row r="383">
      <c r="A383" s="8" t="inlineStr">
        <is>
          <t>PGCV_009_0383</t>
        </is>
      </c>
      <c r="B383" s="8" t="inlineStr">
        <is>
          <t>COVID-SNL-22-30913</t>
        </is>
      </c>
      <c r="C383" s="8" t="inlineStr">
        <is>
          <t>NUAKINCBRT</t>
        </is>
      </c>
      <c r="D383" s="7" t="n">
        <v>9</v>
      </c>
      <c r="E383" s="7" t="n">
        <v>383</v>
      </c>
      <c r="F383" s="7" t="inlineStr">
        <is>
          <t>Yes</t>
        </is>
      </c>
      <c r="G383" s="8" t="n"/>
    </row>
    <row r="384">
      <c r="A384" s="8" t="inlineStr">
        <is>
          <t>PGCV_009_0384</t>
        </is>
      </c>
      <c r="B384" s="8" t="inlineStr">
        <is>
          <t>COVID-SNL-22-30915</t>
        </is>
      </c>
      <c r="C384" s="8" t="inlineStr">
        <is>
          <t>J27HRIQKXT</t>
        </is>
      </c>
      <c r="D384" s="7" t="n">
        <v>9</v>
      </c>
      <c r="E384" s="7" t="n">
        <v>384</v>
      </c>
      <c r="F384" s="7" t="inlineStr">
        <is>
          <t>Yes</t>
        </is>
      </c>
      <c r="G384" s="8" t="n"/>
    </row>
    <row r="385">
      <c r="A385" s="8" t="inlineStr">
        <is>
          <t>PGCV_009_0385</t>
        </is>
      </c>
      <c r="B385" s="8" t="inlineStr">
        <is>
          <t>COVID-SNL-22-30873</t>
        </is>
      </c>
      <c r="C385" s="8" t="inlineStr">
        <is>
          <t>HGTJQYCED4</t>
        </is>
      </c>
      <c r="D385" s="7" t="n">
        <v>9</v>
      </c>
      <c r="E385" s="7" t="n">
        <v>385</v>
      </c>
      <c r="F385" s="7" t="inlineStr">
        <is>
          <t>No</t>
        </is>
      </c>
      <c r="G385" s="8" t="n"/>
    </row>
    <row r="386">
      <c r="A386" s="8" t="inlineStr">
        <is>
          <t>PGCV_009_0386</t>
        </is>
      </c>
      <c r="B386" s="8" t="inlineStr">
        <is>
          <t>COVID-SNL-22-30877</t>
        </is>
      </c>
      <c r="C386" s="8" t="inlineStr">
        <is>
          <t>DPEHGVYVMF</t>
        </is>
      </c>
      <c r="D386" s="7" t="n">
        <v>9</v>
      </c>
      <c r="E386" s="7" t="n">
        <v>386</v>
      </c>
      <c r="F386" s="7" t="inlineStr">
        <is>
          <t>No</t>
        </is>
      </c>
      <c r="G386" s="8" t="n"/>
    </row>
    <row r="387">
      <c r="A387" s="8" t="inlineStr">
        <is>
          <t>PGCV_009_0387</t>
        </is>
      </c>
      <c r="B387" s="8" t="inlineStr">
        <is>
          <t>COVID-SNL-22-30878</t>
        </is>
      </c>
      <c r="C387" s="8" t="inlineStr">
        <is>
          <t>CL95WLWFHZ</t>
        </is>
      </c>
      <c r="D387" s="7" t="n">
        <v>9</v>
      </c>
      <c r="E387" s="7" t="n">
        <v>387</v>
      </c>
      <c r="F387" s="7" t="inlineStr">
        <is>
          <t>No</t>
        </is>
      </c>
      <c r="G387" s="8" t="n"/>
    </row>
    <row r="388">
      <c r="A388" s="8" t="inlineStr">
        <is>
          <t>PGCV_009_0388</t>
        </is>
      </c>
      <c r="B388" s="8" t="inlineStr">
        <is>
          <t>COVID-SNL-22-30879</t>
        </is>
      </c>
      <c r="C388" s="8" t="inlineStr">
        <is>
          <t>MIAZHHNX0W</t>
        </is>
      </c>
      <c r="D388" s="7" t="n">
        <v>9</v>
      </c>
      <c r="E388" s="7" t="n">
        <v>388</v>
      </c>
      <c r="F388" s="7" t="inlineStr">
        <is>
          <t>Yes</t>
        </is>
      </c>
      <c r="G388" s="8" t="n"/>
    </row>
    <row r="389">
      <c r="A389" s="8" t="inlineStr">
        <is>
          <t>PGCV_009_0389</t>
        </is>
      </c>
      <c r="B389" s="8" t="inlineStr">
        <is>
          <t>COVID-SNL-22-30880</t>
        </is>
      </c>
      <c r="C389" s="8" t="inlineStr">
        <is>
          <t>7QTBXUT4GN</t>
        </is>
      </c>
      <c r="D389" s="7" t="n">
        <v>9</v>
      </c>
      <c r="E389" s="7" t="n">
        <v>389</v>
      </c>
      <c r="F389" s="7" t="inlineStr">
        <is>
          <t>No</t>
        </is>
      </c>
      <c r="G389" s="8" t="n"/>
    </row>
    <row r="390">
      <c r="A390" s="8" t="inlineStr">
        <is>
          <t>PGCV_009_0390</t>
        </is>
      </c>
      <c r="B390" s="8" t="inlineStr">
        <is>
          <t>COVID-SNL-22-30881</t>
        </is>
      </c>
      <c r="C390" s="8" t="inlineStr">
        <is>
          <t>9FUPVZSOF3</t>
        </is>
      </c>
      <c r="D390" s="7" t="n">
        <v>9</v>
      </c>
      <c r="E390" s="7" t="n">
        <v>390</v>
      </c>
      <c r="F390" s="7" t="inlineStr">
        <is>
          <t>Yes</t>
        </is>
      </c>
      <c r="G390" s="8" t="n"/>
    </row>
    <row r="391">
      <c r="A391" s="8" t="inlineStr">
        <is>
          <t>PGCV_009_0391</t>
        </is>
      </c>
      <c r="B391" s="8" t="inlineStr">
        <is>
          <t>COVID-SNL-22-30876</t>
        </is>
      </c>
      <c r="C391" s="8" t="inlineStr">
        <is>
          <t>UYPAEGELMC</t>
        </is>
      </c>
      <c r="D391" s="7" t="n">
        <v>9</v>
      </c>
      <c r="E391" s="7" t="n">
        <v>391</v>
      </c>
      <c r="F391" s="7" t="inlineStr">
        <is>
          <t>Yes</t>
        </is>
      </c>
      <c r="G391" s="8" t="n"/>
    </row>
    <row r="392">
      <c r="A392" s="8" t="inlineStr">
        <is>
          <t>PGCV_009_0392</t>
        </is>
      </c>
      <c r="B392" s="8" t="inlineStr">
        <is>
          <t>COVID-SNL-22-31165</t>
        </is>
      </c>
      <c r="C392" s="8" t="inlineStr">
        <is>
          <t>T7FTKWHQKA</t>
        </is>
      </c>
      <c r="D392" s="7" t="n">
        <v>9</v>
      </c>
      <c r="E392" s="7" t="n">
        <v>392</v>
      </c>
      <c r="F392" s="7" t="inlineStr">
        <is>
          <t>Yes</t>
        </is>
      </c>
      <c r="G392" s="8" t="n"/>
    </row>
    <row r="393">
      <c r="A393" s="8" t="inlineStr">
        <is>
          <t>PGCV_0010_0393</t>
        </is>
      </c>
      <c r="B393" s="8" t="inlineStr">
        <is>
          <t>COVID-SNL-22-31964</t>
        </is>
      </c>
      <c r="C393" s="8" t="inlineStr">
        <is>
          <t>IDPM5L3ARM</t>
        </is>
      </c>
      <c r="D393" s="7" t="n">
        <v>10</v>
      </c>
      <c r="E393" s="7" t="n">
        <v>393</v>
      </c>
      <c r="F393" s="7" t="inlineStr">
        <is>
          <t>Yes</t>
        </is>
      </c>
      <c r="G393" s="8" t="n"/>
    </row>
    <row r="394">
      <c r="A394" s="8" t="inlineStr">
        <is>
          <t>PGCV_0010_0394</t>
        </is>
      </c>
      <c r="B394" s="8" t="inlineStr">
        <is>
          <t>COVID-SNL-22-32160</t>
        </is>
      </c>
      <c r="C394" s="8" t="inlineStr">
        <is>
          <t>FOPTHNSZ3S</t>
        </is>
      </c>
      <c r="D394" s="7" t="n">
        <v>10</v>
      </c>
      <c r="E394" s="7" t="n">
        <v>394</v>
      </c>
      <c r="F394" s="7" t="inlineStr">
        <is>
          <t>No</t>
        </is>
      </c>
      <c r="G394" s="8" t="n"/>
    </row>
    <row r="395">
      <c r="A395" s="8" t="inlineStr">
        <is>
          <t>PGCV_0010_0395</t>
        </is>
      </c>
      <c r="B395" s="8" t="inlineStr">
        <is>
          <t>COVID-SNL-22-32220</t>
        </is>
      </c>
      <c r="C395" s="8" t="inlineStr">
        <is>
          <t>JEB5DBXPWH</t>
        </is>
      </c>
      <c r="D395" s="7" t="n">
        <v>10</v>
      </c>
      <c r="E395" s="7" t="n">
        <v>395</v>
      </c>
      <c r="F395" s="7" t="inlineStr">
        <is>
          <t>No</t>
        </is>
      </c>
      <c r="G395" s="8" t="n"/>
    </row>
    <row r="396">
      <c r="A396" s="8" t="inlineStr">
        <is>
          <t>PGCV_0010_0396</t>
        </is>
      </c>
      <c r="B396" s="8" t="inlineStr">
        <is>
          <t>COVID-SNL-22-32605</t>
        </is>
      </c>
      <c r="C396" s="8" t="inlineStr">
        <is>
          <t>XBKYWESNPV</t>
        </is>
      </c>
      <c r="D396" s="7" t="n">
        <v>10</v>
      </c>
      <c r="E396" s="7" t="n">
        <v>396</v>
      </c>
      <c r="F396" s="7" t="inlineStr">
        <is>
          <t>No</t>
        </is>
      </c>
      <c r="G396" s="8" t="n"/>
    </row>
    <row r="397">
      <c r="A397" s="8" t="inlineStr">
        <is>
          <t>PGCV_0010_0397</t>
        </is>
      </c>
      <c r="B397" s="8" t="inlineStr">
        <is>
          <t>COVID-SNL-22-32618</t>
        </is>
      </c>
      <c r="C397" s="8" t="inlineStr">
        <is>
          <t>JM7T4GMHNC</t>
        </is>
      </c>
      <c r="D397" s="7" t="n">
        <v>10</v>
      </c>
      <c r="E397" s="7" t="n">
        <v>397</v>
      </c>
      <c r="F397" s="7" t="inlineStr">
        <is>
          <t>Yes</t>
        </is>
      </c>
      <c r="G397" s="8" t="n"/>
    </row>
    <row r="398">
      <c r="A398" s="8" t="inlineStr">
        <is>
          <t>PGCV_0010_0398</t>
        </is>
      </c>
      <c r="B398" s="8" t="inlineStr">
        <is>
          <t>COVID-SNL-22-32718</t>
        </is>
      </c>
      <c r="C398" s="8" t="inlineStr">
        <is>
          <t>1BDUDNVLUU</t>
        </is>
      </c>
      <c r="D398" s="7" t="n">
        <v>10</v>
      </c>
      <c r="E398" s="7" t="n">
        <v>398</v>
      </c>
      <c r="F398" s="7" t="inlineStr">
        <is>
          <t>Yes</t>
        </is>
      </c>
      <c r="G398" s="8" t="n"/>
    </row>
    <row r="399">
      <c r="A399" s="8" t="inlineStr">
        <is>
          <t>PGCV_0010_0399</t>
        </is>
      </c>
      <c r="B399" s="8" t="inlineStr">
        <is>
          <t>COVID-SNL-22-32928</t>
        </is>
      </c>
      <c r="C399" s="8" t="inlineStr">
        <is>
          <t>FGZDLDALM8</t>
        </is>
      </c>
      <c r="D399" s="7" t="n">
        <v>10</v>
      </c>
      <c r="E399" s="7" t="n">
        <v>399</v>
      </c>
      <c r="F399" s="7" t="inlineStr">
        <is>
          <t>Yes</t>
        </is>
      </c>
      <c r="G399" s="8" t="n"/>
    </row>
    <row r="400">
      <c r="A400" s="8" t="inlineStr">
        <is>
          <t>PGCV_0010_0400</t>
        </is>
      </c>
      <c r="B400" s="8" t="inlineStr">
        <is>
          <t>COVID-SNL-22-33180</t>
        </is>
      </c>
      <c r="C400" s="8" t="inlineStr">
        <is>
          <t>F3GHTDNJQ4</t>
        </is>
      </c>
      <c r="D400" s="7" t="n">
        <v>10</v>
      </c>
      <c r="E400" s="7" t="n">
        <v>400</v>
      </c>
      <c r="F400" s="7" t="inlineStr">
        <is>
          <t>Yes</t>
        </is>
      </c>
      <c r="G400" s="8" t="n"/>
    </row>
    <row r="401">
      <c r="A401" s="8" t="inlineStr">
        <is>
          <t>PGCV_0010_0401</t>
        </is>
      </c>
      <c r="B401" s="8" t="inlineStr">
        <is>
          <t>COVID-SNL-22-33256</t>
        </is>
      </c>
      <c r="C401" s="8" t="inlineStr">
        <is>
          <t>QZY5BLC6WE</t>
        </is>
      </c>
      <c r="D401" s="7" t="n">
        <v>10</v>
      </c>
      <c r="E401" s="7" t="n">
        <v>401</v>
      </c>
      <c r="F401" s="7" t="inlineStr">
        <is>
          <t>Yes</t>
        </is>
      </c>
      <c r="G401" s="8" t="n"/>
    </row>
    <row r="402">
      <c r="A402" s="8" t="inlineStr">
        <is>
          <t>PGCV_0010_0402</t>
        </is>
      </c>
      <c r="B402" s="8" t="inlineStr">
        <is>
          <t>COVID-SNL-22-33499</t>
        </is>
      </c>
      <c r="C402" s="8" t="inlineStr">
        <is>
          <t>OO92NQRRYK</t>
        </is>
      </c>
      <c r="D402" s="7" t="n">
        <v>10</v>
      </c>
      <c r="E402" s="7" t="n">
        <v>402</v>
      </c>
      <c r="F402" s="7" t="inlineStr">
        <is>
          <t>Yes</t>
        </is>
      </c>
      <c r="G402" s="8" t="n"/>
    </row>
    <row r="403">
      <c r="A403" s="8" t="inlineStr">
        <is>
          <t>PGCV_0010_0403</t>
        </is>
      </c>
      <c r="B403" s="8" t="inlineStr">
        <is>
          <t>MLAB169444</t>
        </is>
      </c>
      <c r="C403" s="8" t="inlineStr">
        <is>
          <t>RRHDX1FXLJ</t>
        </is>
      </c>
      <c r="D403" s="7" t="n">
        <v>10</v>
      </c>
      <c r="E403" s="7" t="n">
        <v>403</v>
      </c>
      <c r="F403" s="7" t="inlineStr">
        <is>
          <t>Yes</t>
        </is>
      </c>
      <c r="G403" s="8" t="n"/>
    </row>
    <row r="404">
      <c r="A404" s="8" t="inlineStr">
        <is>
          <t>PGCV_0010_0404</t>
        </is>
      </c>
      <c r="B404" s="8" t="inlineStr">
        <is>
          <t>MLAB169804</t>
        </is>
      </c>
      <c r="C404" s="8" t="inlineStr">
        <is>
          <t>UI8CW93CXD</t>
        </is>
      </c>
      <c r="D404" s="7" t="n">
        <v>10</v>
      </c>
      <c r="E404" s="7" t="n">
        <v>404</v>
      </c>
      <c r="F404" s="7" t="inlineStr">
        <is>
          <t>Yes</t>
        </is>
      </c>
      <c r="G404" s="8" t="n"/>
    </row>
    <row r="405">
      <c r="A405" s="8" t="inlineStr">
        <is>
          <t>PGCV_0011_0405</t>
        </is>
      </c>
      <c r="B405" s="8" t="inlineStr">
        <is>
          <t>COVID-SNL-22-33699</t>
        </is>
      </c>
      <c r="C405" s="8" t="inlineStr">
        <is>
          <t>IBY0ULTQ5K</t>
        </is>
      </c>
      <c r="D405" s="7" t="n">
        <v>11</v>
      </c>
      <c r="E405" s="7" t="n">
        <v>405</v>
      </c>
      <c r="F405" s="7" t="inlineStr">
        <is>
          <t>Yes</t>
        </is>
      </c>
      <c r="G405" s="8" t="n"/>
    </row>
    <row r="406">
      <c r="A406" s="8" t="inlineStr">
        <is>
          <t>PGCV_0011_0406</t>
        </is>
      </c>
      <c r="B406" s="8" t="inlineStr">
        <is>
          <t>COVID-SNL-22-33886</t>
        </is>
      </c>
      <c r="C406" s="8" t="inlineStr">
        <is>
          <t>EBIOWLNNUS</t>
        </is>
      </c>
      <c r="D406" s="7" t="n">
        <v>11</v>
      </c>
      <c r="E406" s="7" t="n">
        <v>406</v>
      </c>
      <c r="F406" s="7" t="inlineStr">
        <is>
          <t>Yes</t>
        </is>
      </c>
      <c r="G406" s="8" t="n"/>
    </row>
    <row r="407">
      <c r="A407" s="8" t="inlineStr">
        <is>
          <t>PGCV_0011_0407</t>
        </is>
      </c>
      <c r="B407" s="8" t="inlineStr">
        <is>
          <t>COVID-SNL-22-33904</t>
        </is>
      </c>
      <c r="C407" s="8" t="inlineStr">
        <is>
          <t>OGDKIAI67D</t>
        </is>
      </c>
      <c r="D407" s="7" t="n">
        <v>11</v>
      </c>
      <c r="E407" s="7" t="n">
        <v>407</v>
      </c>
      <c r="F407" s="7" t="inlineStr">
        <is>
          <t>Yes</t>
        </is>
      </c>
      <c r="G407" s="8" t="n"/>
    </row>
    <row r="408">
      <c r="A408" s="8" t="inlineStr">
        <is>
          <t>PGCV_0011_0408</t>
        </is>
      </c>
      <c r="B408" s="8" t="inlineStr">
        <is>
          <t>COVID-SNL-22-34015</t>
        </is>
      </c>
      <c r="C408" s="8" t="inlineStr">
        <is>
          <t>M7WXBAB8D8</t>
        </is>
      </c>
      <c r="D408" s="7" t="n">
        <v>11</v>
      </c>
      <c r="E408" s="7" t="n">
        <v>408</v>
      </c>
      <c r="F408" s="7" t="inlineStr">
        <is>
          <t>Yes</t>
        </is>
      </c>
      <c r="G408" s="8" t="n"/>
    </row>
    <row r="409">
      <c r="A409" s="8" t="inlineStr">
        <is>
          <t>PGCV_0011_0409</t>
        </is>
      </c>
      <c r="B409" s="8" t="inlineStr">
        <is>
          <t>COVID-SNL-22-34319</t>
        </is>
      </c>
      <c r="C409" s="8" t="inlineStr">
        <is>
          <t>HAMY4OUTII</t>
        </is>
      </c>
      <c r="D409" s="7" t="n">
        <v>11</v>
      </c>
      <c r="E409" s="7" t="n">
        <v>409</v>
      </c>
      <c r="F409" s="7" t="inlineStr">
        <is>
          <t>Yes</t>
        </is>
      </c>
      <c r="G409" s="8" t="n"/>
    </row>
    <row r="410">
      <c r="A410" s="8" t="inlineStr">
        <is>
          <t>PGCV_0011_0410</t>
        </is>
      </c>
      <c r="B410" s="8" t="inlineStr">
        <is>
          <t>COVID-SNL-22-34325</t>
        </is>
      </c>
      <c r="C410" s="8" t="inlineStr">
        <is>
          <t>S66TNPEXP8</t>
        </is>
      </c>
      <c r="D410" s="7" t="n">
        <v>11</v>
      </c>
      <c r="E410" s="7" t="n">
        <v>410</v>
      </c>
      <c r="F410" s="7" t="inlineStr">
        <is>
          <t>No</t>
        </is>
      </c>
      <c r="G410" s="8" t="n"/>
    </row>
    <row r="411">
      <c r="A411" s="8" t="inlineStr">
        <is>
          <t>PGCV_0011_0411</t>
        </is>
      </c>
      <c r="B411" s="8" t="inlineStr">
        <is>
          <t>COVID-SNL-22-34944</t>
        </is>
      </c>
      <c r="C411" s="8" t="inlineStr">
        <is>
          <t>HMB392AQK4</t>
        </is>
      </c>
      <c r="D411" s="7" t="n">
        <v>11</v>
      </c>
      <c r="E411" s="7" t="n">
        <v>411</v>
      </c>
      <c r="F411" s="7" t="inlineStr">
        <is>
          <t>No</t>
        </is>
      </c>
      <c r="G411" s="8" t="n"/>
    </row>
    <row r="412">
      <c r="A412" s="8" t="inlineStr">
        <is>
          <t>PGCV_0011_0412</t>
        </is>
      </c>
      <c r="B412" s="8" t="inlineStr">
        <is>
          <t>COVID-SNL-22-35145</t>
        </is>
      </c>
      <c r="C412" s="8" t="inlineStr">
        <is>
          <t>AOSUOCYWVH</t>
        </is>
      </c>
      <c r="D412" s="7" t="n">
        <v>11</v>
      </c>
      <c r="E412" s="7" t="n">
        <v>412</v>
      </c>
      <c r="F412" s="7" t="inlineStr">
        <is>
          <t>Yes</t>
        </is>
      </c>
      <c r="G412" s="8" t="n"/>
    </row>
    <row r="413">
      <c r="A413" s="8" t="inlineStr">
        <is>
          <t>PGCV_0011_0413</t>
        </is>
      </c>
      <c r="B413" s="8" t="inlineStr">
        <is>
          <t>602B100883</t>
        </is>
      </c>
      <c r="C413" s="8" t="inlineStr">
        <is>
          <t>HFMSEHLJEF</t>
        </is>
      </c>
      <c r="D413" s="7" t="n">
        <v>11</v>
      </c>
      <c r="E413" s="7" t="n">
        <v>413</v>
      </c>
      <c r="F413" s="7" t="inlineStr">
        <is>
          <t>Yes</t>
        </is>
      </c>
      <c r="G413" s="8" t="n"/>
    </row>
    <row r="414">
      <c r="A414" s="8" t="inlineStr">
        <is>
          <t>PGCV_0011_0414</t>
        </is>
      </c>
      <c r="B414" s="8" t="inlineStr">
        <is>
          <t>COVID-SNL-22-36038</t>
        </is>
      </c>
      <c r="C414" s="8" t="inlineStr">
        <is>
          <t>RRRQIJYROI</t>
        </is>
      </c>
      <c r="D414" s="7" t="n">
        <v>11</v>
      </c>
      <c r="E414" s="7" t="n">
        <v>414</v>
      </c>
      <c r="F414" s="7" t="inlineStr">
        <is>
          <t>Yes</t>
        </is>
      </c>
      <c r="G414" s="8" t="n"/>
    </row>
    <row r="415">
      <c r="A415" s="8" t="inlineStr">
        <is>
          <t>PGCV_0011_0415</t>
        </is>
      </c>
      <c r="B415" s="8" t="inlineStr">
        <is>
          <t>COVID-SNL-22-36277</t>
        </is>
      </c>
      <c r="C415" s="8" t="inlineStr">
        <is>
          <t>HIDB18VFWO</t>
        </is>
      </c>
      <c r="D415" s="7" t="n">
        <v>11</v>
      </c>
      <c r="E415" s="7" t="n">
        <v>415</v>
      </c>
      <c r="F415" s="7" t="inlineStr">
        <is>
          <t>Yes</t>
        </is>
      </c>
      <c r="G415" s="8" t="n"/>
    </row>
    <row r="416">
      <c r="A416" s="8" t="inlineStr">
        <is>
          <t>PGCV_0011_0416</t>
        </is>
      </c>
      <c r="B416" s="8" t="inlineStr">
        <is>
          <t>COVID-SNL-22-37066</t>
        </is>
      </c>
      <c r="C416" s="8" t="inlineStr">
        <is>
          <t>T0SZWBOHIP</t>
        </is>
      </c>
      <c r="D416" s="7" t="n">
        <v>11</v>
      </c>
      <c r="E416" s="7" t="n">
        <v>416</v>
      </c>
      <c r="F416" s="7" t="inlineStr">
        <is>
          <t>Yes</t>
        </is>
      </c>
      <c r="G416" s="8" t="n"/>
    </row>
    <row r="417">
      <c r="A417" s="8" t="inlineStr">
        <is>
          <t>PGCV_0011_0417</t>
        </is>
      </c>
      <c r="B417" s="8" t="inlineStr">
        <is>
          <t>COVID-SNL-22-37182</t>
        </is>
      </c>
      <c r="C417" s="8" t="inlineStr">
        <is>
          <t>83WEY7NIBA</t>
        </is>
      </c>
      <c r="D417" s="7" t="n">
        <v>11</v>
      </c>
      <c r="E417" s="7" t="n">
        <v>417</v>
      </c>
      <c r="F417" s="7" t="inlineStr">
        <is>
          <t>Yes</t>
        </is>
      </c>
      <c r="G417" s="8" t="n"/>
    </row>
    <row r="418">
      <c r="A418" s="8" t="inlineStr">
        <is>
          <t>PGCV_0011_0418</t>
        </is>
      </c>
      <c r="B418" s="8" t="inlineStr">
        <is>
          <t>COVID-SNL-22-37205</t>
        </is>
      </c>
      <c r="C418" s="8" t="inlineStr">
        <is>
          <t>IVRJVEOSL6</t>
        </is>
      </c>
      <c r="D418" s="7" t="n">
        <v>11</v>
      </c>
      <c r="E418" s="7" t="n">
        <v>418</v>
      </c>
      <c r="F418" s="7" t="inlineStr">
        <is>
          <t>Yes</t>
        </is>
      </c>
      <c r="G418" s="8" t="n"/>
    </row>
    <row r="419">
      <c r="A419" s="8" t="inlineStr">
        <is>
          <t>PGCV_0011_0419</t>
        </is>
      </c>
      <c r="B419" s="8" t="inlineStr">
        <is>
          <t>COVID-SNL-22-37835</t>
        </is>
      </c>
      <c r="C419" s="8" t="inlineStr">
        <is>
          <t>DRNZLRLYMY</t>
        </is>
      </c>
      <c r="D419" s="7" t="n">
        <v>11</v>
      </c>
      <c r="E419" s="7" t="n">
        <v>419</v>
      </c>
      <c r="F419" s="7" t="inlineStr">
        <is>
          <t>Yes</t>
        </is>
      </c>
      <c r="G419" s="8" t="n"/>
    </row>
    <row r="420">
      <c r="A420" s="8" t="inlineStr">
        <is>
          <t>PGCV_0012_0420</t>
        </is>
      </c>
      <c r="B420" s="8" t="inlineStr">
        <is>
          <t>COVID-SNL-22-38400</t>
        </is>
      </c>
      <c r="C420" s="8" t="inlineStr">
        <is>
          <t>MT96ZXFPZW</t>
        </is>
      </c>
      <c r="D420" s="7" t="n">
        <v>12</v>
      </c>
      <c r="E420" s="7" t="n">
        <v>420</v>
      </c>
      <c r="F420" s="7" t="inlineStr">
        <is>
          <t>Yes</t>
        </is>
      </c>
      <c r="G420" s="8" t="n"/>
    </row>
    <row r="421">
      <c r="A421" s="8" t="inlineStr">
        <is>
          <t>PGCV_0012_0421</t>
        </is>
      </c>
      <c r="B421" s="8" t="inlineStr">
        <is>
          <t>COVID-SNL-22-38468</t>
        </is>
      </c>
      <c r="C421" s="8" t="inlineStr">
        <is>
          <t>HDQSJX6LNU</t>
        </is>
      </c>
      <c r="D421" s="7" t="n">
        <v>12</v>
      </c>
      <c r="E421" s="7" t="n">
        <v>421</v>
      </c>
      <c r="F421" s="7" t="inlineStr">
        <is>
          <t>Yes</t>
        </is>
      </c>
      <c r="G421" s="8" t="n"/>
    </row>
    <row r="422">
      <c r="A422" s="8" t="inlineStr">
        <is>
          <t>PGCV_0012_0422</t>
        </is>
      </c>
      <c r="B422" s="8" t="inlineStr">
        <is>
          <t>COVID-SNL-22-41655</t>
        </is>
      </c>
      <c r="C422" s="8" t="inlineStr">
        <is>
          <t>WPDSLTDJVO</t>
        </is>
      </c>
      <c r="D422" s="7" t="n">
        <v>12</v>
      </c>
      <c r="E422" s="7" t="n">
        <v>422</v>
      </c>
      <c r="F422" s="7" t="inlineStr">
        <is>
          <t>No</t>
        </is>
      </c>
      <c r="G422" s="8" t="n"/>
    </row>
    <row r="423">
      <c r="A423" s="8" t="inlineStr">
        <is>
          <t>PGCV_0012_0423</t>
        </is>
      </c>
      <c r="B423" s="8" t="inlineStr">
        <is>
          <t>COVID-SNL-22-41381</t>
        </is>
      </c>
      <c r="C423" s="8" t="inlineStr">
        <is>
          <t>73O8FB1NGI</t>
        </is>
      </c>
      <c r="D423" s="7" t="n">
        <v>12</v>
      </c>
      <c r="E423" s="7" t="n">
        <v>423</v>
      </c>
      <c r="F423" s="7" t="inlineStr">
        <is>
          <t>Yes</t>
        </is>
      </c>
      <c r="G423" s="8" t="n"/>
    </row>
    <row r="424">
      <c r="A424" s="8" t="inlineStr">
        <is>
          <t>PGCV_0012_0424</t>
        </is>
      </c>
      <c r="B424" s="8" t="inlineStr">
        <is>
          <t>COVID-SNL-22-42221</t>
        </is>
      </c>
      <c r="C424" s="8" t="inlineStr">
        <is>
          <t>QOWVCHK4OY</t>
        </is>
      </c>
      <c r="D424" s="7" t="n">
        <v>12</v>
      </c>
      <c r="E424" s="7" t="n">
        <v>424</v>
      </c>
      <c r="F424" s="7" t="inlineStr">
        <is>
          <t>Yes</t>
        </is>
      </c>
      <c r="G424" s="8" t="n"/>
    </row>
    <row r="425">
      <c r="A425" s="8" t="inlineStr">
        <is>
          <t>PGCV_0012_0425</t>
        </is>
      </c>
      <c r="B425" s="8" t="inlineStr">
        <is>
          <t>COVID-SNL-22-39509</t>
        </is>
      </c>
      <c r="C425" s="8" t="n"/>
      <c r="D425" s="7" t="n">
        <v>12</v>
      </c>
      <c r="E425" s="7" t="n">
        <v>425</v>
      </c>
      <c r="F425" s="7" t="inlineStr">
        <is>
          <t>Yes</t>
        </is>
      </c>
      <c r="G425" s="8" t="n"/>
    </row>
    <row r="426">
      <c r="A426" s="8" t="inlineStr">
        <is>
          <t>PGCV_0013_0426</t>
        </is>
      </c>
      <c r="B426" s="8" t="inlineStr">
        <is>
          <t>COVID-SNL-22-42505</t>
        </is>
      </c>
      <c r="C426" s="8" t="inlineStr">
        <is>
          <t>XOTAPFFM5D</t>
        </is>
      </c>
      <c r="D426" s="7" t="n">
        <v>13</v>
      </c>
      <c r="E426" s="7" t="n">
        <v>426</v>
      </c>
      <c r="F426" s="7" t="inlineStr">
        <is>
          <t>Yes</t>
        </is>
      </c>
      <c r="G426" s="8" t="n"/>
    </row>
    <row r="427">
      <c r="A427" s="8" t="inlineStr">
        <is>
          <t>PGCV_0013_0427</t>
        </is>
      </c>
      <c r="B427" s="8" t="inlineStr">
        <is>
          <t>COVID-SNL-22-42740</t>
        </is>
      </c>
      <c r="C427" s="8" t="inlineStr">
        <is>
          <t>JQTNIJM8BI</t>
        </is>
      </c>
      <c r="D427" s="7" t="n">
        <v>13</v>
      </c>
      <c r="E427" s="7" t="n">
        <v>427</v>
      </c>
      <c r="F427" s="7" t="inlineStr">
        <is>
          <t>Yes</t>
        </is>
      </c>
      <c r="G427" s="8" t="n"/>
    </row>
    <row r="428">
      <c r="A428" s="8" t="inlineStr">
        <is>
          <t>PGCV_0013_0428</t>
        </is>
      </c>
      <c r="B428" s="8" t="inlineStr">
        <is>
          <t>COVID-SNL-22-43039</t>
        </is>
      </c>
      <c r="C428" s="8" t="inlineStr">
        <is>
          <t>19JHS5MEMM</t>
        </is>
      </c>
      <c r="D428" s="7" t="n">
        <v>13</v>
      </c>
      <c r="E428" s="7" t="n">
        <v>428</v>
      </c>
      <c r="F428" s="7" t="inlineStr">
        <is>
          <t>Yes</t>
        </is>
      </c>
      <c r="G428" s="8" t="n"/>
    </row>
    <row r="429">
      <c r="A429" s="8" t="inlineStr">
        <is>
          <t>PGCV_0013_0429</t>
        </is>
      </c>
      <c r="B429" s="8" t="inlineStr">
        <is>
          <t>COVID-SNL-22-44478</t>
        </is>
      </c>
      <c r="C429" s="8" t="inlineStr">
        <is>
          <t>TGH2T6DNZQ</t>
        </is>
      </c>
      <c r="D429" s="7" t="n">
        <v>13</v>
      </c>
      <c r="E429" s="7" t="n">
        <v>429</v>
      </c>
      <c r="F429" s="7" t="inlineStr">
        <is>
          <t>Yes</t>
        </is>
      </c>
      <c r="G429" s="8" t="n"/>
    </row>
    <row r="430">
      <c r="A430" s="8" t="inlineStr">
        <is>
          <t>PGCV_0013_0430</t>
        </is>
      </c>
      <c r="B430" s="8" t="inlineStr">
        <is>
          <t>C16678</t>
        </is>
      </c>
      <c r="C430" s="8" t="inlineStr">
        <is>
          <t>DCS6YZP4EB</t>
        </is>
      </c>
      <c r="D430" s="7" t="n">
        <v>13</v>
      </c>
      <c r="E430" s="7" t="n">
        <v>430</v>
      </c>
      <c r="F430" s="7" t="inlineStr">
        <is>
          <t>Yes</t>
        </is>
      </c>
      <c r="G430" s="8" t="n"/>
    </row>
    <row r="431">
      <c r="A431" s="8" t="inlineStr">
        <is>
          <t>PGCV_0013_0431</t>
        </is>
      </c>
      <c r="B431" s="8" t="inlineStr">
        <is>
          <t>C17366</t>
        </is>
      </c>
      <c r="C431" s="8" t="inlineStr">
        <is>
          <t>EBLRHYGFJX</t>
        </is>
      </c>
      <c r="D431" s="7" t="n">
        <v>13</v>
      </c>
      <c r="E431" s="7" t="n">
        <v>431</v>
      </c>
      <c r="F431" s="7" t="inlineStr">
        <is>
          <t>Yes</t>
        </is>
      </c>
      <c r="G431" s="8" t="n"/>
    </row>
    <row r="432">
      <c r="A432" s="8" t="inlineStr">
        <is>
          <t>PGCV_0013_0432</t>
        </is>
      </c>
      <c r="B432" s="8" t="inlineStr">
        <is>
          <t>C18778</t>
        </is>
      </c>
      <c r="C432" s="8" t="inlineStr">
        <is>
          <t>6HMF5IAUUJ</t>
        </is>
      </c>
      <c r="D432" s="7" t="n">
        <v>13</v>
      </c>
      <c r="E432" s="7" t="n">
        <v>432</v>
      </c>
      <c r="F432" s="7" t="inlineStr">
        <is>
          <t>Yes</t>
        </is>
      </c>
      <c r="G432" s="8" t="n"/>
    </row>
    <row r="433">
      <c r="A433" s="8" t="inlineStr">
        <is>
          <t>PGCV_0013_0433</t>
        </is>
      </c>
      <c r="B433" s="8" t="inlineStr">
        <is>
          <t>C23368</t>
        </is>
      </c>
      <c r="C433" s="8" t="inlineStr">
        <is>
          <t>6HMF5IAUUJ</t>
        </is>
      </c>
      <c r="D433" s="7" t="n">
        <v>13</v>
      </c>
      <c r="E433" s="7" t="n">
        <v>433</v>
      </c>
      <c r="F433" s="7" t="inlineStr">
        <is>
          <t>Yes</t>
        </is>
      </c>
      <c r="G433" s="8" t="n"/>
    </row>
    <row r="434">
      <c r="A434" s="8" t="inlineStr">
        <is>
          <t>PGCV_0013_0434</t>
        </is>
      </c>
      <c r="B434" s="8" t="inlineStr">
        <is>
          <t>C23472</t>
        </is>
      </c>
      <c r="C434" s="8" t="inlineStr">
        <is>
          <t>HWVOSJIXIF</t>
        </is>
      </c>
      <c r="D434" s="7" t="n">
        <v>13</v>
      </c>
      <c r="E434" s="7" t="n">
        <v>434</v>
      </c>
      <c r="F434" s="7" t="inlineStr">
        <is>
          <t>Yes</t>
        </is>
      </c>
      <c r="G434" s="8" t="n"/>
    </row>
    <row r="435">
      <c r="A435" s="8" t="inlineStr">
        <is>
          <t>PGCV_0014_0435</t>
        </is>
      </c>
      <c r="B435" s="8" t="inlineStr">
        <is>
          <t>COVID-SNL-22-45460</t>
        </is>
      </c>
      <c r="C435" s="8" t="inlineStr">
        <is>
          <t>F4ZVUFPSQF</t>
        </is>
      </c>
      <c r="D435" s="7" t="n">
        <v>14</v>
      </c>
      <c r="E435" s="7" t="n">
        <v>435</v>
      </c>
      <c r="F435" s="7" t="inlineStr">
        <is>
          <t>No</t>
        </is>
      </c>
      <c r="G435" s="8" t="n"/>
    </row>
    <row r="436">
      <c r="A436" s="8" t="inlineStr">
        <is>
          <t>PGCV_0014_0436</t>
        </is>
      </c>
      <c r="B436" s="8" t="inlineStr">
        <is>
          <t>COVID-SNL-22-46029</t>
        </is>
      </c>
      <c r="C436" s="8" t="inlineStr">
        <is>
          <t>H3DTAC7TCI</t>
        </is>
      </c>
      <c r="D436" s="7" t="n">
        <v>14</v>
      </c>
      <c r="E436" s="7" t="n">
        <v>436</v>
      </c>
      <c r="F436" s="7" t="inlineStr">
        <is>
          <t>No</t>
        </is>
      </c>
      <c r="G436" s="8" t="n"/>
    </row>
    <row r="437">
      <c r="A437" s="8" t="inlineStr">
        <is>
          <t>PGCV_0014_0437</t>
        </is>
      </c>
      <c r="B437" s="8" t="inlineStr">
        <is>
          <t>COVID-SNL-22-47398</t>
        </is>
      </c>
      <c r="C437" s="8" t="inlineStr">
        <is>
          <t>ZF2F2G8AAF</t>
        </is>
      </c>
      <c r="D437" s="7" t="n">
        <v>14</v>
      </c>
      <c r="E437" s="7" t="n">
        <v>437</v>
      </c>
      <c r="F437" s="7" t="inlineStr">
        <is>
          <t>Yes</t>
        </is>
      </c>
      <c r="G437" s="8" t="n"/>
    </row>
    <row r="438">
      <c r="A438" s="8" t="inlineStr">
        <is>
          <t>PGCV_0014_0438</t>
        </is>
      </c>
      <c r="B438" s="8" t="inlineStr">
        <is>
          <t>COVID-SNL-22-47399</t>
        </is>
      </c>
      <c r="C438" s="8" t="inlineStr">
        <is>
          <t>A2DJA01B9E</t>
        </is>
      </c>
      <c r="D438" s="7" t="n">
        <v>14</v>
      </c>
      <c r="E438" s="7" t="n">
        <v>438</v>
      </c>
      <c r="F438" s="7" t="inlineStr">
        <is>
          <t>Yes</t>
        </is>
      </c>
      <c r="G438" s="8" t="n"/>
    </row>
    <row r="439">
      <c r="A439" s="8" t="inlineStr">
        <is>
          <t>PGCV_0014_0439</t>
        </is>
      </c>
      <c r="B439" s="8" t="inlineStr">
        <is>
          <t>COVID-SNL-22-48083</t>
        </is>
      </c>
      <c r="C439" s="8" t="inlineStr">
        <is>
          <t>3HZPVVFK3S</t>
        </is>
      </c>
      <c r="D439" s="7" t="n">
        <v>14</v>
      </c>
      <c r="E439" s="7" t="n">
        <v>439</v>
      </c>
      <c r="F439" s="7" t="inlineStr">
        <is>
          <t>Yes</t>
        </is>
      </c>
      <c r="G439" s="8" t="n"/>
    </row>
    <row r="440">
      <c r="A440" s="8" t="inlineStr">
        <is>
          <t>PGCV_0014_0440</t>
        </is>
      </c>
      <c r="B440" s="8" t="inlineStr">
        <is>
          <t>COVID-SNL-22-48335</t>
        </is>
      </c>
      <c r="C440" s="8" t="inlineStr">
        <is>
          <t>7ADO9L4IKG</t>
        </is>
      </c>
      <c r="D440" s="7" t="n">
        <v>14</v>
      </c>
      <c r="E440" s="7" t="n">
        <v>440</v>
      </c>
      <c r="F440" s="7" t="inlineStr">
        <is>
          <t>Yes</t>
        </is>
      </c>
      <c r="G440" s="8" t="n"/>
    </row>
    <row r="441">
      <c r="A441" s="8" t="inlineStr">
        <is>
          <t>PGCV_0014_0441</t>
        </is>
      </c>
      <c r="B441" s="8" t="inlineStr">
        <is>
          <t>MLAB172325</t>
        </is>
      </c>
      <c r="C441" s="8" t="inlineStr">
        <is>
          <t>BFEGJRG4KY</t>
        </is>
      </c>
      <c r="D441" s="7" t="n">
        <v>14</v>
      </c>
      <c r="E441" s="7" t="n">
        <v>441</v>
      </c>
      <c r="F441" s="7" t="inlineStr">
        <is>
          <t>Yes</t>
        </is>
      </c>
      <c r="G441" s="8" t="n"/>
    </row>
    <row r="442">
      <c r="A442" s="8" t="inlineStr">
        <is>
          <t>PGCV_0016_0442</t>
        </is>
      </c>
      <c r="B442" s="8" t="inlineStr">
        <is>
          <t>COVID-SNL-22-48928</t>
        </is>
      </c>
      <c r="C442" s="8" t="inlineStr">
        <is>
          <t>P3AGNTPLVK</t>
        </is>
      </c>
      <c r="D442" s="7" t="n">
        <v>16</v>
      </c>
      <c r="E442" s="7" t="n">
        <v>442</v>
      </c>
      <c r="F442" s="7" t="inlineStr">
        <is>
          <t>Yes</t>
        </is>
      </c>
      <c r="G442" s="8" t="n"/>
    </row>
    <row r="443">
      <c r="A443" s="8" t="inlineStr">
        <is>
          <t>PGCV_0016_0443</t>
        </is>
      </c>
      <c r="B443" s="8" t="inlineStr">
        <is>
          <t>COVID-SNL-22-49701</t>
        </is>
      </c>
      <c r="C443" s="8" t="inlineStr">
        <is>
          <t>VOCINYURNP</t>
        </is>
      </c>
      <c r="D443" s="7" t="n">
        <v>16</v>
      </c>
      <c r="E443" s="7" t="n">
        <v>443</v>
      </c>
      <c r="F443" s="7" t="inlineStr">
        <is>
          <t>Yes</t>
        </is>
      </c>
      <c r="G443" s="8" t="n"/>
    </row>
    <row r="444">
      <c r="A444" s="8" t="inlineStr">
        <is>
          <t>PGCV_0016_0444</t>
        </is>
      </c>
      <c r="B444" s="8" t="inlineStr">
        <is>
          <t>COVID-SNL-22-49957</t>
        </is>
      </c>
      <c r="C444" s="8" t="inlineStr">
        <is>
          <t>67JWZR0SIR</t>
        </is>
      </c>
      <c r="D444" s="7" t="n">
        <v>16</v>
      </c>
      <c r="E444" s="7" t="n">
        <v>444</v>
      </c>
      <c r="F444" s="7" t="inlineStr">
        <is>
          <t>Yes</t>
        </is>
      </c>
      <c r="G444" s="8" t="n"/>
    </row>
    <row r="445">
      <c r="A445" s="8" t="inlineStr">
        <is>
          <t>PGCV_0016_0445</t>
        </is>
      </c>
      <c r="B445" s="8" t="inlineStr">
        <is>
          <t>COVID-SNL-22-50135</t>
        </is>
      </c>
      <c r="C445" s="8" t="inlineStr">
        <is>
          <t>4GAJC6XFZK</t>
        </is>
      </c>
      <c r="D445" s="7" t="n">
        <v>16</v>
      </c>
      <c r="E445" s="7" t="n">
        <v>445</v>
      </c>
      <c r="F445" s="7" t="inlineStr">
        <is>
          <t>No</t>
        </is>
      </c>
      <c r="G445" s="8" t="n"/>
    </row>
    <row r="446">
      <c r="A446" s="8" t="inlineStr">
        <is>
          <t>PGCV_0016_0446</t>
        </is>
      </c>
      <c r="B446" s="8" t="inlineStr">
        <is>
          <t>MLAB172477</t>
        </is>
      </c>
      <c r="C446" s="8" t="inlineStr">
        <is>
          <t>97WCVLHP0Z</t>
        </is>
      </c>
      <c r="D446" s="7" t="n">
        <v>16</v>
      </c>
      <c r="E446" s="7" t="n">
        <v>446</v>
      </c>
      <c r="F446" s="7" t="inlineStr">
        <is>
          <t>Yes</t>
        </is>
      </c>
      <c r="G446" s="8" t="n"/>
    </row>
    <row r="447">
      <c r="A447" s="8" t="inlineStr">
        <is>
          <t>PGCV_0016_0447</t>
        </is>
      </c>
      <c r="B447" s="8" t="inlineStr">
        <is>
          <t>MLAB172550</t>
        </is>
      </c>
      <c r="C447" s="8" t="inlineStr">
        <is>
          <t>N2PH5QXKBH</t>
        </is>
      </c>
      <c r="D447" s="7" t="n">
        <v>16</v>
      </c>
      <c r="E447" s="7" t="n">
        <v>447</v>
      </c>
      <c r="F447" s="7" t="inlineStr">
        <is>
          <t>Yes</t>
        </is>
      </c>
      <c r="G447" s="8" t="n"/>
    </row>
    <row r="448">
      <c r="A448" s="8" t="inlineStr">
        <is>
          <t>PGCV_0016_0448</t>
        </is>
      </c>
      <c r="B448" s="8" t="inlineStr">
        <is>
          <t>MLAB172587</t>
        </is>
      </c>
      <c r="C448" s="8" t="inlineStr">
        <is>
          <t>JHE8UNCCT9</t>
        </is>
      </c>
      <c r="D448" s="7" t="n">
        <v>16</v>
      </c>
      <c r="E448" s="7" t="n">
        <v>448</v>
      </c>
      <c r="F448" s="7" t="inlineStr">
        <is>
          <t>Yes</t>
        </is>
      </c>
      <c r="G448" s="8" t="n"/>
    </row>
    <row r="449">
      <c r="A449" s="8" t="inlineStr">
        <is>
          <t>PGCV_0016_0449</t>
        </is>
      </c>
      <c r="B449" s="8" t="inlineStr">
        <is>
          <t>MLAB173088</t>
        </is>
      </c>
      <c r="C449" s="8" t="inlineStr">
        <is>
          <t>0FFD1WPOTT</t>
        </is>
      </c>
      <c r="D449" s="7" t="n">
        <v>16</v>
      </c>
      <c r="E449" s="7" t="n">
        <v>449</v>
      </c>
      <c r="F449" s="7" t="inlineStr">
        <is>
          <t>Yes</t>
        </is>
      </c>
      <c r="G449" s="8" t="n"/>
    </row>
    <row r="450">
      <c r="A450" s="8" t="inlineStr">
        <is>
          <t>PGCV_0016_0450</t>
        </is>
      </c>
      <c r="B450" s="8" t="inlineStr">
        <is>
          <t>MLAB173089</t>
        </is>
      </c>
      <c r="C450" s="8" t="inlineStr">
        <is>
          <t>DXD57DTUOM</t>
        </is>
      </c>
      <c r="D450" s="7" t="n">
        <v>16</v>
      </c>
      <c r="E450" s="7" t="n">
        <v>450</v>
      </c>
      <c r="F450" s="7" t="inlineStr">
        <is>
          <t>Yes</t>
        </is>
      </c>
      <c r="G450" s="8" t="n"/>
    </row>
    <row r="451">
      <c r="A451" s="8" t="inlineStr">
        <is>
          <t>PGCV_0016_0451</t>
        </is>
      </c>
      <c r="B451" s="8" t="inlineStr">
        <is>
          <t>MLAB173090</t>
        </is>
      </c>
      <c r="C451" s="8" t="inlineStr">
        <is>
          <t>MHBDAZNYNN</t>
        </is>
      </c>
      <c r="D451" s="7" t="n">
        <v>16</v>
      </c>
      <c r="E451" s="7" t="n">
        <v>451</v>
      </c>
      <c r="F451" s="7" t="inlineStr">
        <is>
          <t>Yes</t>
        </is>
      </c>
      <c r="G451" s="8" t="n"/>
    </row>
    <row r="452">
      <c r="A452" s="8" t="inlineStr">
        <is>
          <t>PGCV_0018_0452</t>
        </is>
      </c>
      <c r="B452" s="8" t="inlineStr">
        <is>
          <t>COVID-SNL-22-53959</t>
        </is>
      </c>
      <c r="C452" s="8" t="inlineStr">
        <is>
          <t>MD7H63GY1M</t>
        </is>
      </c>
      <c r="D452" s="7" t="n">
        <v>18</v>
      </c>
      <c r="E452" s="7" t="n">
        <v>452</v>
      </c>
      <c r="F452" s="7" t="inlineStr">
        <is>
          <t>No</t>
        </is>
      </c>
      <c r="G452" s="8" t="n"/>
    </row>
    <row r="453">
      <c r="A453" s="8" t="inlineStr">
        <is>
          <t>PGCV_0018_0453</t>
        </is>
      </c>
      <c r="B453" s="8" t="inlineStr">
        <is>
          <t>661B107032</t>
        </is>
      </c>
      <c r="C453" s="8" t="inlineStr">
        <is>
          <t>BEQC7YR6XM</t>
        </is>
      </c>
      <c r="D453" s="7" t="n">
        <v>18</v>
      </c>
      <c r="E453" s="7" t="n">
        <v>453</v>
      </c>
      <c r="F453" s="7" t="inlineStr">
        <is>
          <t>No</t>
        </is>
      </c>
      <c r="G453" s="8" t="n"/>
    </row>
    <row r="454">
      <c r="A454" s="8" t="inlineStr">
        <is>
          <t>PGCV_0018_0454</t>
        </is>
      </c>
      <c r="B454" s="8" t="inlineStr">
        <is>
          <t>COVID-SNL-22-54907</t>
        </is>
      </c>
      <c r="C454" s="8" t="inlineStr">
        <is>
          <t>M2SVBSNEIF</t>
        </is>
      </c>
      <c r="D454" s="7" t="n">
        <v>18</v>
      </c>
      <c r="E454" s="7" t="n">
        <v>454</v>
      </c>
      <c r="F454" s="7" t="inlineStr">
        <is>
          <t>No</t>
        </is>
      </c>
      <c r="G454" s="8" t="n"/>
    </row>
    <row r="455">
      <c r="A455" s="8" t="inlineStr">
        <is>
          <t>PGCV_0018_0455</t>
        </is>
      </c>
      <c r="B455" s="8" t="inlineStr">
        <is>
          <t>COVID-SNL-22-54945</t>
        </is>
      </c>
      <c r="C455" s="8" t="inlineStr">
        <is>
          <t>BFKAPS0OFA</t>
        </is>
      </c>
      <c r="D455" s="7" t="n">
        <v>18</v>
      </c>
      <c r="E455" s="7" t="n">
        <v>455</v>
      </c>
      <c r="F455" s="7" t="inlineStr">
        <is>
          <t>No</t>
        </is>
      </c>
      <c r="G455" s="8" t="n"/>
    </row>
    <row r="456">
      <c r="A456" s="8" t="inlineStr">
        <is>
          <t>PGCV_0018_0456</t>
        </is>
      </c>
      <c r="B456" s="8" t="inlineStr">
        <is>
          <t>COVID-SNL-22-55151</t>
        </is>
      </c>
      <c r="C456" s="8" t="inlineStr">
        <is>
          <t>VFFZ1MGE5O</t>
        </is>
      </c>
      <c r="D456" s="7" t="n">
        <v>18</v>
      </c>
      <c r="E456" s="7" t="n">
        <v>456</v>
      </c>
      <c r="F456" s="7" t="inlineStr">
        <is>
          <t>No</t>
        </is>
      </c>
      <c r="G456" s="8" t="n"/>
    </row>
    <row r="457">
      <c r="A457" s="8" t="inlineStr">
        <is>
          <t>PGCV_0018_0457</t>
        </is>
      </c>
      <c r="B457" s="8" t="inlineStr">
        <is>
          <t>COVID-SNL-22-55784</t>
        </is>
      </c>
      <c r="C457" s="8" t="inlineStr">
        <is>
          <t>NG8MKOSIYB</t>
        </is>
      </c>
      <c r="D457" s="7" t="n">
        <v>18</v>
      </c>
      <c r="E457" s="7" t="n">
        <v>457</v>
      </c>
      <c r="F457" s="7" t="inlineStr">
        <is>
          <t>Yes</t>
        </is>
      </c>
      <c r="G457" s="8" t="n"/>
    </row>
    <row r="458">
      <c r="A458" s="8" t="inlineStr">
        <is>
          <t>PGCV_0018_0458</t>
        </is>
      </c>
      <c r="B458" s="8" t="inlineStr">
        <is>
          <t>22-31457</t>
        </is>
      </c>
      <c r="C458" s="8" t="inlineStr">
        <is>
          <t>Z6BHR9R9PY</t>
        </is>
      </c>
      <c r="D458" s="7" t="n">
        <v>18</v>
      </c>
      <c r="E458" s="7" t="n">
        <v>458</v>
      </c>
      <c r="F458" s="7" t="inlineStr">
        <is>
          <t>Yes</t>
        </is>
      </c>
      <c r="G458" s="8" t="n"/>
    </row>
    <row r="459">
      <c r="A459" s="8" t="inlineStr">
        <is>
          <t>PGCV_0018_0459</t>
        </is>
      </c>
      <c r="B459" s="8" t="inlineStr">
        <is>
          <t>22-31478</t>
        </is>
      </c>
      <c r="C459" s="8" t="inlineStr">
        <is>
          <t>G8TLKOCQHE</t>
        </is>
      </c>
      <c r="D459" s="7" t="n">
        <v>18</v>
      </c>
      <c r="E459" s="7" t="n">
        <v>459</v>
      </c>
      <c r="F459" s="7" t="inlineStr">
        <is>
          <t>Yes</t>
        </is>
      </c>
      <c r="G459" s="8" t="n"/>
    </row>
    <row r="460">
      <c r="A460" s="8" t="inlineStr">
        <is>
          <t>PGCV_0018_0460</t>
        </is>
      </c>
      <c r="B460" s="8" t="inlineStr">
        <is>
          <t>675B108601</t>
        </is>
      </c>
      <c r="C460" s="8" t="inlineStr">
        <is>
          <t>GEIQRANTRE</t>
        </is>
      </c>
      <c r="D460" s="7" t="n">
        <v>18</v>
      </c>
      <c r="E460" s="7" t="n">
        <v>460</v>
      </c>
      <c r="F460" s="7" t="inlineStr">
        <is>
          <t>Yes</t>
        </is>
      </c>
      <c r="G460" s="8" t="n"/>
    </row>
    <row r="461">
      <c r="A461" s="8" t="inlineStr">
        <is>
          <t>PGCV_0018_0461</t>
        </is>
      </c>
      <c r="B461" s="8" t="inlineStr">
        <is>
          <t>678B108904</t>
        </is>
      </c>
      <c r="C461" s="8" t="inlineStr">
        <is>
          <t>VQSWOY94LV</t>
        </is>
      </c>
      <c r="D461" s="7" t="n">
        <v>18</v>
      </c>
      <c r="E461" s="7" t="n">
        <v>461</v>
      </c>
      <c r="F461" s="7" t="inlineStr">
        <is>
          <t>Yes</t>
        </is>
      </c>
      <c r="G461" s="8" t="n"/>
    </row>
    <row r="462">
      <c r="A462" s="8" t="inlineStr">
        <is>
          <t>PGCV_0018_0462</t>
        </is>
      </c>
      <c r="B462" s="8" t="inlineStr">
        <is>
          <t>678B108919</t>
        </is>
      </c>
      <c r="C462" s="8" t="inlineStr">
        <is>
          <t>0VUSEGYC9K</t>
        </is>
      </c>
      <c r="D462" s="7" t="n">
        <v>18</v>
      </c>
      <c r="E462" s="7" t="n">
        <v>462</v>
      </c>
      <c r="F462" s="7" t="inlineStr">
        <is>
          <t>Yes</t>
        </is>
      </c>
      <c r="G462" s="8" t="n"/>
    </row>
    <row r="463">
      <c r="A463" s="8" t="inlineStr">
        <is>
          <t>PGCV_0018_0463</t>
        </is>
      </c>
      <c r="B463" s="8" t="inlineStr">
        <is>
          <t>678B108920</t>
        </is>
      </c>
      <c r="C463" s="8" t="inlineStr">
        <is>
          <t>XERCJ7MLBC</t>
        </is>
      </c>
      <c r="D463" s="7" t="n">
        <v>18</v>
      </c>
      <c r="E463" s="7" t="n">
        <v>463</v>
      </c>
      <c r="F463" s="7" t="inlineStr">
        <is>
          <t>Yes</t>
        </is>
      </c>
      <c r="G463" s="8" t="n"/>
    </row>
    <row r="464">
      <c r="A464" s="8" t="inlineStr">
        <is>
          <t>PGCV_0018_0464</t>
        </is>
      </c>
      <c r="B464" s="8" t="inlineStr">
        <is>
          <t>677B108840</t>
        </is>
      </c>
      <c r="C464" s="8" t="inlineStr">
        <is>
          <t>UFUEC4GQHJ</t>
        </is>
      </c>
      <c r="D464" s="7" t="n">
        <v>18</v>
      </c>
      <c r="E464" s="7" t="n">
        <v>464</v>
      </c>
      <c r="F464" s="7" t="inlineStr">
        <is>
          <t>Yes</t>
        </is>
      </c>
      <c r="G464" s="8" t="n"/>
    </row>
    <row r="465">
      <c r="A465" s="8" t="inlineStr">
        <is>
          <t>PGCV_0019_0465</t>
        </is>
      </c>
      <c r="B465" s="8" t="inlineStr">
        <is>
          <t>COVID-SNL-22-56896</t>
        </is>
      </c>
      <c r="C465" s="8" t="inlineStr">
        <is>
          <t>YKTQMG66CI</t>
        </is>
      </c>
      <c r="D465" s="7" t="n">
        <v>19</v>
      </c>
      <c r="E465" s="7" t="n">
        <v>465</v>
      </c>
      <c r="F465" s="7" t="inlineStr">
        <is>
          <t>Yes</t>
        </is>
      </c>
      <c r="G465" s="8" t="n"/>
    </row>
    <row r="466">
      <c r="A466" s="8" t="inlineStr">
        <is>
          <t>PGCV_0019_0466</t>
        </is>
      </c>
      <c r="B466" s="8" t="inlineStr">
        <is>
          <t>COVID-SNL-22-57178</t>
        </is>
      </c>
      <c r="C466" s="8" t="inlineStr">
        <is>
          <t>TRIHS1FJO7</t>
        </is>
      </c>
      <c r="D466" s="7" t="n">
        <v>19</v>
      </c>
      <c r="E466" s="7" t="n">
        <v>466</v>
      </c>
      <c r="F466" s="7" t="inlineStr">
        <is>
          <t>Yes</t>
        </is>
      </c>
      <c r="G466" s="8" t="n"/>
    </row>
    <row r="467">
      <c r="A467" s="8" t="inlineStr">
        <is>
          <t>PGCV_0019_0467</t>
        </is>
      </c>
      <c r="B467" s="8" t="inlineStr">
        <is>
          <t>COVID-SNL-22-57182</t>
        </is>
      </c>
      <c r="C467" s="8" t="inlineStr">
        <is>
          <t>GY0PX3FDFY</t>
        </is>
      </c>
      <c r="D467" s="7" t="n">
        <v>19</v>
      </c>
      <c r="E467" s="7" t="n">
        <v>467</v>
      </c>
      <c r="F467" s="7" t="inlineStr">
        <is>
          <t>Yes</t>
        </is>
      </c>
      <c r="G467" s="8" t="n"/>
    </row>
    <row r="468">
      <c r="A468" s="8" t="inlineStr">
        <is>
          <t>PGCV_0019_0468</t>
        </is>
      </c>
      <c r="B468" s="8" t="inlineStr">
        <is>
          <t>COVID-SNL-22-57313</t>
        </is>
      </c>
      <c r="C468" s="8" t="inlineStr">
        <is>
          <t>X8CGCK8ZRN</t>
        </is>
      </c>
      <c r="D468" s="7" t="n">
        <v>19</v>
      </c>
      <c r="E468" s="7" t="n">
        <v>468</v>
      </c>
      <c r="F468" s="7" t="inlineStr">
        <is>
          <t>Yes</t>
        </is>
      </c>
      <c r="G468" s="8" t="n"/>
    </row>
    <row r="469">
      <c r="A469" s="8" t="inlineStr">
        <is>
          <t>PGCV_0019_0469</t>
        </is>
      </c>
      <c r="B469" s="8" t="inlineStr">
        <is>
          <t>COVID-SNL-22-57314</t>
        </is>
      </c>
      <c r="C469" s="8" t="inlineStr">
        <is>
          <t>ZTJJLQYWHR</t>
        </is>
      </c>
      <c r="D469" s="7" t="n">
        <v>19</v>
      </c>
      <c r="E469" s="7" t="n">
        <v>469</v>
      </c>
      <c r="F469" s="7" t="inlineStr">
        <is>
          <t>Yes</t>
        </is>
      </c>
      <c r="G469" s="8" t="n"/>
    </row>
    <row r="470">
      <c r="A470" s="8" t="inlineStr">
        <is>
          <t>PGCV_0019_0470</t>
        </is>
      </c>
      <c r="B470" s="8" t="inlineStr">
        <is>
          <t>COVID-SNL-22-57236</t>
        </is>
      </c>
      <c r="C470" s="8" t="inlineStr">
        <is>
          <t>N94ACYWGBU</t>
        </is>
      </c>
      <c r="D470" s="7" t="n">
        <v>19</v>
      </c>
      <c r="E470" s="7" t="n">
        <v>470</v>
      </c>
      <c r="F470" s="7" t="inlineStr">
        <is>
          <t>Yes</t>
        </is>
      </c>
      <c r="G470" s="8" t="n"/>
    </row>
    <row r="471">
      <c r="A471" s="8" t="inlineStr">
        <is>
          <t>PGCV_0019_0471</t>
        </is>
      </c>
      <c r="B471" s="8" t="inlineStr">
        <is>
          <t>COVID-SNL-22-57275</t>
        </is>
      </c>
      <c r="C471" s="8" t="inlineStr">
        <is>
          <t>RAVJQKDQUE</t>
        </is>
      </c>
      <c r="D471" s="7" t="n">
        <v>19</v>
      </c>
      <c r="E471" s="7" t="n">
        <v>471</v>
      </c>
      <c r="F471" s="7" t="inlineStr">
        <is>
          <t>Yes</t>
        </is>
      </c>
      <c r="G471" s="8" t="n"/>
    </row>
    <row r="472">
      <c r="A472" s="8" t="inlineStr">
        <is>
          <t>PGCV_0019_0472</t>
        </is>
      </c>
      <c r="B472" s="8" t="inlineStr">
        <is>
          <t>COVID-SNL-22-57277</t>
        </is>
      </c>
      <c r="C472" s="8" t="inlineStr">
        <is>
          <t>4K1XVRDMK1</t>
        </is>
      </c>
      <c r="D472" s="7" t="n">
        <v>19</v>
      </c>
      <c r="E472" s="7" t="n">
        <v>472</v>
      </c>
      <c r="F472" s="7" t="inlineStr">
        <is>
          <t>Yes</t>
        </is>
      </c>
      <c r="G472" s="8" t="n"/>
    </row>
    <row r="473">
      <c r="A473" s="8" t="inlineStr">
        <is>
          <t>PGCV_0019_0473</t>
        </is>
      </c>
      <c r="B473" s="8" t="inlineStr">
        <is>
          <t>COVID-SNL-22-57560</t>
        </is>
      </c>
      <c r="C473" s="8" t="inlineStr">
        <is>
          <t>8ZBTN7AH5X</t>
        </is>
      </c>
      <c r="D473" s="7" t="n">
        <v>19</v>
      </c>
      <c r="E473" s="7" t="n">
        <v>473</v>
      </c>
      <c r="F473" s="7" t="inlineStr">
        <is>
          <t>Yes</t>
        </is>
      </c>
      <c r="G473" s="8" t="n"/>
    </row>
    <row r="474">
      <c r="A474" s="8" t="inlineStr">
        <is>
          <t>PGCV_0019_0474</t>
        </is>
      </c>
      <c r="B474" s="8" t="inlineStr">
        <is>
          <t>COVID-SNL-22-57612</t>
        </is>
      </c>
      <c r="C474" s="8" t="inlineStr">
        <is>
          <t>Q42YUN1GEG</t>
        </is>
      </c>
      <c r="D474" s="7" t="n">
        <v>19</v>
      </c>
      <c r="E474" s="7" t="n">
        <v>474</v>
      </c>
      <c r="F474" s="7" t="inlineStr">
        <is>
          <t>Yes</t>
        </is>
      </c>
      <c r="G474" s="8" t="n"/>
    </row>
    <row r="475">
      <c r="A475" s="8" t="inlineStr">
        <is>
          <t>PGCV_0019_0475</t>
        </is>
      </c>
      <c r="B475" s="8" t="inlineStr">
        <is>
          <t>COVID-SNL-22-57613</t>
        </is>
      </c>
      <c r="C475" s="8" t="inlineStr">
        <is>
          <t>NG5AL72H7Z</t>
        </is>
      </c>
      <c r="D475" s="7" t="n">
        <v>19</v>
      </c>
      <c r="E475" s="7" t="n">
        <v>475</v>
      </c>
      <c r="F475" s="7" t="inlineStr">
        <is>
          <t>Yes</t>
        </is>
      </c>
      <c r="G475" s="8" t="n"/>
    </row>
    <row r="476">
      <c r="A476" s="8" t="inlineStr">
        <is>
          <t>PGCV_0019_0476</t>
        </is>
      </c>
      <c r="B476" s="8" t="inlineStr">
        <is>
          <t>COVID-SNL-22-57675</t>
        </is>
      </c>
      <c r="C476" s="8" t="inlineStr">
        <is>
          <t>QMZMZDRCCW</t>
        </is>
      </c>
      <c r="D476" s="7" t="n">
        <v>19</v>
      </c>
      <c r="E476" s="7" t="n">
        <v>476</v>
      </c>
      <c r="F476" s="7" t="inlineStr">
        <is>
          <t>Yes</t>
        </is>
      </c>
      <c r="G476" s="8" t="n"/>
    </row>
    <row r="477">
      <c r="A477" s="8" t="inlineStr">
        <is>
          <t>PGCV_0019_0477</t>
        </is>
      </c>
      <c r="B477" s="8" t="inlineStr">
        <is>
          <t>COVID-SNL-22-57834</t>
        </is>
      </c>
      <c r="C477" s="8" t="inlineStr">
        <is>
          <t>KGV3ZNQLF6</t>
        </is>
      </c>
      <c r="D477" s="7" t="n">
        <v>19</v>
      </c>
      <c r="E477" s="7" t="n">
        <v>477</v>
      </c>
      <c r="F477" s="7" t="inlineStr">
        <is>
          <t>Yes</t>
        </is>
      </c>
      <c r="G477" s="8" t="n"/>
    </row>
    <row r="478">
      <c r="A478" s="8" t="inlineStr">
        <is>
          <t>PGCV_0019_0478</t>
        </is>
      </c>
      <c r="B478" s="8" t="inlineStr">
        <is>
          <t>COVID-SNL-22-57835</t>
        </is>
      </c>
      <c r="C478" s="8" t="inlineStr">
        <is>
          <t>IIQ2XSPP1W</t>
        </is>
      </c>
      <c r="D478" s="7" t="n">
        <v>19</v>
      </c>
      <c r="E478" s="7" t="n">
        <v>478</v>
      </c>
      <c r="F478" s="7" t="inlineStr">
        <is>
          <t>Yes</t>
        </is>
      </c>
      <c r="G478" s="8" t="n"/>
    </row>
    <row r="479">
      <c r="A479" s="8" t="inlineStr">
        <is>
          <t>PGCV_0019_0479</t>
        </is>
      </c>
      <c r="B479" s="8" t="inlineStr">
        <is>
          <t>COVID-SNL-22-57837</t>
        </is>
      </c>
      <c r="C479" s="8" t="inlineStr">
        <is>
          <t>CWV0WKSQ1E</t>
        </is>
      </c>
      <c r="D479" s="7" t="n">
        <v>19</v>
      </c>
      <c r="E479" s="7" t="n">
        <v>479</v>
      </c>
      <c r="F479" s="7" t="inlineStr">
        <is>
          <t>Yes</t>
        </is>
      </c>
      <c r="G479" s="8" t="n"/>
    </row>
    <row r="480">
      <c r="A480" s="8" t="inlineStr">
        <is>
          <t>PGCV_0019_0480</t>
        </is>
      </c>
      <c r="B480" s="8" t="inlineStr">
        <is>
          <t>COVID-SNL-22-57838</t>
        </is>
      </c>
      <c r="C480" s="8" t="inlineStr">
        <is>
          <t>20EZ9ONZ2L</t>
        </is>
      </c>
      <c r="D480" s="7" t="n">
        <v>19</v>
      </c>
      <c r="E480" s="7" t="n">
        <v>480</v>
      </c>
      <c r="F480" s="7" t="inlineStr">
        <is>
          <t>Yes</t>
        </is>
      </c>
      <c r="G480" s="8" t="n"/>
    </row>
    <row r="481">
      <c r="A481" s="8" t="inlineStr">
        <is>
          <t>PGCV_0019_0481</t>
        </is>
      </c>
      <c r="B481" s="8" t="inlineStr">
        <is>
          <t>COVID-SNL-22-57937</t>
        </is>
      </c>
      <c r="C481" s="8" t="inlineStr">
        <is>
          <t>VEMTKYGPXK</t>
        </is>
      </c>
      <c r="D481" s="7" t="n">
        <v>19</v>
      </c>
      <c r="E481" s="7" t="n">
        <v>481</v>
      </c>
      <c r="F481" s="7" t="inlineStr">
        <is>
          <t>Yes</t>
        </is>
      </c>
      <c r="G481" s="8" t="n"/>
    </row>
    <row r="482">
      <c r="A482" s="8" t="inlineStr">
        <is>
          <t>PGCV_0019_0482</t>
        </is>
      </c>
      <c r="B482" s="8" t="inlineStr">
        <is>
          <t>COVID-SNL-22-58281</t>
        </is>
      </c>
      <c r="C482" s="8" t="inlineStr">
        <is>
          <t>JIWSVSEGBD</t>
        </is>
      </c>
      <c r="D482" s="7" t="n">
        <v>19</v>
      </c>
      <c r="E482" s="7" t="n">
        <v>482</v>
      </c>
      <c r="F482" s="7" t="inlineStr">
        <is>
          <t>Yes</t>
        </is>
      </c>
      <c r="G482" s="8" t="n"/>
    </row>
    <row r="483">
      <c r="A483" s="8" t="inlineStr">
        <is>
          <t>PGCV_0019_0483</t>
        </is>
      </c>
      <c r="B483" s="8" t="inlineStr">
        <is>
          <t>COVID-SNL-22-58288</t>
        </is>
      </c>
      <c r="C483" s="8" t="inlineStr">
        <is>
          <t>XZ2TFTJO0J</t>
        </is>
      </c>
      <c r="D483" s="7" t="n">
        <v>19</v>
      </c>
      <c r="E483" s="7" t="n">
        <v>483</v>
      </c>
      <c r="F483" s="7" t="inlineStr">
        <is>
          <t>Yes</t>
        </is>
      </c>
      <c r="G483" s="8" t="n"/>
    </row>
    <row r="484">
      <c r="A484" s="8" t="inlineStr">
        <is>
          <t>PGCV_0019_0484</t>
        </is>
      </c>
      <c r="B484" s="8" t="inlineStr">
        <is>
          <t>COVID-SNL-22-58295</t>
        </is>
      </c>
      <c r="C484" s="8" t="inlineStr">
        <is>
          <t>W2A2LKZX1B</t>
        </is>
      </c>
      <c r="D484" s="7" t="n">
        <v>19</v>
      </c>
      <c r="E484" s="7" t="n">
        <v>484</v>
      </c>
      <c r="F484" s="7" t="inlineStr">
        <is>
          <t>Yes</t>
        </is>
      </c>
      <c r="G484" s="8" t="n"/>
    </row>
    <row r="485">
      <c r="A485" s="8" t="inlineStr">
        <is>
          <t>PGCV_0019_0485</t>
        </is>
      </c>
      <c r="B485" s="8" t="inlineStr">
        <is>
          <t>COVID-SNL-22-58458</t>
        </is>
      </c>
      <c r="C485" s="8" t="inlineStr">
        <is>
          <t>VZBEPNP8PE</t>
        </is>
      </c>
      <c r="D485" s="7" t="n">
        <v>19</v>
      </c>
      <c r="E485" s="7" t="n">
        <v>485</v>
      </c>
      <c r="F485" s="7" t="inlineStr">
        <is>
          <t>Yes</t>
        </is>
      </c>
      <c r="G485" s="8" t="n"/>
    </row>
    <row r="486">
      <c r="A486" s="8" t="inlineStr">
        <is>
          <t>PGCV_0019_0486</t>
        </is>
      </c>
      <c r="B486" s="8" t="inlineStr">
        <is>
          <t>COVID-SNL-22-58746</t>
        </is>
      </c>
      <c r="C486" s="8" t="inlineStr">
        <is>
          <t>HIJMEMTOP9</t>
        </is>
      </c>
      <c r="D486" s="7" t="n">
        <v>19</v>
      </c>
      <c r="E486" s="7" t="n">
        <v>486</v>
      </c>
      <c r="F486" s="7" t="inlineStr">
        <is>
          <t>Yes</t>
        </is>
      </c>
      <c r="G486" s="8" t="n"/>
    </row>
    <row r="487">
      <c r="A487" s="8" t="inlineStr">
        <is>
          <t>PGCV_0019_0487</t>
        </is>
      </c>
      <c r="B487" s="8" t="inlineStr">
        <is>
          <t>COVID-SNL-22-58754</t>
        </is>
      </c>
      <c r="C487" s="8" t="inlineStr">
        <is>
          <t>VXLOS1WHX1</t>
        </is>
      </c>
      <c r="D487" s="7" t="n">
        <v>19</v>
      </c>
      <c r="E487" s="7" t="n">
        <v>487</v>
      </c>
      <c r="F487" s="7" t="inlineStr">
        <is>
          <t>Yes</t>
        </is>
      </c>
      <c r="G487" s="8" t="n"/>
    </row>
    <row r="488">
      <c r="A488" s="8" t="inlineStr">
        <is>
          <t>PGCV_0019_0488</t>
        </is>
      </c>
      <c r="B488" s="8" t="inlineStr">
        <is>
          <t>COVID-SNL-22-58756</t>
        </is>
      </c>
      <c r="C488" s="8" t="inlineStr">
        <is>
          <t>78XCDG5UX6</t>
        </is>
      </c>
      <c r="D488" s="7" t="n">
        <v>19</v>
      </c>
      <c r="E488" s="7" t="n">
        <v>488</v>
      </c>
      <c r="F488" s="7" t="inlineStr">
        <is>
          <t>Yes</t>
        </is>
      </c>
      <c r="G488" s="8" t="n"/>
    </row>
    <row r="489">
      <c r="A489" s="8" t="inlineStr">
        <is>
          <t>PGCV_0019_0489</t>
        </is>
      </c>
      <c r="B489" s="8" t="inlineStr">
        <is>
          <t>COVID-SNL-22-58759</t>
        </is>
      </c>
      <c r="C489" s="8" t="inlineStr">
        <is>
          <t>UUOC198WIR</t>
        </is>
      </c>
      <c r="D489" s="7" t="n">
        <v>19</v>
      </c>
      <c r="E489" s="7" t="n">
        <v>489</v>
      </c>
      <c r="F489" s="7" t="inlineStr">
        <is>
          <t>Yes</t>
        </is>
      </c>
      <c r="G489" s="8" t="n"/>
    </row>
    <row r="490">
      <c r="A490" s="8" t="inlineStr">
        <is>
          <t>PGCV_0019_0490</t>
        </is>
      </c>
      <c r="B490" s="8" t="inlineStr">
        <is>
          <t>COVID-SNL-22-58762</t>
        </is>
      </c>
      <c r="C490" s="8" t="inlineStr">
        <is>
          <t>FACIYWYZPT</t>
        </is>
      </c>
      <c r="D490" s="7" t="n">
        <v>19</v>
      </c>
      <c r="E490" s="7" t="n">
        <v>490</v>
      </c>
      <c r="F490" s="7" t="inlineStr">
        <is>
          <t>Yes</t>
        </is>
      </c>
      <c r="G490" s="8" t="n"/>
    </row>
    <row r="491">
      <c r="A491" s="8" t="inlineStr">
        <is>
          <t>PGCV_0019_0491</t>
        </is>
      </c>
      <c r="B491" s="8" t="inlineStr">
        <is>
          <t>COVID-SNL-22-58763</t>
        </is>
      </c>
      <c r="C491" s="8" t="inlineStr">
        <is>
          <t>XKYF2PHAWO</t>
        </is>
      </c>
      <c r="D491" s="7" t="n">
        <v>19</v>
      </c>
      <c r="E491" s="7" t="n">
        <v>491</v>
      </c>
      <c r="F491" s="7" t="inlineStr">
        <is>
          <t>Yes</t>
        </is>
      </c>
      <c r="G491" s="8" t="n"/>
    </row>
    <row r="492">
      <c r="A492" s="8" t="inlineStr">
        <is>
          <t>PGCV_0019_0492</t>
        </is>
      </c>
      <c r="B492" s="8" t="inlineStr">
        <is>
          <t>COVID-SNL-22-58770</t>
        </is>
      </c>
      <c r="C492" s="8" t="inlineStr">
        <is>
          <t>QVU8UQU4QB</t>
        </is>
      </c>
      <c r="D492" s="7" t="n">
        <v>19</v>
      </c>
      <c r="E492" s="7" t="n">
        <v>492</v>
      </c>
      <c r="F492" s="7" t="inlineStr">
        <is>
          <t>Yes</t>
        </is>
      </c>
      <c r="G492" s="8" t="n"/>
    </row>
    <row r="493">
      <c r="A493" s="8" t="inlineStr">
        <is>
          <t>PGCV_0019_0493</t>
        </is>
      </c>
      <c r="B493" s="8" t="inlineStr">
        <is>
          <t>COVID-SNL-22-58771</t>
        </is>
      </c>
      <c r="C493" s="8" t="inlineStr">
        <is>
          <t>FCY2NQRTCX</t>
        </is>
      </c>
      <c r="D493" s="7" t="n">
        <v>19</v>
      </c>
      <c r="E493" s="7" t="n">
        <v>493</v>
      </c>
      <c r="F493" s="7" t="inlineStr">
        <is>
          <t>Yes</t>
        </is>
      </c>
      <c r="G493" s="8" t="n"/>
    </row>
    <row r="494">
      <c r="A494" s="8" t="inlineStr">
        <is>
          <t>PGCV_0019_0494</t>
        </is>
      </c>
      <c r="B494" s="8" t="inlineStr">
        <is>
          <t>COVID-SNL-22-58772</t>
        </is>
      </c>
      <c r="C494" s="8" t="inlineStr">
        <is>
          <t>EVWITLMMPM</t>
        </is>
      </c>
      <c r="D494" s="7" t="n">
        <v>19</v>
      </c>
      <c r="E494" s="7" t="n">
        <v>494</v>
      </c>
      <c r="F494" s="7" t="inlineStr">
        <is>
          <t>Yes</t>
        </is>
      </c>
      <c r="G494" s="8" t="n"/>
    </row>
    <row r="495">
      <c r="A495" s="8" t="inlineStr">
        <is>
          <t>PGCV_0019_0495</t>
        </is>
      </c>
      <c r="B495" s="8" t="inlineStr">
        <is>
          <t>COVID-SNL-22-58774</t>
        </is>
      </c>
      <c r="C495" s="8" t="inlineStr">
        <is>
          <t>SNLHOM4S7M</t>
        </is>
      </c>
      <c r="D495" s="7" t="n">
        <v>19</v>
      </c>
      <c r="E495" s="7" t="n">
        <v>495</v>
      </c>
      <c r="F495" s="7" t="inlineStr">
        <is>
          <t>Yes</t>
        </is>
      </c>
      <c r="G495" s="8" t="n"/>
    </row>
    <row r="496">
      <c r="A496" s="8" t="inlineStr">
        <is>
          <t>PGCV_0019_0496</t>
        </is>
      </c>
      <c r="B496" s="8" t="inlineStr">
        <is>
          <t>COVID-SNL-22-58775</t>
        </is>
      </c>
      <c r="C496" s="8" t="inlineStr">
        <is>
          <t>IX3GHSYPXB</t>
        </is>
      </c>
      <c r="D496" s="7" t="n">
        <v>19</v>
      </c>
      <c r="E496" s="7" t="n">
        <v>496</v>
      </c>
      <c r="F496" s="7" t="inlineStr">
        <is>
          <t>Yes</t>
        </is>
      </c>
      <c r="G496" s="8" t="n"/>
    </row>
    <row r="497">
      <c r="A497" s="8" t="inlineStr">
        <is>
          <t>PGCV_0019_0497</t>
        </is>
      </c>
      <c r="B497" s="8" t="inlineStr">
        <is>
          <t>COVID-SNL-22-58776</t>
        </is>
      </c>
      <c r="C497" s="8" t="inlineStr">
        <is>
          <t>EP6HYIMXEO</t>
        </is>
      </c>
      <c r="D497" s="7" t="n">
        <v>19</v>
      </c>
      <c r="E497" s="7" t="n">
        <v>497</v>
      </c>
      <c r="F497" s="7" t="inlineStr">
        <is>
          <t>Yes</t>
        </is>
      </c>
      <c r="G497" s="8" t="n"/>
    </row>
    <row r="498">
      <c r="A498" s="8" t="inlineStr">
        <is>
          <t>PGCV_0019_0498</t>
        </is>
      </c>
      <c r="B498" s="8" t="inlineStr">
        <is>
          <t>COVID-SNL-22-58753</t>
        </is>
      </c>
      <c r="C498" s="8" t="inlineStr">
        <is>
          <t>E8G56RVYAU</t>
        </is>
      </c>
      <c r="D498" s="7" t="n">
        <v>19</v>
      </c>
      <c r="E498" s="7" t="n">
        <v>498</v>
      </c>
      <c r="F498" s="7" t="inlineStr">
        <is>
          <t>Yes</t>
        </is>
      </c>
      <c r="G498" s="8" t="n"/>
    </row>
    <row r="499">
      <c r="A499" s="8" t="inlineStr">
        <is>
          <t>PGCV_0019_0499</t>
        </is>
      </c>
      <c r="B499" s="8" t="inlineStr">
        <is>
          <t>COVID-SNL-22-58864</t>
        </is>
      </c>
      <c r="C499" s="8" t="inlineStr">
        <is>
          <t>UTHVDGDOOW</t>
        </is>
      </c>
      <c r="D499" s="7" t="n">
        <v>19</v>
      </c>
      <c r="E499" s="7" t="n">
        <v>499</v>
      </c>
      <c r="F499" s="7" t="inlineStr">
        <is>
          <t>Yes</t>
        </is>
      </c>
      <c r="G499" s="8" t="n"/>
    </row>
    <row r="500">
      <c r="A500" s="8" t="inlineStr">
        <is>
          <t>PGCV_0019_0500</t>
        </is>
      </c>
      <c r="B500" s="8" t="inlineStr">
        <is>
          <t>MLAB174717</t>
        </is>
      </c>
      <c r="C500" s="8" t="inlineStr">
        <is>
          <t>CY4NFRSEE4</t>
        </is>
      </c>
      <c r="D500" s="7" t="n">
        <v>19</v>
      </c>
      <c r="E500" s="7" t="n">
        <v>500</v>
      </c>
      <c r="F500" s="7" t="inlineStr">
        <is>
          <t>Yes</t>
        </is>
      </c>
      <c r="G500" s="8" t="n"/>
    </row>
    <row r="501">
      <c r="A501" s="8" t="inlineStr">
        <is>
          <t>PGCV_0019_0501</t>
        </is>
      </c>
      <c r="B501" s="8" t="inlineStr">
        <is>
          <t>MLAB174715</t>
        </is>
      </c>
      <c r="C501" s="8" t="inlineStr">
        <is>
          <t>MNL5RVWWV</t>
        </is>
      </c>
      <c r="D501" s="7" t="n">
        <v>19</v>
      </c>
      <c r="E501" s="7" t="n">
        <v>501</v>
      </c>
      <c r="F501" s="7" t="inlineStr">
        <is>
          <t>Yes</t>
        </is>
      </c>
      <c r="G501" s="8" t="n"/>
    </row>
    <row r="502">
      <c r="A502" s="8" t="inlineStr">
        <is>
          <t>PGCV_0019_0502</t>
        </is>
      </c>
      <c r="B502" s="8" t="inlineStr">
        <is>
          <t>MLAB174712</t>
        </is>
      </c>
      <c r="C502" s="8" t="inlineStr">
        <is>
          <t>DKPNT6ALRM</t>
        </is>
      </c>
      <c r="D502" s="7" t="n">
        <v>19</v>
      </c>
      <c r="E502" s="7" t="n">
        <v>502</v>
      </c>
      <c r="F502" s="7" t="inlineStr">
        <is>
          <t>Yes</t>
        </is>
      </c>
      <c r="G502" s="8" t="n"/>
    </row>
    <row r="503">
      <c r="A503" s="8" t="inlineStr">
        <is>
          <t>PGCV_0019_0503</t>
        </is>
      </c>
      <c r="B503" s="8" t="inlineStr">
        <is>
          <t>MLAB174467</t>
        </is>
      </c>
      <c r="C503" s="8" t="inlineStr">
        <is>
          <t>VXNPP7AG3V</t>
        </is>
      </c>
      <c r="D503" s="7" t="n">
        <v>19</v>
      </c>
      <c r="E503" s="7" t="n">
        <v>503</v>
      </c>
      <c r="F503" s="7" t="inlineStr">
        <is>
          <t>Yes</t>
        </is>
      </c>
      <c r="G503" s="8" t="n"/>
    </row>
    <row r="504">
      <c r="A504" s="8" t="inlineStr">
        <is>
          <t>PGCV_0019_0504</t>
        </is>
      </c>
      <c r="B504" s="8" t="inlineStr">
        <is>
          <t>MLAB174709</t>
        </is>
      </c>
      <c r="C504" s="8" t="inlineStr">
        <is>
          <t>VFTIESOIPP</t>
        </is>
      </c>
      <c r="D504" s="7" t="n">
        <v>19</v>
      </c>
      <c r="E504" s="7" t="n">
        <v>504</v>
      </c>
      <c r="F504" s="7" t="inlineStr">
        <is>
          <t>Yes</t>
        </is>
      </c>
      <c r="G504" s="8" t="n"/>
    </row>
    <row r="505">
      <c r="A505" s="8" t="inlineStr">
        <is>
          <t>PGCV_0019_0505</t>
        </is>
      </c>
      <c r="B505" s="8" t="inlineStr">
        <is>
          <t>688B109958</t>
        </is>
      </c>
      <c r="C505" s="8" t="inlineStr">
        <is>
          <t>AC6V74DN2AL</t>
        </is>
      </c>
      <c r="D505" s="7" t="n">
        <v>19</v>
      </c>
      <c r="E505" s="7" t="n">
        <v>505</v>
      </c>
      <c r="F505" s="7" t="inlineStr">
        <is>
          <t>Yes</t>
        </is>
      </c>
      <c r="G505" s="8" t="n"/>
    </row>
    <row r="506">
      <c r="A506" s="8" t="inlineStr">
        <is>
          <t>PGCV_0020_0506</t>
        </is>
      </c>
      <c r="B506" s="8" t="inlineStr">
        <is>
          <t>RQHHS02286</t>
        </is>
      </c>
      <c r="C506" s="8" t="inlineStr">
        <is>
          <t>OBCNXF7PQ</t>
        </is>
      </c>
      <c r="D506" s="7" t="n">
        <v>20</v>
      </c>
      <c r="E506" s="7" t="n">
        <v>506</v>
      </c>
      <c r="F506" s="7" t="inlineStr">
        <is>
          <t>Yes</t>
        </is>
      </c>
      <c r="G506" s="8" t="n"/>
    </row>
    <row r="507">
      <c r="A507" s="8" t="inlineStr">
        <is>
          <t>PGCV_0020_0507</t>
        </is>
      </c>
      <c r="B507" s="8" t="inlineStr">
        <is>
          <t>RPMVI24551</t>
        </is>
      </c>
      <c r="C507" s="8" t="inlineStr">
        <is>
          <t>6OAJQTXGUZ</t>
        </is>
      </c>
      <c r="D507" s="7" t="n">
        <v>20</v>
      </c>
      <c r="E507" s="7" t="n">
        <v>507</v>
      </c>
      <c r="F507" s="7" t="inlineStr">
        <is>
          <t>Yes</t>
        </is>
      </c>
      <c r="G507" s="8" t="n"/>
    </row>
    <row r="508">
      <c r="A508" s="8" t="inlineStr">
        <is>
          <t>PGCV_0020_0508</t>
        </is>
      </c>
      <c r="B508" s="8" t="inlineStr">
        <is>
          <t>RQHHS02287</t>
        </is>
      </c>
      <c r="C508" s="8" t="inlineStr">
        <is>
          <t>COASTALT9U</t>
        </is>
      </c>
      <c r="D508" s="7" t="n">
        <v>20</v>
      </c>
      <c r="E508" s="7" t="n">
        <v>508</v>
      </c>
      <c r="F508" s="7" t="inlineStr">
        <is>
          <t>Yes</t>
        </is>
      </c>
      <c r="G508" s="8" t="n"/>
    </row>
    <row r="509">
      <c r="A509" s="8" t="inlineStr">
        <is>
          <t>PGCV_0020_0509</t>
        </is>
      </c>
      <c r="B509" s="8" t="inlineStr">
        <is>
          <t>RQHHS02288</t>
        </is>
      </c>
      <c r="C509" s="8" t="inlineStr">
        <is>
          <t>Z3NYTBGJGG</t>
        </is>
      </c>
      <c r="D509" s="7" t="n">
        <v>20</v>
      </c>
      <c r="E509" s="7" t="n">
        <v>509</v>
      </c>
      <c r="F509" s="7" t="inlineStr">
        <is>
          <t>Yes</t>
        </is>
      </c>
      <c r="G509" s="8" t="n"/>
    </row>
    <row r="510">
      <c r="A510" s="8" t="inlineStr">
        <is>
          <t>PGCV_0020_0510</t>
        </is>
      </c>
      <c r="B510" s="8" t="inlineStr">
        <is>
          <t>COVID-SNL-22-59005</t>
        </is>
      </c>
      <c r="C510" s="8" t="inlineStr">
        <is>
          <t>5AAISMRGUI</t>
        </is>
      </c>
      <c r="D510" s="7" t="n">
        <v>20</v>
      </c>
      <c r="E510" s="7" t="n">
        <v>510</v>
      </c>
      <c r="F510" s="7" t="inlineStr">
        <is>
          <t>Yes</t>
        </is>
      </c>
      <c r="G510" s="8" t="n"/>
    </row>
    <row r="511">
      <c r="A511" s="8" t="inlineStr">
        <is>
          <t>PGCV_0020_0511</t>
        </is>
      </c>
      <c r="B511" s="8" t="inlineStr">
        <is>
          <t>COVID-SNL-22-59188</t>
        </is>
      </c>
      <c r="C511" s="8" t="inlineStr">
        <is>
          <t>7TOK8JDNXL</t>
        </is>
      </c>
      <c r="D511" s="7" t="n">
        <v>20</v>
      </c>
      <c r="E511" s="7" t="n">
        <v>511</v>
      </c>
      <c r="F511" s="7" t="inlineStr">
        <is>
          <t>Yes</t>
        </is>
      </c>
      <c r="G511" s="8" t="n"/>
    </row>
    <row r="512">
      <c r="A512" s="8" t="inlineStr">
        <is>
          <t>PGCV_0020_0512</t>
        </is>
      </c>
      <c r="B512" s="8" t="inlineStr">
        <is>
          <t>COVID-SNL-22-59213</t>
        </is>
      </c>
      <c r="C512" s="8" t="inlineStr">
        <is>
          <t>X2L3L2Y0J6</t>
        </is>
      </c>
      <c r="D512" s="7" t="n">
        <v>20</v>
      </c>
      <c r="E512" s="7" t="n">
        <v>512</v>
      </c>
      <c r="F512" s="7" t="inlineStr">
        <is>
          <t>Yes</t>
        </is>
      </c>
      <c r="G512" s="8" t="n"/>
    </row>
    <row r="513">
      <c r="A513" s="8" t="inlineStr">
        <is>
          <t>PGCV_0020_0513</t>
        </is>
      </c>
      <c r="B513" s="8" t="inlineStr">
        <is>
          <t>COVID-SNL-22-59242</t>
        </is>
      </c>
      <c r="C513" s="8" t="inlineStr">
        <is>
          <t>1X1ORIPPTG</t>
        </is>
      </c>
      <c r="D513" s="7" t="n">
        <v>20</v>
      </c>
      <c r="E513" s="7" t="n">
        <v>513</v>
      </c>
      <c r="F513" s="7" t="inlineStr">
        <is>
          <t>No</t>
        </is>
      </c>
      <c r="G513" s="8" t="n"/>
    </row>
    <row r="514">
      <c r="A514" s="8" t="inlineStr">
        <is>
          <t>PGCV_0020_0514</t>
        </is>
      </c>
      <c r="B514" s="8" t="inlineStr">
        <is>
          <t>COVID-SNL-22-59250</t>
        </is>
      </c>
      <c r="C514" s="8" t="inlineStr">
        <is>
          <t>PVFTBHYUHU</t>
        </is>
      </c>
      <c r="D514" s="7" t="n">
        <v>20</v>
      </c>
      <c r="E514" s="7" t="n">
        <v>514</v>
      </c>
      <c r="F514" s="7" t="inlineStr">
        <is>
          <t>Yes</t>
        </is>
      </c>
      <c r="G514" s="8" t="n"/>
    </row>
    <row r="515">
      <c r="A515" s="8" t="inlineStr">
        <is>
          <t>PGCV_0020_0515</t>
        </is>
      </c>
      <c r="B515" s="8" t="inlineStr">
        <is>
          <t>COVID-SNL-22-59428</t>
        </is>
      </c>
      <c r="C515" s="8" t="inlineStr">
        <is>
          <t>5RJZ524UQS</t>
        </is>
      </c>
      <c r="D515" s="7" t="n">
        <v>20</v>
      </c>
      <c r="E515" s="7" t="n">
        <v>515</v>
      </c>
      <c r="F515" s="7" t="inlineStr">
        <is>
          <t>Yes</t>
        </is>
      </c>
      <c r="G515" s="8" t="n"/>
    </row>
    <row r="516">
      <c r="A516" s="8" t="inlineStr">
        <is>
          <t>PGCV_0020_0516</t>
        </is>
      </c>
      <c r="B516" s="8" t="inlineStr">
        <is>
          <t>COVID-SNL-22-59503</t>
        </is>
      </c>
      <c r="C516" s="8" t="inlineStr">
        <is>
          <t>CBTDXUSRVN</t>
        </is>
      </c>
      <c r="D516" s="7" t="n">
        <v>20</v>
      </c>
      <c r="E516" s="7" t="n">
        <v>516</v>
      </c>
      <c r="F516" s="7" t="inlineStr">
        <is>
          <t>Yes</t>
        </is>
      </c>
      <c r="G516" s="8" t="n"/>
    </row>
    <row r="517">
      <c r="A517" s="8" t="inlineStr">
        <is>
          <t>PGCV_0020_0517</t>
        </is>
      </c>
      <c r="B517" s="8" t="inlineStr">
        <is>
          <t>COVID-SNL-22-59504</t>
        </is>
      </c>
      <c r="C517" s="8" t="inlineStr">
        <is>
          <t>PF0QYNGZGR</t>
        </is>
      </c>
      <c r="D517" s="7" t="n">
        <v>20</v>
      </c>
      <c r="E517" s="7" t="n">
        <v>517</v>
      </c>
      <c r="F517" s="7" t="inlineStr">
        <is>
          <t>Yes</t>
        </is>
      </c>
      <c r="G517" s="8" t="n"/>
    </row>
    <row r="518">
      <c r="A518" s="8" t="inlineStr">
        <is>
          <t>PGCV_0020_0518</t>
        </is>
      </c>
      <c r="B518" s="8" t="inlineStr">
        <is>
          <t>COVID-SNL-22-59530</t>
        </is>
      </c>
      <c r="C518" s="8" t="inlineStr">
        <is>
          <t>VS5E3AUXOY</t>
        </is>
      </c>
      <c r="D518" s="7" t="n">
        <v>20</v>
      </c>
      <c r="E518" s="7" t="n">
        <v>518</v>
      </c>
      <c r="F518" s="7" t="inlineStr">
        <is>
          <t>Yes</t>
        </is>
      </c>
      <c r="G518" s="8" t="n"/>
    </row>
    <row r="519">
      <c r="A519" s="8" t="inlineStr">
        <is>
          <t>PGCV_0020_0519</t>
        </is>
      </c>
      <c r="B519" s="8" t="inlineStr">
        <is>
          <t>COVID-SNL-22-59587</t>
        </is>
      </c>
      <c r="C519" s="8" t="inlineStr">
        <is>
          <t>M2AXVPWPPP</t>
        </is>
      </c>
      <c r="D519" s="7" t="n">
        <v>20</v>
      </c>
      <c r="E519" s="7" t="n">
        <v>519</v>
      </c>
      <c r="F519" s="7" t="inlineStr">
        <is>
          <t>Yes</t>
        </is>
      </c>
      <c r="G519" s="8" t="n"/>
    </row>
    <row r="520">
      <c r="A520" s="8" t="inlineStr">
        <is>
          <t>PGCV_0020_0520</t>
        </is>
      </c>
      <c r="B520" s="8" t="inlineStr">
        <is>
          <t>COVID-SNL-22-59589</t>
        </is>
      </c>
      <c r="C520" s="8" t="inlineStr">
        <is>
          <t>XCU4YCOWMS</t>
        </is>
      </c>
      <c r="D520" s="7" t="n">
        <v>20</v>
      </c>
      <c r="E520" s="7" t="n">
        <v>520</v>
      </c>
      <c r="F520" s="7" t="inlineStr">
        <is>
          <t>No</t>
        </is>
      </c>
      <c r="G520" s="8" t="n"/>
    </row>
    <row r="521">
      <c r="A521" s="8" t="inlineStr">
        <is>
          <t>PGCV_0020_0521</t>
        </is>
      </c>
      <c r="B521" s="8" t="inlineStr">
        <is>
          <t>COVID-SNL-22-59591</t>
        </is>
      </c>
      <c r="C521" s="8" t="inlineStr">
        <is>
          <t>WMYUXEVGS5</t>
        </is>
      </c>
      <c r="D521" s="7" t="n">
        <v>20</v>
      </c>
      <c r="E521" s="7" t="n">
        <v>521</v>
      </c>
      <c r="F521" s="7" t="inlineStr">
        <is>
          <t>No</t>
        </is>
      </c>
      <c r="G521" s="8" t="n"/>
    </row>
    <row r="522">
      <c r="A522" s="8" t="inlineStr">
        <is>
          <t>PGCV_0020_0522</t>
        </is>
      </c>
      <c r="B522" s="8" t="inlineStr">
        <is>
          <t>COVID-SNL-22-59597</t>
        </is>
      </c>
      <c r="C522" s="8" t="inlineStr">
        <is>
          <t>XRH9XNJI64</t>
        </is>
      </c>
      <c r="D522" s="7" t="n">
        <v>20</v>
      </c>
      <c r="E522" s="7" t="n">
        <v>522</v>
      </c>
      <c r="F522" s="7" t="inlineStr">
        <is>
          <t>No</t>
        </is>
      </c>
      <c r="G522" s="8" t="n"/>
    </row>
    <row r="523">
      <c r="A523" s="8" t="inlineStr">
        <is>
          <t>PGCV_0020_0523</t>
        </is>
      </c>
      <c r="B523" s="8" t="inlineStr">
        <is>
          <t>COVID-SNL-22-59598</t>
        </is>
      </c>
      <c r="C523" s="8" t="inlineStr">
        <is>
          <t>KE4EJ6G6AU</t>
        </is>
      </c>
      <c r="D523" s="7" t="n">
        <v>20</v>
      </c>
      <c r="E523" s="7" t="n">
        <v>523</v>
      </c>
      <c r="F523" s="7" t="inlineStr">
        <is>
          <t>Yes</t>
        </is>
      </c>
      <c r="G523" s="8" t="n"/>
    </row>
    <row r="524">
      <c r="A524" s="8" t="inlineStr">
        <is>
          <t>PGCV_0020_0524</t>
        </is>
      </c>
      <c r="B524" s="8" t="inlineStr">
        <is>
          <t>COVID-SNL-22-59599</t>
        </is>
      </c>
      <c r="C524" s="8" t="inlineStr">
        <is>
          <t>PYGL1HJOR3</t>
        </is>
      </c>
      <c r="D524" s="7" t="n">
        <v>20</v>
      </c>
      <c r="E524" s="7" t="n">
        <v>524</v>
      </c>
      <c r="F524" s="7" t="inlineStr">
        <is>
          <t>Yes</t>
        </is>
      </c>
      <c r="G524" s="8" t="n"/>
    </row>
    <row r="525">
      <c r="A525" s="8" t="inlineStr">
        <is>
          <t>PGCV_0020_0525</t>
        </is>
      </c>
      <c r="B525" s="8" t="inlineStr">
        <is>
          <t>COVID-SNL-22-59600</t>
        </is>
      </c>
      <c r="C525" s="8" t="inlineStr">
        <is>
          <t>7KHTNBWOIS</t>
        </is>
      </c>
      <c r="D525" s="7" t="n">
        <v>20</v>
      </c>
      <c r="E525" s="7" t="n">
        <v>525</v>
      </c>
      <c r="F525" s="7" t="inlineStr">
        <is>
          <t>Yes</t>
        </is>
      </c>
      <c r="G525" s="8" t="n"/>
    </row>
    <row r="526">
      <c r="A526" s="8" t="inlineStr">
        <is>
          <t>PGCV_0020_0526</t>
        </is>
      </c>
      <c r="B526" s="8" t="inlineStr">
        <is>
          <t>COVID-SNL-22-59601</t>
        </is>
      </c>
      <c r="C526" s="8" t="inlineStr">
        <is>
          <t>PELHWBJULS</t>
        </is>
      </c>
      <c r="D526" s="7" t="n">
        <v>20</v>
      </c>
      <c r="E526" s="7" t="n">
        <v>526</v>
      </c>
      <c r="F526" s="7" t="inlineStr">
        <is>
          <t>Yes</t>
        </is>
      </c>
      <c r="G526" s="8" t="n"/>
    </row>
    <row r="527">
      <c r="A527" s="8" t="inlineStr">
        <is>
          <t>PGCV_0020_0527</t>
        </is>
      </c>
      <c r="B527" s="8" t="inlineStr">
        <is>
          <t>COVID-SNL-22-59602</t>
        </is>
      </c>
      <c r="C527" s="8" t="inlineStr">
        <is>
          <t>5MO7ET47MI</t>
        </is>
      </c>
      <c r="D527" s="7" t="n">
        <v>20</v>
      </c>
      <c r="E527" s="7" t="n">
        <v>527</v>
      </c>
      <c r="F527" s="7" t="inlineStr">
        <is>
          <t>Yes</t>
        </is>
      </c>
      <c r="G527" s="8" t="n"/>
    </row>
    <row r="528">
      <c r="A528" s="8" t="inlineStr">
        <is>
          <t>PGCV_0020_0528</t>
        </is>
      </c>
      <c r="B528" s="8" t="inlineStr">
        <is>
          <t>COVID-SNL-22-59603</t>
        </is>
      </c>
      <c r="C528" s="8" t="inlineStr">
        <is>
          <t>2LLACO4YJY</t>
        </is>
      </c>
      <c r="D528" s="7" t="n">
        <v>20</v>
      </c>
      <c r="E528" s="7" t="n">
        <v>528</v>
      </c>
      <c r="F528" s="7" t="inlineStr">
        <is>
          <t>Yes</t>
        </is>
      </c>
      <c r="G528" s="8" t="n"/>
    </row>
    <row r="529">
      <c r="A529" s="8" t="inlineStr">
        <is>
          <t>PGCV_0020_0529</t>
        </is>
      </c>
      <c r="B529" s="8" t="inlineStr">
        <is>
          <t>COVID-SNL-22-59824</t>
        </is>
      </c>
      <c r="C529" s="8" t="inlineStr">
        <is>
          <t>AUTGDWNLHR</t>
        </is>
      </c>
      <c r="D529" s="7" t="n">
        <v>20</v>
      </c>
      <c r="E529" s="7" t="n">
        <v>529</v>
      </c>
      <c r="F529" s="7" t="inlineStr">
        <is>
          <t>Yes</t>
        </is>
      </c>
      <c r="G529" s="8" t="n"/>
    </row>
    <row r="530">
      <c r="A530" s="8" t="inlineStr">
        <is>
          <t>PGCV_0020_0530</t>
        </is>
      </c>
      <c r="B530" s="8" t="inlineStr">
        <is>
          <t>COVID-SNL-22-59849</t>
        </is>
      </c>
      <c r="C530" s="8" t="inlineStr">
        <is>
          <t>DWDIRZHDWM</t>
        </is>
      </c>
      <c r="D530" s="7" t="n">
        <v>20</v>
      </c>
      <c r="E530" s="7" t="n">
        <v>530</v>
      </c>
      <c r="F530" s="7" t="inlineStr">
        <is>
          <t>Yes</t>
        </is>
      </c>
      <c r="G530" s="8" t="n"/>
    </row>
    <row r="531">
      <c r="A531" s="8" t="inlineStr">
        <is>
          <t>PGCV_0020_0531</t>
        </is>
      </c>
      <c r="B531" s="8" t="inlineStr">
        <is>
          <t>COVID-SNL-22-59904</t>
        </is>
      </c>
      <c r="C531" s="8" t="inlineStr">
        <is>
          <t>TY3X2L8GKH</t>
        </is>
      </c>
      <c r="D531" s="7" t="n">
        <v>20</v>
      </c>
      <c r="E531" s="7" t="n">
        <v>531</v>
      </c>
      <c r="F531" s="7" t="inlineStr">
        <is>
          <t>Yes</t>
        </is>
      </c>
      <c r="G531" s="8" t="n"/>
    </row>
    <row r="532">
      <c r="A532" s="8" t="inlineStr">
        <is>
          <t>PGCV_0020_0532</t>
        </is>
      </c>
      <c r="B532" s="8" t="inlineStr">
        <is>
          <t>COVID-SNL-22-59911</t>
        </is>
      </c>
      <c r="C532" s="8" t="inlineStr">
        <is>
          <t>4HMXQ0NURS</t>
        </is>
      </c>
      <c r="D532" s="7" t="n">
        <v>20</v>
      </c>
      <c r="E532" s="7" t="n">
        <v>532</v>
      </c>
      <c r="F532" s="7" t="inlineStr">
        <is>
          <t>Yes</t>
        </is>
      </c>
      <c r="G532" s="8" t="n"/>
    </row>
    <row r="533">
      <c r="A533" s="8" t="inlineStr">
        <is>
          <t>PGCV_0020_0533</t>
        </is>
      </c>
      <c r="B533" s="8" t="inlineStr">
        <is>
          <t>COVID-SNL-22-59913</t>
        </is>
      </c>
      <c r="C533" s="8" t="inlineStr">
        <is>
          <t>GOGXCXQGDI</t>
        </is>
      </c>
      <c r="D533" s="7" t="n">
        <v>20</v>
      </c>
      <c r="E533" s="7" t="n">
        <v>533</v>
      </c>
      <c r="F533" s="7" t="inlineStr">
        <is>
          <t>Yes</t>
        </is>
      </c>
      <c r="G533" s="8" t="n"/>
    </row>
    <row r="534">
      <c r="A534" s="8" t="inlineStr">
        <is>
          <t>PGCV_0020_0534</t>
        </is>
      </c>
      <c r="B534" s="8" t="inlineStr">
        <is>
          <t>COVID-SNL-22-59914</t>
        </is>
      </c>
      <c r="C534" s="8" t="inlineStr">
        <is>
          <t>CUABUPGGPR</t>
        </is>
      </c>
      <c r="D534" s="7" t="n">
        <v>20</v>
      </c>
      <c r="E534" s="7" t="n">
        <v>534</v>
      </c>
      <c r="F534" s="7" t="inlineStr">
        <is>
          <t>Yes</t>
        </is>
      </c>
      <c r="G534" s="8" t="n"/>
    </row>
    <row r="535">
      <c r="A535" s="8" t="inlineStr">
        <is>
          <t>PGCV_0020_0535</t>
        </is>
      </c>
      <c r="B535" s="8" t="inlineStr">
        <is>
          <t>COVID-SNL-22-60021</t>
        </is>
      </c>
      <c r="C535" s="8" t="inlineStr">
        <is>
          <t>N6KF2YNMWM</t>
        </is>
      </c>
      <c r="D535" s="7" t="n">
        <v>20</v>
      </c>
      <c r="E535" s="7" t="n">
        <v>535</v>
      </c>
      <c r="F535" s="7" t="inlineStr">
        <is>
          <t>Yes</t>
        </is>
      </c>
      <c r="G535" s="8" t="n"/>
    </row>
    <row r="536">
      <c r="A536" s="8" t="inlineStr">
        <is>
          <t>PGCV_0020_0536</t>
        </is>
      </c>
      <c r="B536" s="8" t="inlineStr">
        <is>
          <t>COVID-SNL-22-60023</t>
        </is>
      </c>
      <c r="C536" s="8" t="inlineStr">
        <is>
          <t>G50ANMC3AT</t>
        </is>
      </c>
      <c r="D536" s="7" t="n">
        <v>20</v>
      </c>
      <c r="E536" s="7" t="n">
        <v>536</v>
      </c>
      <c r="F536" s="7" t="inlineStr">
        <is>
          <t>No</t>
        </is>
      </c>
      <c r="G536" s="8" t="n"/>
    </row>
    <row r="537">
      <c r="A537" s="8" t="inlineStr">
        <is>
          <t>PGCV_0020_0537</t>
        </is>
      </c>
      <c r="B537" s="8" t="inlineStr">
        <is>
          <t>COVID-SNL-22-60028</t>
        </is>
      </c>
      <c r="C537" s="8" t="inlineStr">
        <is>
          <t>BF1ETM3F5N</t>
        </is>
      </c>
      <c r="D537" s="7" t="n">
        <v>20</v>
      </c>
      <c r="E537" s="7" t="n">
        <v>537</v>
      </c>
      <c r="F537" s="7" t="inlineStr">
        <is>
          <t>Yes</t>
        </is>
      </c>
      <c r="G537" s="8" t="n"/>
    </row>
    <row r="538">
      <c r="A538" s="8" t="inlineStr">
        <is>
          <t>PGCV_0020_0538</t>
        </is>
      </c>
      <c r="B538" s="8" t="inlineStr">
        <is>
          <t>COVID-SNL-22-60029</t>
        </is>
      </c>
      <c r="C538" s="8" t="inlineStr">
        <is>
          <t>DVDFQEJLWC</t>
        </is>
      </c>
      <c r="D538" s="7" t="n">
        <v>20</v>
      </c>
      <c r="E538" s="7" t="n">
        <v>538</v>
      </c>
      <c r="F538" s="7" t="inlineStr">
        <is>
          <t>No</t>
        </is>
      </c>
      <c r="G538" s="8" t="n"/>
    </row>
    <row r="539">
      <c r="A539" s="8" t="inlineStr">
        <is>
          <t>PGCV_0020_0539</t>
        </is>
      </c>
      <c r="B539" s="8" t="inlineStr">
        <is>
          <t>COVID-SNL-22-60124</t>
        </is>
      </c>
      <c r="C539" s="8" t="inlineStr">
        <is>
          <t>U6NG9DYCZN</t>
        </is>
      </c>
      <c r="D539" s="7" t="n">
        <v>20</v>
      </c>
      <c r="E539" s="7" t="n">
        <v>539</v>
      </c>
      <c r="F539" s="7" t="inlineStr">
        <is>
          <t>Yes</t>
        </is>
      </c>
      <c r="G539" s="8" t="n"/>
    </row>
    <row r="540">
      <c r="A540" s="8" t="inlineStr">
        <is>
          <t>PGCV_0020_0540</t>
        </is>
      </c>
      <c r="B540" s="8" t="inlineStr">
        <is>
          <t>COVID-SNL-22-60205</t>
        </is>
      </c>
      <c r="C540" s="8" t="inlineStr">
        <is>
          <t>CFJ6LET0YY</t>
        </is>
      </c>
      <c r="D540" s="7" t="n">
        <v>20</v>
      </c>
      <c r="E540" s="7" t="n">
        <v>540</v>
      </c>
      <c r="F540" s="7" t="inlineStr">
        <is>
          <t>Yes</t>
        </is>
      </c>
      <c r="G540" s="8" t="n"/>
    </row>
    <row r="541">
      <c r="A541" s="8" t="inlineStr">
        <is>
          <t>PGCV_0020_0541</t>
        </is>
      </c>
      <c r="B541" s="8" t="inlineStr">
        <is>
          <t>COVID-SNL-22-60207</t>
        </is>
      </c>
      <c r="C541" s="8" t="inlineStr">
        <is>
          <t>GVKLPSOZWX</t>
        </is>
      </c>
      <c r="D541" s="7" t="n">
        <v>20</v>
      </c>
      <c r="E541" s="7" t="n">
        <v>541</v>
      </c>
      <c r="F541" s="7" t="inlineStr">
        <is>
          <t>Yes</t>
        </is>
      </c>
      <c r="G541" s="8" t="n"/>
    </row>
    <row r="542">
      <c r="A542" s="8" t="inlineStr">
        <is>
          <t>PGCV_0020_0542</t>
        </is>
      </c>
      <c r="B542" s="8" t="inlineStr">
        <is>
          <t>C28444</t>
        </is>
      </c>
      <c r="C542" s="8" t="inlineStr">
        <is>
          <t>AUKH2EBV6F</t>
        </is>
      </c>
      <c r="D542" s="7" t="n">
        <v>20</v>
      </c>
      <c r="E542" s="7" t="n">
        <v>542</v>
      </c>
      <c r="F542" s="7" t="inlineStr">
        <is>
          <t>Yes</t>
        </is>
      </c>
      <c r="G542" s="8" t="n"/>
    </row>
    <row r="543">
      <c r="A543" s="8" t="inlineStr">
        <is>
          <t>PGCV_0020_0543</t>
        </is>
      </c>
      <c r="B543" s="8" t="inlineStr">
        <is>
          <t>C29693</t>
        </is>
      </c>
      <c r="C543" s="8" t="inlineStr">
        <is>
          <t>6F9RGMAT8P</t>
        </is>
      </c>
      <c r="D543" s="7" t="n">
        <v>20</v>
      </c>
      <c r="E543" s="7" t="n">
        <v>543</v>
      </c>
      <c r="F543" s="7" t="inlineStr">
        <is>
          <t>Yes</t>
        </is>
      </c>
      <c r="G543" s="8" t="n"/>
    </row>
    <row r="544">
      <c r="A544" s="8" t="inlineStr">
        <is>
          <t>PGCV_0020_0544</t>
        </is>
      </c>
      <c r="B544" s="8" t="inlineStr">
        <is>
          <t>C29819</t>
        </is>
      </c>
      <c r="C544" s="8" t="inlineStr">
        <is>
          <t>UTSERD53TD</t>
        </is>
      </c>
      <c r="D544" s="7" t="n">
        <v>20</v>
      </c>
      <c r="E544" s="7" t="n">
        <v>544</v>
      </c>
      <c r="F544" s="7" t="inlineStr">
        <is>
          <t>Yes</t>
        </is>
      </c>
      <c r="G544" s="8" t="n"/>
    </row>
    <row r="545">
      <c r="A545" s="8" t="inlineStr">
        <is>
          <t>PGCV_0020_0545</t>
        </is>
      </c>
      <c r="B545" s="8" t="inlineStr">
        <is>
          <t>C30068</t>
        </is>
      </c>
      <c r="C545" s="8" t="inlineStr">
        <is>
          <t>W1FHAJT0NZ</t>
        </is>
      </c>
      <c r="D545" s="7" t="n">
        <v>20</v>
      </c>
      <c r="E545" s="7" t="n">
        <v>545</v>
      </c>
      <c r="F545" s="7" t="inlineStr">
        <is>
          <t>Yes</t>
        </is>
      </c>
      <c r="G545" s="8" t="n"/>
    </row>
    <row r="546">
      <c r="A546" s="8" t="inlineStr">
        <is>
          <t>PGCV_0020_0546</t>
        </is>
      </c>
      <c r="B546" s="8" t="inlineStr">
        <is>
          <t>690B110207</t>
        </is>
      </c>
      <c r="C546" s="8" t="inlineStr">
        <is>
          <t>XK2NHACSFC</t>
        </is>
      </c>
      <c r="D546" s="7" t="n">
        <v>20</v>
      </c>
      <c r="E546" s="7" t="n">
        <v>546</v>
      </c>
      <c r="F546" s="7" t="inlineStr">
        <is>
          <t>Yes</t>
        </is>
      </c>
      <c r="G546" s="8" t="n"/>
    </row>
    <row r="547">
      <c r="A547" s="8" t="inlineStr">
        <is>
          <t>PGCV_0020_0547</t>
        </is>
      </c>
      <c r="B547" s="8" t="inlineStr">
        <is>
          <t>690B110222</t>
        </is>
      </c>
      <c r="C547" s="8" t="inlineStr">
        <is>
          <t>L5DFMBOVRC</t>
        </is>
      </c>
      <c r="D547" s="7" t="n">
        <v>20</v>
      </c>
      <c r="E547" s="7" t="n">
        <v>547</v>
      </c>
      <c r="F547" s="7" t="inlineStr">
        <is>
          <t>Yes</t>
        </is>
      </c>
      <c r="G547" s="8" t="n"/>
    </row>
    <row r="548">
      <c r="A548" s="8" t="inlineStr">
        <is>
          <t>PGCV_0020_0548</t>
        </is>
      </c>
      <c r="B548" s="8" t="inlineStr">
        <is>
          <t>692B110409</t>
        </is>
      </c>
      <c r="C548" s="8" t="inlineStr">
        <is>
          <t>BZKUZWI38O</t>
        </is>
      </c>
      <c r="D548" s="7" t="n">
        <v>20</v>
      </c>
      <c r="E548" s="7" t="n">
        <v>548</v>
      </c>
      <c r="F548" s="7" t="inlineStr">
        <is>
          <t>Yes</t>
        </is>
      </c>
      <c r="G548" s="8" t="n"/>
    </row>
    <row r="549">
      <c r="A549" s="8" t="inlineStr">
        <is>
          <t>PGCV_0020_0549</t>
        </is>
      </c>
      <c r="B549" s="8" t="inlineStr">
        <is>
          <t>22-32719</t>
        </is>
      </c>
      <c r="C549" s="8" t="inlineStr">
        <is>
          <t>4BHR8FPGNE</t>
        </is>
      </c>
      <c r="D549" s="7" t="n">
        <v>20</v>
      </c>
      <c r="E549" s="7" t="n">
        <v>549</v>
      </c>
      <c r="F549" s="7" t="inlineStr">
        <is>
          <t>Yes</t>
        </is>
      </c>
      <c r="G549" s="8" t="n"/>
    </row>
    <row r="550">
      <c r="A550" s="8" t="inlineStr">
        <is>
          <t>PGCV_0020_0550</t>
        </is>
      </c>
      <c r="B550" s="8" t="inlineStr">
        <is>
          <t>22-32867</t>
        </is>
      </c>
      <c r="C550" s="8" t="inlineStr">
        <is>
          <t>XNCYKCEBBQ</t>
        </is>
      </c>
      <c r="D550" s="7" t="n">
        <v>20</v>
      </c>
      <c r="E550" s="7" t="n">
        <v>550</v>
      </c>
      <c r="F550" s="7" t="inlineStr">
        <is>
          <t>Yes</t>
        </is>
      </c>
      <c r="G550" s="8" t="n"/>
    </row>
    <row r="551">
      <c r="A551" s="8" t="inlineStr">
        <is>
          <t>PGCV_0020_0551</t>
        </is>
      </c>
      <c r="B551" s="8" t="inlineStr">
        <is>
          <t>22-32938</t>
        </is>
      </c>
      <c r="C551" s="8" t="inlineStr">
        <is>
          <t>FWYAQMOQM8</t>
        </is>
      </c>
      <c r="D551" s="7" t="n">
        <v>20</v>
      </c>
      <c r="E551" s="7" t="n">
        <v>551</v>
      </c>
      <c r="F551" s="7" t="inlineStr">
        <is>
          <t>Yes</t>
        </is>
      </c>
      <c r="G551" s="8" t="n"/>
    </row>
    <row r="552">
      <c r="A552" s="8" t="inlineStr">
        <is>
          <t>PGCV_0020_0552</t>
        </is>
      </c>
      <c r="B552" s="8" t="inlineStr">
        <is>
          <t>22-33160</t>
        </is>
      </c>
      <c r="C552" s="8" t="inlineStr">
        <is>
          <t>VOEA6B6V4V</t>
        </is>
      </c>
      <c r="D552" s="7" t="n">
        <v>20</v>
      </c>
      <c r="E552" s="7" t="n">
        <v>552</v>
      </c>
      <c r="F552" s="7" t="inlineStr">
        <is>
          <t>Yes</t>
        </is>
      </c>
      <c r="G552" s="8" t="n"/>
    </row>
    <row r="553">
      <c r="A553" s="8" t="inlineStr">
        <is>
          <t>PGCV_0020_0553</t>
        </is>
      </c>
      <c r="B553" s="8" t="inlineStr">
        <is>
          <t>22-33262</t>
        </is>
      </c>
      <c r="C553" s="8" t="inlineStr">
        <is>
          <t>AIAPRPKB0B</t>
        </is>
      </c>
      <c r="D553" s="7" t="n">
        <v>20</v>
      </c>
      <c r="E553" s="7" t="n">
        <v>553</v>
      </c>
      <c r="F553" s="7" t="inlineStr">
        <is>
          <t>Yes</t>
        </is>
      </c>
      <c r="G553" s="8" t="n"/>
    </row>
    <row r="554">
      <c r="A554" s="8" t="inlineStr">
        <is>
          <t>PGCV_0020_0554</t>
        </is>
      </c>
      <c r="B554" s="8" t="inlineStr">
        <is>
          <t>22-33273</t>
        </is>
      </c>
      <c r="C554" s="8" t="inlineStr">
        <is>
          <t>JWFZPGYTTF</t>
        </is>
      </c>
      <c r="D554" s="7" t="n">
        <v>20</v>
      </c>
      <c r="E554" s="7" t="n">
        <v>554</v>
      </c>
      <c r="F554" s="7" t="inlineStr">
        <is>
          <t>Yes</t>
        </is>
      </c>
      <c r="G554" s="8" t="n"/>
    </row>
    <row r="555">
      <c r="A555" s="8" t="inlineStr">
        <is>
          <t>PGCV_0020_0555</t>
        </is>
      </c>
      <c r="B555" s="8" t="inlineStr">
        <is>
          <t>22-33279</t>
        </is>
      </c>
      <c r="C555" s="8" t="inlineStr">
        <is>
          <t>ONXEC9FOXS</t>
        </is>
      </c>
      <c r="D555" s="7" t="n">
        <v>20</v>
      </c>
      <c r="E555" s="7" t="n">
        <v>555</v>
      </c>
      <c r="F555" s="7" t="inlineStr">
        <is>
          <t>Yes</t>
        </is>
      </c>
      <c r="G555" s="8" t="n"/>
    </row>
    <row r="556">
      <c r="A556" s="8" t="inlineStr">
        <is>
          <t>PGCV_0020_0556</t>
        </is>
      </c>
      <c r="B556" s="8" t="inlineStr">
        <is>
          <t>22-33321</t>
        </is>
      </c>
      <c r="C556" s="8" t="inlineStr">
        <is>
          <t>AEGPCXIQIF</t>
        </is>
      </c>
      <c r="D556" s="7" t="n">
        <v>20</v>
      </c>
      <c r="E556" s="7" t="n">
        <v>556</v>
      </c>
      <c r="F556" s="7" t="inlineStr">
        <is>
          <t>Yes</t>
        </is>
      </c>
      <c r="G556" s="8" t="n"/>
    </row>
    <row r="557">
      <c r="A557" s="8" t="inlineStr">
        <is>
          <t>PGCV_0020_0557</t>
        </is>
      </c>
      <c r="B557" s="8" t="inlineStr">
        <is>
          <t>22-33332</t>
        </is>
      </c>
      <c r="C557" s="8" t="inlineStr">
        <is>
          <t>ZNCQ3J3MYP</t>
        </is>
      </c>
      <c r="D557" s="7" t="n">
        <v>20</v>
      </c>
      <c r="E557" s="7" t="n">
        <v>557</v>
      </c>
      <c r="F557" s="7" t="inlineStr">
        <is>
          <t>Yes</t>
        </is>
      </c>
      <c r="G557" s="8" t="n"/>
    </row>
    <row r="558">
      <c r="A558" s="8" t="inlineStr">
        <is>
          <t>PGCV_0020_0558</t>
        </is>
      </c>
      <c r="B558" s="8" t="inlineStr">
        <is>
          <t>695B110678</t>
        </is>
      </c>
      <c r="C558" s="8" t="inlineStr">
        <is>
          <t>E4SCQDH59S</t>
        </is>
      </c>
      <c r="D558" s="7" t="n">
        <v>20</v>
      </c>
      <c r="E558" s="7" t="n">
        <v>558</v>
      </c>
      <c r="F558" s="7" t="inlineStr">
        <is>
          <t>Yes</t>
        </is>
      </c>
      <c r="G558" s="8" t="n"/>
    </row>
    <row r="559">
      <c r="A559" s="8" t="inlineStr">
        <is>
          <t>PGCV_0020_0559</t>
        </is>
      </c>
      <c r="B559" s="8" t="inlineStr">
        <is>
          <t>MLAB174793</t>
        </is>
      </c>
      <c r="C559" s="8" t="inlineStr">
        <is>
          <t>YTV8FQAMTD</t>
        </is>
      </c>
      <c r="D559" s="7" t="n">
        <v>20</v>
      </c>
      <c r="E559" s="7" t="n">
        <v>559</v>
      </c>
      <c r="F559" s="7" t="inlineStr">
        <is>
          <t>Yes</t>
        </is>
      </c>
      <c r="G559" s="8" t="n"/>
    </row>
    <row r="560">
      <c r="A560" s="8" t="inlineStr">
        <is>
          <t>PGCV_0020_0560</t>
        </is>
      </c>
      <c r="B560" s="8" t="inlineStr">
        <is>
          <t>MLAB174823</t>
        </is>
      </c>
      <c r="C560" s="8" t="inlineStr">
        <is>
          <t>5GPOQJ34CQ</t>
        </is>
      </c>
      <c r="D560" s="7" t="n">
        <v>20</v>
      </c>
      <c r="E560" s="7" t="n">
        <v>560</v>
      </c>
      <c r="F560" s="7" t="inlineStr">
        <is>
          <t>Yes</t>
        </is>
      </c>
      <c r="G560" s="8" t="n"/>
    </row>
    <row r="561">
      <c r="A561" s="8" t="inlineStr">
        <is>
          <t>PGCV_0020_0561</t>
        </is>
      </c>
      <c r="B561" s="8" t="inlineStr">
        <is>
          <t>MLAB174947</t>
        </is>
      </c>
      <c r="C561" s="8" t="inlineStr">
        <is>
          <t>WPER8UVIKN</t>
        </is>
      </c>
      <c r="D561" s="7" t="n">
        <v>20</v>
      </c>
      <c r="E561" s="7" t="n">
        <v>561</v>
      </c>
      <c r="F561" s="7" t="inlineStr">
        <is>
          <t>Yes</t>
        </is>
      </c>
      <c r="G561" s="12" t="inlineStr">
        <is>
          <t>specimen also sequenced as PGCV_0021_0668</t>
        </is>
      </c>
    </row>
    <row r="562">
      <c r="A562" s="8" t="inlineStr">
        <is>
          <t>PGCV_0020_0562</t>
        </is>
      </c>
      <c r="B562" s="8" t="inlineStr">
        <is>
          <t>MLAB175038</t>
        </is>
      </c>
      <c r="C562" s="8" t="inlineStr">
        <is>
          <t>RPZ4KAKT4N</t>
        </is>
      </c>
      <c r="D562" s="7" t="n">
        <v>20</v>
      </c>
      <c r="E562" s="7" t="n">
        <v>562</v>
      </c>
      <c r="F562" s="7" t="inlineStr">
        <is>
          <t>Yes</t>
        </is>
      </c>
      <c r="G562" s="8" t="n"/>
    </row>
    <row r="563">
      <c r="A563" s="8" t="inlineStr">
        <is>
          <t>PGCV_0021_0563</t>
        </is>
      </c>
      <c r="B563" s="8" t="inlineStr">
        <is>
          <t>MLAB175095</t>
        </is>
      </c>
      <c r="C563" s="8" t="inlineStr">
        <is>
          <t>OELMQTNI41</t>
        </is>
      </c>
      <c r="D563" s="7" t="n">
        <v>21</v>
      </c>
      <c r="E563" s="7" t="n">
        <v>563</v>
      </c>
      <c r="F563" s="7" t="inlineStr">
        <is>
          <t>Yes</t>
        </is>
      </c>
      <c r="G563" s="8" t="n"/>
    </row>
    <row r="564">
      <c r="A564" s="8" t="inlineStr">
        <is>
          <t>PGCV_0021_0564</t>
        </is>
      </c>
      <c r="B564" s="8" t="inlineStr">
        <is>
          <t>COVID-SNL-22-60422</t>
        </is>
      </c>
      <c r="C564" s="8" t="inlineStr">
        <is>
          <t>T91GABBUOJ</t>
        </is>
      </c>
      <c r="D564" s="7" t="n">
        <v>21</v>
      </c>
      <c r="E564" s="7" t="n">
        <v>564</v>
      </c>
      <c r="F564" s="7" t="inlineStr">
        <is>
          <t>No</t>
        </is>
      </c>
      <c r="G564" s="8" t="n"/>
    </row>
    <row r="565">
      <c r="A565" s="8" t="inlineStr">
        <is>
          <t>PGCV_0021_0565</t>
        </is>
      </c>
      <c r="B565" s="8" t="inlineStr">
        <is>
          <t>COVID-SNL-22-60423</t>
        </is>
      </c>
      <c r="C565" s="8" t="inlineStr">
        <is>
          <t>5PEGABMLBH</t>
        </is>
      </c>
      <c r="D565" s="7" t="n">
        <v>21</v>
      </c>
      <c r="E565" s="7" t="n">
        <v>565</v>
      </c>
      <c r="F565" s="7" t="inlineStr">
        <is>
          <t>Yes</t>
        </is>
      </c>
      <c r="G565" s="8" t="n"/>
    </row>
    <row r="566">
      <c r="A566" s="8" t="inlineStr">
        <is>
          <t>PGCV_0021_0566</t>
        </is>
      </c>
      <c r="B566" s="8" t="inlineStr">
        <is>
          <t>COVID-SNL-22-60426</t>
        </is>
      </c>
      <c r="C566" s="8" t="inlineStr">
        <is>
          <t>JHYZIXZN2X</t>
        </is>
      </c>
      <c r="D566" s="7" t="n">
        <v>21</v>
      </c>
      <c r="E566" s="7" t="n">
        <v>566</v>
      </c>
      <c r="F566" s="7" t="inlineStr">
        <is>
          <t>No</t>
        </is>
      </c>
      <c r="G566" s="8" t="n"/>
    </row>
    <row r="567">
      <c r="A567" s="8" t="inlineStr">
        <is>
          <t>PGCV_0021_0567</t>
        </is>
      </c>
      <c r="B567" s="8" t="inlineStr">
        <is>
          <t>COVID-SNL-22-60438</t>
        </is>
      </c>
      <c r="C567" s="8" t="inlineStr">
        <is>
          <t>CKLD6I3DPT</t>
        </is>
      </c>
      <c r="D567" s="7" t="n">
        <v>21</v>
      </c>
      <c r="E567" s="7" t="n">
        <v>567</v>
      </c>
      <c r="F567" s="7" t="inlineStr">
        <is>
          <t>Yes</t>
        </is>
      </c>
      <c r="G567" s="8" t="n"/>
    </row>
    <row r="568">
      <c r="A568" s="8" t="inlineStr">
        <is>
          <t>PGCV_0021_0568</t>
        </is>
      </c>
      <c r="B568" s="8" t="inlineStr">
        <is>
          <t>COVID-SNL-22-60486</t>
        </is>
      </c>
      <c r="C568" s="8" t="inlineStr">
        <is>
          <t>RFBSUOQDAC</t>
        </is>
      </c>
      <c r="D568" s="7" t="n">
        <v>21</v>
      </c>
      <c r="E568" s="7" t="n">
        <v>568</v>
      </c>
      <c r="F568" s="7" t="inlineStr">
        <is>
          <t>Yes</t>
        </is>
      </c>
      <c r="G568" s="8" t="n"/>
    </row>
    <row r="569">
      <c r="A569" s="8" t="inlineStr">
        <is>
          <t>PGCV_0021_0569</t>
        </is>
      </c>
      <c r="B569" s="8" t="inlineStr">
        <is>
          <t>COVID-SNL-22-60626</t>
        </is>
      </c>
      <c r="C569" s="8" t="inlineStr">
        <is>
          <t>KDG8QXGH1K</t>
        </is>
      </c>
      <c r="D569" s="7" t="n">
        <v>21</v>
      </c>
      <c r="E569" s="7" t="n">
        <v>569</v>
      </c>
      <c r="F569" s="7" t="inlineStr">
        <is>
          <t>Yes</t>
        </is>
      </c>
      <c r="G569" s="8" t="n"/>
    </row>
    <row r="570">
      <c r="A570" s="8" t="inlineStr">
        <is>
          <t>PGCV_0021_0570</t>
        </is>
      </c>
      <c r="B570" s="8" t="inlineStr">
        <is>
          <t>COVID-SNL-22-60674</t>
        </is>
      </c>
      <c r="C570" s="8" t="inlineStr">
        <is>
          <t>RJ8176M7CJ</t>
        </is>
      </c>
      <c r="D570" s="7" t="n">
        <v>21</v>
      </c>
      <c r="E570" s="7" t="n">
        <v>570</v>
      </c>
      <c r="F570" s="7" t="inlineStr">
        <is>
          <t>Yes</t>
        </is>
      </c>
      <c r="G570" s="8" t="n"/>
    </row>
    <row r="571">
      <c r="A571" s="8" t="inlineStr">
        <is>
          <t>PGCV_0021_0571</t>
        </is>
      </c>
      <c r="B571" s="8" t="inlineStr">
        <is>
          <t>COVID-SNL-22-60681</t>
        </is>
      </c>
      <c r="C571" s="8" t="inlineStr">
        <is>
          <t>QQS3BLYV2P</t>
        </is>
      </c>
      <c r="D571" s="7" t="n">
        <v>21</v>
      </c>
      <c r="E571" s="7" t="n">
        <v>571</v>
      </c>
      <c r="F571" s="7" t="inlineStr">
        <is>
          <t>Yes</t>
        </is>
      </c>
      <c r="G571" s="8" t="n"/>
    </row>
    <row r="572">
      <c r="A572" s="8" t="inlineStr">
        <is>
          <t>PGCV_0021_0572</t>
        </is>
      </c>
      <c r="B572" s="8" t="inlineStr">
        <is>
          <t>COVID-SNL-22-60720</t>
        </is>
      </c>
      <c r="C572" s="8" t="inlineStr">
        <is>
          <t>4IRELKCGKU</t>
        </is>
      </c>
      <c r="D572" s="7" t="n">
        <v>21</v>
      </c>
      <c r="E572" s="7" t="n">
        <v>572</v>
      </c>
      <c r="F572" s="7" t="inlineStr">
        <is>
          <t>Yes</t>
        </is>
      </c>
      <c r="G572" s="8" t="n"/>
    </row>
    <row r="573">
      <c r="A573" s="8" t="inlineStr">
        <is>
          <t>PGCV_0021_0573</t>
        </is>
      </c>
      <c r="B573" s="8" t="inlineStr">
        <is>
          <t>COVID-SNL-22-60424</t>
        </is>
      </c>
      <c r="C573" s="8" t="inlineStr">
        <is>
          <t>AAIJDANHDJ</t>
        </is>
      </c>
      <c r="D573" s="7" t="n">
        <v>21</v>
      </c>
      <c r="E573" s="7" t="n">
        <v>573</v>
      </c>
      <c r="F573" s="7" t="inlineStr">
        <is>
          <t>No</t>
        </is>
      </c>
      <c r="G573" s="8" t="n"/>
    </row>
    <row r="574">
      <c r="A574" s="8" t="inlineStr">
        <is>
          <t>PGCV_0021_0574</t>
        </is>
      </c>
      <c r="B574" s="8" t="inlineStr">
        <is>
          <t>COVID-SNL-22-60992</t>
        </is>
      </c>
      <c r="C574" s="8" t="inlineStr">
        <is>
          <t>ANB5UHIFPZ</t>
        </is>
      </c>
      <c r="D574" s="7" t="n">
        <v>21</v>
      </c>
      <c r="E574" s="7" t="n">
        <v>574</v>
      </c>
      <c r="F574" s="7" t="inlineStr">
        <is>
          <t>Yes</t>
        </is>
      </c>
      <c r="G574" s="8" t="n"/>
    </row>
    <row r="575">
      <c r="A575" s="8" t="inlineStr">
        <is>
          <t>PGCV_0021_0575</t>
        </is>
      </c>
      <c r="B575" s="8" t="inlineStr">
        <is>
          <t>COVID-SNL-22-60993</t>
        </is>
      </c>
      <c r="C575" s="8" t="inlineStr">
        <is>
          <t>X3HOQQ8YCC</t>
        </is>
      </c>
      <c r="D575" s="7" t="n">
        <v>21</v>
      </c>
      <c r="E575" s="7" t="n">
        <v>575</v>
      </c>
      <c r="F575" s="7" t="inlineStr">
        <is>
          <t>No</t>
        </is>
      </c>
      <c r="G575" s="8" t="n"/>
    </row>
    <row r="576">
      <c r="A576" s="8" t="inlineStr">
        <is>
          <t>PGCV_0021_0576</t>
        </is>
      </c>
      <c r="B576" s="8" t="inlineStr">
        <is>
          <t>COVID-SNL-22-60995</t>
        </is>
      </c>
      <c r="C576" s="8" t="inlineStr">
        <is>
          <t>MBPTXZ8PBS</t>
        </is>
      </c>
      <c r="D576" s="7" t="n">
        <v>21</v>
      </c>
      <c r="E576" s="7" t="n">
        <v>576</v>
      </c>
      <c r="F576" s="7" t="inlineStr">
        <is>
          <t>No</t>
        </is>
      </c>
      <c r="G576" s="8" t="n"/>
    </row>
    <row r="577">
      <c r="A577" s="8" t="inlineStr">
        <is>
          <t>PGCV_0021_0577</t>
        </is>
      </c>
      <c r="B577" s="8" t="inlineStr">
        <is>
          <t>COVID-SNL-22-60998</t>
        </is>
      </c>
      <c r="C577" s="8" t="inlineStr">
        <is>
          <t>CHUTN8NDRV</t>
        </is>
      </c>
      <c r="D577" s="7" t="n">
        <v>21</v>
      </c>
      <c r="E577" s="7" t="n">
        <v>577</v>
      </c>
      <c r="F577" s="7" t="inlineStr">
        <is>
          <t>No</t>
        </is>
      </c>
      <c r="G577" s="8" t="n"/>
    </row>
    <row r="578">
      <c r="A578" s="8" t="inlineStr">
        <is>
          <t>PGCV_0021_0578</t>
        </is>
      </c>
      <c r="B578" s="8" t="inlineStr">
        <is>
          <t>COVID-SNL-22-61000</t>
        </is>
      </c>
      <c r="C578" s="8" t="inlineStr">
        <is>
          <t>IFW8UJTFL7</t>
        </is>
      </c>
      <c r="D578" s="7" t="n">
        <v>21</v>
      </c>
      <c r="E578" s="7" t="n">
        <v>578</v>
      </c>
      <c r="F578" s="7" t="inlineStr">
        <is>
          <t>Yes</t>
        </is>
      </c>
      <c r="G578" s="8" t="n"/>
    </row>
    <row r="579">
      <c r="A579" s="8" t="inlineStr">
        <is>
          <t>PGCV_0021_0579</t>
        </is>
      </c>
      <c r="B579" s="8" t="inlineStr">
        <is>
          <t>COVID-SNL-22-61001</t>
        </is>
      </c>
      <c r="C579" s="8" t="inlineStr">
        <is>
          <t>4OOMKOUN1L</t>
        </is>
      </c>
      <c r="D579" s="7" t="n">
        <v>21</v>
      </c>
      <c r="E579" s="7" t="n">
        <v>579</v>
      </c>
      <c r="F579" s="7" t="inlineStr">
        <is>
          <t>Yes</t>
        </is>
      </c>
      <c r="G579" s="8" t="n"/>
    </row>
    <row r="580">
      <c r="A580" s="8" t="inlineStr">
        <is>
          <t>PGCV_0021_0580</t>
        </is>
      </c>
      <c r="B580" s="8" t="inlineStr">
        <is>
          <t>COVID-SNL-22-61002</t>
        </is>
      </c>
      <c r="C580" s="8" t="inlineStr">
        <is>
          <t>2BVM03GLNP</t>
        </is>
      </c>
      <c r="D580" s="7" t="n">
        <v>21</v>
      </c>
      <c r="E580" s="7" t="n">
        <v>580</v>
      </c>
      <c r="F580" s="7" t="inlineStr">
        <is>
          <t>Yes</t>
        </is>
      </c>
      <c r="G580" s="8" t="n"/>
    </row>
    <row r="581">
      <c r="A581" s="8" t="inlineStr">
        <is>
          <t>PGCV_0021_0581</t>
        </is>
      </c>
      <c r="B581" s="8" t="inlineStr">
        <is>
          <t>COVID-SNL-22-61003</t>
        </is>
      </c>
      <c r="C581" s="8" t="inlineStr">
        <is>
          <t>JALMNGQ63E</t>
        </is>
      </c>
      <c r="D581" s="7" t="n">
        <v>21</v>
      </c>
      <c r="E581" s="7" t="n">
        <v>581</v>
      </c>
      <c r="F581" s="7" t="inlineStr">
        <is>
          <t>No</t>
        </is>
      </c>
      <c r="G581" s="8" t="n"/>
    </row>
    <row r="582">
      <c r="A582" s="8" t="inlineStr">
        <is>
          <t>PGCV_0021_0582</t>
        </is>
      </c>
      <c r="B582" s="8" t="inlineStr">
        <is>
          <t>COVID-SNL-22-61004</t>
        </is>
      </c>
      <c r="C582" s="8" t="inlineStr">
        <is>
          <t>LBEU5QSVFB</t>
        </is>
      </c>
      <c r="D582" s="7" t="n">
        <v>21</v>
      </c>
      <c r="E582" s="7" t="n">
        <v>582</v>
      </c>
      <c r="F582" s="7" t="inlineStr">
        <is>
          <t>No</t>
        </is>
      </c>
      <c r="G582" s="8" t="n"/>
    </row>
    <row r="583">
      <c r="A583" s="8" t="inlineStr">
        <is>
          <t>PGCV_0021_0583</t>
        </is>
      </c>
      <c r="B583" s="8" t="inlineStr">
        <is>
          <t>COVID-SNL-22-61028</t>
        </is>
      </c>
      <c r="C583" s="8" t="inlineStr">
        <is>
          <t>4XWOJCSVBN</t>
        </is>
      </c>
      <c r="D583" s="7" t="n">
        <v>21</v>
      </c>
      <c r="E583" s="7" t="n">
        <v>583</v>
      </c>
      <c r="F583" s="7" t="inlineStr">
        <is>
          <t>No</t>
        </is>
      </c>
      <c r="G583" s="8" t="n"/>
    </row>
    <row r="584">
      <c r="A584" s="8" t="inlineStr">
        <is>
          <t>PGCV_0021_0584</t>
        </is>
      </c>
      <c r="B584" s="8" t="inlineStr">
        <is>
          <t>COVID-SNL-22-61127</t>
        </is>
      </c>
      <c r="C584" s="8" t="inlineStr">
        <is>
          <t>DHHL1VKQ4L</t>
        </is>
      </c>
      <c r="D584" s="7" t="n">
        <v>21</v>
      </c>
      <c r="E584" s="7" t="n">
        <v>584</v>
      </c>
      <c r="F584" s="7" t="inlineStr">
        <is>
          <t>Yes</t>
        </is>
      </c>
      <c r="G584" s="8" t="n"/>
    </row>
    <row r="585">
      <c r="A585" s="8" t="inlineStr">
        <is>
          <t>PGCV_0021_0585</t>
        </is>
      </c>
      <c r="B585" s="8" t="inlineStr">
        <is>
          <t>COVID-SNL-22-61128</t>
        </is>
      </c>
      <c r="C585" s="8" t="inlineStr">
        <is>
          <t>ZNRRHHMALD</t>
        </is>
      </c>
      <c r="D585" s="7" t="n">
        <v>21</v>
      </c>
      <c r="E585" s="7" t="n">
        <v>585</v>
      </c>
      <c r="F585" s="7" t="inlineStr">
        <is>
          <t>Yes</t>
        </is>
      </c>
      <c r="G585" s="8" t="n"/>
    </row>
    <row r="586">
      <c r="A586" s="8" t="inlineStr">
        <is>
          <t>PGCV_0021_0586</t>
        </is>
      </c>
      <c r="B586" s="8" t="inlineStr">
        <is>
          <t>COVID-SNL-22-61129</t>
        </is>
      </c>
      <c r="C586" s="8" t="inlineStr">
        <is>
          <t>8JXBTKL2FS</t>
        </is>
      </c>
      <c r="D586" s="7" t="n">
        <v>21</v>
      </c>
      <c r="E586" s="7" t="n">
        <v>586</v>
      </c>
      <c r="F586" s="7" t="inlineStr">
        <is>
          <t>Yes</t>
        </is>
      </c>
      <c r="G586" s="8" t="n"/>
    </row>
    <row r="587">
      <c r="A587" s="8" t="inlineStr">
        <is>
          <t>PGCV_0021_0587</t>
        </is>
      </c>
      <c r="B587" s="8" t="inlineStr">
        <is>
          <t>COVID-SNL-22-61155</t>
        </is>
      </c>
      <c r="C587" s="8" t="inlineStr">
        <is>
          <t>RHQT7GEX43</t>
        </is>
      </c>
      <c r="D587" s="7" t="n">
        <v>21</v>
      </c>
      <c r="E587" s="7" t="n">
        <v>587</v>
      </c>
      <c r="F587" s="7" t="inlineStr">
        <is>
          <t>No</t>
        </is>
      </c>
      <c r="G587" s="8" t="n"/>
    </row>
    <row r="588">
      <c r="A588" s="8" t="inlineStr">
        <is>
          <t>PGCV_0021_0588</t>
        </is>
      </c>
      <c r="B588" s="8" t="inlineStr">
        <is>
          <t>COVID-SNL-22-61356</t>
        </is>
      </c>
      <c r="C588" s="8" t="inlineStr">
        <is>
          <t>HC8GF1NHHG</t>
        </is>
      </c>
      <c r="D588" s="7" t="n">
        <v>21</v>
      </c>
      <c r="E588" s="7" t="n">
        <v>588</v>
      </c>
      <c r="F588" s="7" t="inlineStr">
        <is>
          <t>Yes</t>
        </is>
      </c>
      <c r="G588" s="8" t="n"/>
    </row>
    <row r="589">
      <c r="A589" s="8" t="inlineStr">
        <is>
          <t>PGCV_0021_0589</t>
        </is>
      </c>
      <c r="B589" s="8" t="inlineStr">
        <is>
          <t>COVID-SNL-22-61487</t>
        </is>
      </c>
      <c r="C589" s="8" t="inlineStr">
        <is>
          <t>DT2GBV8U1M</t>
        </is>
      </c>
      <c r="D589" s="7" t="n">
        <v>21</v>
      </c>
      <c r="E589" s="7" t="n">
        <v>589</v>
      </c>
      <c r="F589" s="7" t="inlineStr">
        <is>
          <t>Yes</t>
        </is>
      </c>
      <c r="G589" s="8" t="n"/>
    </row>
    <row r="590">
      <c r="A590" s="8" t="inlineStr">
        <is>
          <t>PGCV_0021_0590</t>
        </is>
      </c>
      <c r="B590" s="8" t="inlineStr">
        <is>
          <t>COVID-SNL-22-61488</t>
        </is>
      </c>
      <c r="C590" s="8" t="inlineStr">
        <is>
          <t>D5NADALQ5A</t>
        </is>
      </c>
      <c r="D590" s="7" t="n">
        <v>21</v>
      </c>
      <c r="E590" s="7" t="n">
        <v>590</v>
      </c>
      <c r="F590" s="7" t="inlineStr">
        <is>
          <t>Yes</t>
        </is>
      </c>
      <c r="G590" s="8" t="n"/>
    </row>
    <row r="591">
      <c r="A591" s="8" t="inlineStr">
        <is>
          <t>PGCV_0021_0591</t>
        </is>
      </c>
      <c r="B591" s="8" t="inlineStr">
        <is>
          <t>COVID-SNL-22-61490</t>
        </is>
      </c>
      <c r="C591" s="8" t="inlineStr">
        <is>
          <t>Z1PHJJSTME</t>
        </is>
      </c>
      <c r="D591" s="7" t="n">
        <v>21</v>
      </c>
      <c r="E591" s="7" t="n">
        <v>591</v>
      </c>
      <c r="F591" s="7" t="inlineStr">
        <is>
          <t>Yes</t>
        </is>
      </c>
      <c r="G591" s="8" t="n"/>
    </row>
    <row r="592">
      <c r="A592" s="8" t="inlineStr">
        <is>
          <t>PGCV_0021_0592</t>
        </is>
      </c>
      <c r="B592" s="8" t="inlineStr">
        <is>
          <t>COVID-SNL-22-61491</t>
        </is>
      </c>
      <c r="C592" s="8" t="inlineStr">
        <is>
          <t>WJVLWDM76K</t>
        </is>
      </c>
      <c r="D592" s="7" t="n">
        <v>21</v>
      </c>
      <c r="E592" s="7" t="n">
        <v>592</v>
      </c>
      <c r="F592" s="7" t="inlineStr">
        <is>
          <t>Yes</t>
        </is>
      </c>
      <c r="G592" s="8" t="n"/>
    </row>
    <row r="593">
      <c r="A593" s="8" t="inlineStr">
        <is>
          <t>PGCV_0021_0593</t>
        </is>
      </c>
      <c r="B593" s="8" t="inlineStr">
        <is>
          <t>COVID-SNL-22-61560</t>
        </is>
      </c>
      <c r="C593" s="8" t="inlineStr">
        <is>
          <t>UZR5TMA0PE</t>
        </is>
      </c>
      <c r="D593" s="7" t="n">
        <v>21</v>
      </c>
      <c r="E593" s="7" t="n">
        <v>593</v>
      </c>
      <c r="F593" s="7" t="inlineStr">
        <is>
          <t>Yes</t>
        </is>
      </c>
      <c r="G593" s="8" t="n"/>
    </row>
    <row r="594">
      <c r="A594" s="8" t="inlineStr">
        <is>
          <t>PGCV_0021_0594</t>
        </is>
      </c>
      <c r="B594" s="8" t="inlineStr">
        <is>
          <t>COVID-SNL-22-61561</t>
        </is>
      </c>
      <c r="C594" s="8" t="inlineStr">
        <is>
          <t>XJPGXEGIZT</t>
        </is>
      </c>
      <c r="D594" s="7" t="n">
        <v>21</v>
      </c>
      <c r="E594" s="7" t="n">
        <v>594</v>
      </c>
      <c r="F594" s="7" t="inlineStr">
        <is>
          <t>Yes</t>
        </is>
      </c>
      <c r="G594" s="8" t="n"/>
    </row>
    <row r="595">
      <c r="A595" s="8" t="inlineStr">
        <is>
          <t>PGCV_0021_0595</t>
        </is>
      </c>
      <c r="B595" s="8" t="inlineStr">
        <is>
          <t>COVID-SNL-22-61565</t>
        </is>
      </c>
      <c r="C595" s="8" t="inlineStr">
        <is>
          <t>PTCV8LSQ8G</t>
        </is>
      </c>
      <c r="D595" s="7" t="n">
        <v>21</v>
      </c>
      <c r="E595" s="7" t="n">
        <v>595</v>
      </c>
      <c r="F595" s="7" t="inlineStr">
        <is>
          <t>Yes</t>
        </is>
      </c>
      <c r="G595" s="8" t="n"/>
    </row>
    <row r="596">
      <c r="A596" s="8" t="inlineStr">
        <is>
          <t>PGCV_0021_0596</t>
        </is>
      </c>
      <c r="B596" s="8" t="inlineStr">
        <is>
          <t>COVID-SNL-22-61568</t>
        </is>
      </c>
      <c r="C596" s="8" t="inlineStr">
        <is>
          <t>GLC5BU3KSN</t>
        </is>
      </c>
      <c r="D596" s="7" t="n">
        <v>21</v>
      </c>
      <c r="E596" s="7" t="n">
        <v>596</v>
      </c>
      <c r="F596" s="7" t="inlineStr">
        <is>
          <t>Yes</t>
        </is>
      </c>
      <c r="G596" s="8" t="n"/>
    </row>
    <row r="597">
      <c r="A597" s="8" t="inlineStr">
        <is>
          <t>PGCV_0021_0597</t>
        </is>
      </c>
      <c r="B597" s="8" t="inlineStr">
        <is>
          <t>COVID-SNL-22-61572</t>
        </is>
      </c>
      <c r="C597" s="8" t="inlineStr">
        <is>
          <t>TMFKCIYKQT</t>
        </is>
      </c>
      <c r="D597" s="7" t="n">
        <v>21</v>
      </c>
      <c r="E597" s="7" t="n">
        <v>597</v>
      </c>
      <c r="F597" s="7" t="inlineStr">
        <is>
          <t>No</t>
        </is>
      </c>
      <c r="G597" s="8" t="n"/>
    </row>
    <row r="598">
      <c r="A598" s="8" t="inlineStr">
        <is>
          <t>PGCV_0021_0598</t>
        </is>
      </c>
      <c r="B598" s="8" t="inlineStr">
        <is>
          <t>COVID-SNL-22-61588</t>
        </is>
      </c>
      <c r="C598" s="8" t="inlineStr">
        <is>
          <t>8Q5EMJNONI</t>
        </is>
      </c>
      <c r="D598" s="7" t="n">
        <v>21</v>
      </c>
      <c r="E598" s="7" t="n">
        <v>598</v>
      </c>
      <c r="F598" s="7" t="inlineStr">
        <is>
          <t>Yes</t>
        </is>
      </c>
      <c r="G598" s="8" t="n"/>
    </row>
    <row r="599">
      <c r="A599" s="8" t="inlineStr">
        <is>
          <t>PGCV_0021_0599</t>
        </is>
      </c>
      <c r="B599" s="8" t="inlineStr">
        <is>
          <t>COVID-SNL-22-61598</t>
        </is>
      </c>
      <c r="C599" s="8" t="inlineStr">
        <is>
          <t>MLGVCMGPXT</t>
        </is>
      </c>
      <c r="D599" s="7" t="n">
        <v>21</v>
      </c>
      <c r="E599" s="7" t="n">
        <v>599</v>
      </c>
      <c r="F599" s="7" t="inlineStr">
        <is>
          <t>Yes</t>
        </is>
      </c>
      <c r="G599" s="8" t="n"/>
    </row>
    <row r="600">
      <c r="A600" s="8" t="inlineStr">
        <is>
          <t>PGCV_0021_0600</t>
        </is>
      </c>
      <c r="B600" s="8" t="inlineStr">
        <is>
          <t>COVID-SNL-22-61675</t>
        </is>
      </c>
      <c r="C600" s="8" t="inlineStr">
        <is>
          <t>MZPKRFWDHB</t>
        </is>
      </c>
      <c r="D600" s="7" t="n">
        <v>21</v>
      </c>
      <c r="E600" s="7" t="n">
        <v>600</v>
      </c>
      <c r="F600" s="7" t="inlineStr">
        <is>
          <t>No</t>
        </is>
      </c>
      <c r="G600" s="8" t="n"/>
    </row>
    <row r="601">
      <c r="A601" s="8" t="inlineStr">
        <is>
          <t>PGCV_0021_0601</t>
        </is>
      </c>
      <c r="B601" s="8" t="inlineStr">
        <is>
          <t>COVID-SNL-22-61801</t>
        </is>
      </c>
      <c r="C601" s="8" t="inlineStr">
        <is>
          <t>TIXUWFSLVG</t>
        </is>
      </c>
      <c r="D601" s="7" t="n">
        <v>21</v>
      </c>
      <c r="E601" s="7" t="n">
        <v>601</v>
      </c>
      <c r="F601" s="7" t="inlineStr">
        <is>
          <t>Yes</t>
        </is>
      </c>
      <c r="G601" s="8" t="n"/>
    </row>
    <row r="602">
      <c r="A602" s="8" t="inlineStr">
        <is>
          <t>PGCV_0021_0602</t>
        </is>
      </c>
      <c r="B602" s="8" t="inlineStr">
        <is>
          <t>COVID-SNL-22-61920</t>
        </is>
      </c>
      <c r="C602" s="8" t="inlineStr">
        <is>
          <t>BDXA1A0JCJ</t>
        </is>
      </c>
      <c r="D602" s="7" t="n">
        <v>21</v>
      </c>
      <c r="E602" s="7" t="n">
        <v>602</v>
      </c>
      <c r="F602" s="7" t="inlineStr">
        <is>
          <t>Yes</t>
        </is>
      </c>
      <c r="G602" s="8" t="n"/>
    </row>
    <row r="603">
      <c r="A603" s="8" t="inlineStr">
        <is>
          <t>PGCV_0021_0603</t>
        </is>
      </c>
      <c r="B603" s="8" t="inlineStr">
        <is>
          <t>COVID-SNL-22-62226</t>
        </is>
      </c>
      <c r="C603" s="8" t="inlineStr">
        <is>
          <t>NPFQ0KSQJT</t>
        </is>
      </c>
      <c r="D603" s="7" t="n">
        <v>21</v>
      </c>
      <c r="E603" s="7" t="n">
        <v>603</v>
      </c>
      <c r="F603" s="7" t="inlineStr">
        <is>
          <t>Yes</t>
        </is>
      </c>
      <c r="G603" s="8" t="n"/>
    </row>
    <row r="604">
      <c r="A604" s="8" t="inlineStr">
        <is>
          <t>PGCV_0021_0604</t>
        </is>
      </c>
      <c r="B604" s="8" t="inlineStr">
        <is>
          <t>COVID-SNL-22-62240</t>
        </is>
      </c>
      <c r="C604" s="8" t="inlineStr">
        <is>
          <t>848S9I6MHM</t>
        </is>
      </c>
      <c r="D604" s="7" t="n">
        <v>21</v>
      </c>
      <c r="E604" s="7" t="n">
        <v>604</v>
      </c>
      <c r="F604" s="7" t="inlineStr">
        <is>
          <t>No</t>
        </is>
      </c>
      <c r="G604" s="8" t="n"/>
    </row>
    <row r="605">
      <c r="A605" s="8" t="inlineStr">
        <is>
          <t>PGCV_0021_0605</t>
        </is>
      </c>
      <c r="B605" s="8" t="inlineStr">
        <is>
          <t>COVID-SNL-22-62241</t>
        </is>
      </c>
      <c r="C605" s="8" t="inlineStr">
        <is>
          <t>6AVS8Z23CS</t>
        </is>
      </c>
      <c r="D605" s="7" t="n">
        <v>21</v>
      </c>
      <c r="E605" s="7" t="n">
        <v>605</v>
      </c>
      <c r="F605" s="7" t="inlineStr">
        <is>
          <t>Yes</t>
        </is>
      </c>
      <c r="G605" s="8" t="n"/>
    </row>
    <row r="606">
      <c r="A606" s="8" t="inlineStr">
        <is>
          <t>PGCV_0021_0606</t>
        </is>
      </c>
      <c r="B606" s="8" t="inlineStr">
        <is>
          <t>COVID-SNL-22-62242</t>
        </is>
      </c>
      <c r="C606" s="8" t="inlineStr">
        <is>
          <t>RTCZ0IQJIG</t>
        </is>
      </c>
      <c r="D606" s="7" t="n">
        <v>21</v>
      </c>
      <c r="E606" s="7" t="n">
        <v>606</v>
      </c>
      <c r="F606" s="7" t="inlineStr">
        <is>
          <t>No</t>
        </is>
      </c>
      <c r="G606" s="8" t="n"/>
    </row>
    <row r="607">
      <c r="A607" s="8" t="inlineStr">
        <is>
          <t>PGCV_0021_0607</t>
        </is>
      </c>
      <c r="B607" s="8" t="inlineStr">
        <is>
          <t>COVID-SNL-22-62269</t>
        </is>
      </c>
      <c r="C607" s="8" t="inlineStr">
        <is>
          <t>14KTUMJP62</t>
        </is>
      </c>
      <c r="D607" s="7" t="n">
        <v>21</v>
      </c>
      <c r="E607" s="7" t="n">
        <v>607</v>
      </c>
      <c r="F607" s="7" t="inlineStr">
        <is>
          <t>Yes</t>
        </is>
      </c>
      <c r="G607" s="8" t="n"/>
    </row>
    <row r="608">
      <c r="A608" s="8" t="inlineStr">
        <is>
          <t>PGCV_0021_0608</t>
        </is>
      </c>
      <c r="B608" s="8" t="inlineStr">
        <is>
          <t>COVID-SNL-22-62271</t>
        </is>
      </c>
      <c r="C608" s="8" t="inlineStr">
        <is>
          <t>S0JM06ZVXV</t>
        </is>
      </c>
      <c r="D608" s="7" t="n">
        <v>21</v>
      </c>
      <c r="E608" s="7" t="n">
        <v>608</v>
      </c>
      <c r="F608" s="7" t="inlineStr">
        <is>
          <t>Yes</t>
        </is>
      </c>
      <c r="G608" s="8" t="n"/>
    </row>
    <row r="609">
      <c r="A609" s="8" t="inlineStr">
        <is>
          <t>PGCV_0021_0609</t>
        </is>
      </c>
      <c r="B609" s="8" t="inlineStr">
        <is>
          <t>COVID-SNL-22-62341</t>
        </is>
      </c>
      <c r="C609" s="8" t="inlineStr">
        <is>
          <t>QDPATHHSGT</t>
        </is>
      </c>
      <c r="D609" s="7" t="n">
        <v>21</v>
      </c>
      <c r="E609" s="7" t="n">
        <v>609</v>
      </c>
      <c r="F609" s="7" t="inlineStr">
        <is>
          <t>Yes</t>
        </is>
      </c>
      <c r="G609" s="8" t="n"/>
    </row>
    <row r="610">
      <c r="A610" s="8" t="inlineStr">
        <is>
          <t>PGCV_0021_0610</t>
        </is>
      </c>
      <c r="B610" s="8" t="inlineStr">
        <is>
          <t>COVID-SNL-22-62360</t>
        </is>
      </c>
      <c r="C610" s="8" t="inlineStr">
        <is>
          <t>9ND81WUPWP</t>
        </is>
      </c>
      <c r="D610" s="7" t="n">
        <v>21</v>
      </c>
      <c r="E610" s="7" t="n">
        <v>610</v>
      </c>
      <c r="F610" s="7" t="inlineStr">
        <is>
          <t>Yes</t>
        </is>
      </c>
      <c r="G610" s="8" t="n"/>
    </row>
    <row r="611">
      <c r="A611" s="8" t="inlineStr">
        <is>
          <t>PGCV_0021_0611</t>
        </is>
      </c>
      <c r="B611" s="8" t="inlineStr">
        <is>
          <t>COVID-SNL-22-62361</t>
        </is>
      </c>
      <c r="C611" s="8" t="inlineStr">
        <is>
          <t>1Y5AICUGMX</t>
        </is>
      </c>
      <c r="D611" s="7" t="n">
        <v>21</v>
      </c>
      <c r="E611" s="7" t="n">
        <v>611</v>
      </c>
      <c r="F611" s="7" t="inlineStr">
        <is>
          <t>Yes</t>
        </is>
      </c>
      <c r="G611" s="8" t="n"/>
    </row>
    <row r="612">
      <c r="A612" s="8" t="inlineStr">
        <is>
          <t>PGCV_0021_0612</t>
        </is>
      </c>
      <c r="B612" s="8" t="inlineStr">
        <is>
          <t>COVID-SNL-22-62364</t>
        </is>
      </c>
      <c r="C612" s="8" t="inlineStr">
        <is>
          <t>45IHXSB4Z6</t>
        </is>
      </c>
      <c r="D612" s="7" t="n">
        <v>21</v>
      </c>
      <c r="E612" s="7" t="n">
        <v>612</v>
      </c>
      <c r="F612" s="7" t="inlineStr">
        <is>
          <t>Yes</t>
        </is>
      </c>
      <c r="G612" s="8" t="n"/>
    </row>
    <row r="613">
      <c r="A613" s="8" t="inlineStr">
        <is>
          <t>PGCV_0021_0613</t>
        </is>
      </c>
      <c r="B613" s="8" t="inlineStr">
        <is>
          <t>COVID-SNL-22-62370</t>
        </is>
      </c>
      <c r="C613" s="8" t="inlineStr">
        <is>
          <t>U96DC3ZUCL</t>
        </is>
      </c>
      <c r="D613" s="7" t="n">
        <v>21</v>
      </c>
      <c r="E613" s="7" t="n">
        <v>613</v>
      </c>
      <c r="F613" s="7" t="inlineStr">
        <is>
          <t>Yes</t>
        </is>
      </c>
      <c r="G613" s="8" t="n"/>
    </row>
    <row r="614">
      <c r="A614" s="8" t="inlineStr">
        <is>
          <t>PGCV_0021_0614</t>
        </is>
      </c>
      <c r="B614" s="8" t="inlineStr">
        <is>
          <t>COVID-SNL-22-62371</t>
        </is>
      </c>
      <c r="C614" s="8" t="inlineStr">
        <is>
          <t>K5XTEU68PX</t>
        </is>
      </c>
      <c r="D614" s="7" t="n">
        <v>21</v>
      </c>
      <c r="E614" s="7" t="n">
        <v>614</v>
      </c>
      <c r="F614" s="7" t="inlineStr">
        <is>
          <t>Yes</t>
        </is>
      </c>
      <c r="G614" s="8" t="n"/>
    </row>
    <row r="615">
      <c r="A615" s="8" t="inlineStr">
        <is>
          <t>PGCV_0021_0615</t>
        </is>
      </c>
      <c r="B615" s="8" t="inlineStr">
        <is>
          <t>COVID-SNL-22-62375</t>
        </is>
      </c>
      <c r="C615" s="8" t="inlineStr">
        <is>
          <t>KGQOKPUJAO</t>
        </is>
      </c>
      <c r="D615" s="7" t="n">
        <v>21</v>
      </c>
      <c r="E615" s="7" t="n">
        <v>615</v>
      </c>
      <c r="F615" s="7" t="inlineStr">
        <is>
          <t>Yes</t>
        </is>
      </c>
      <c r="G615" s="8" t="n"/>
    </row>
    <row r="616">
      <c r="A616" s="8" t="inlineStr">
        <is>
          <t>PGCV_0021_0616</t>
        </is>
      </c>
      <c r="B616" s="8" t="inlineStr">
        <is>
          <t>COVID-SNL-22-62517</t>
        </is>
      </c>
      <c r="C616" s="8" t="inlineStr">
        <is>
          <t>OWEGRQLCG0</t>
        </is>
      </c>
      <c r="D616" s="7" t="n">
        <v>21</v>
      </c>
      <c r="E616" s="7" t="n">
        <v>616</v>
      </c>
      <c r="F616" s="7" t="inlineStr">
        <is>
          <t>Yes</t>
        </is>
      </c>
      <c r="G616" s="8" t="n"/>
    </row>
    <row r="617">
      <c r="A617" s="8" t="inlineStr">
        <is>
          <t>PGCV_0021_0617</t>
        </is>
      </c>
      <c r="B617" s="8" t="inlineStr">
        <is>
          <t>COVID-SNL-22-62536</t>
        </is>
      </c>
      <c r="C617" s="8" t="inlineStr">
        <is>
          <t>IBXWLH8MUC</t>
        </is>
      </c>
      <c r="D617" s="7" t="n">
        <v>21</v>
      </c>
      <c r="E617" s="7" t="n">
        <v>617</v>
      </c>
      <c r="F617" s="7" t="inlineStr">
        <is>
          <t>Yes</t>
        </is>
      </c>
      <c r="G617" s="8" t="n"/>
    </row>
    <row r="618">
      <c r="A618" s="8" t="inlineStr">
        <is>
          <t>PGCV_0021_0618</t>
        </is>
      </c>
      <c r="B618" s="8" t="inlineStr">
        <is>
          <t>COVID-SNL-22-62624</t>
        </is>
      </c>
      <c r="C618" s="8" t="inlineStr">
        <is>
          <t>SYCPRC4XSZ</t>
        </is>
      </c>
      <c r="D618" s="7" t="n">
        <v>21</v>
      </c>
      <c r="E618" s="7" t="n">
        <v>618</v>
      </c>
      <c r="F618" s="7" t="inlineStr">
        <is>
          <t>No</t>
        </is>
      </c>
      <c r="G618" s="8" t="n"/>
    </row>
    <row r="619">
      <c r="A619" s="8" t="inlineStr">
        <is>
          <t>PGCV_0021_0619</t>
        </is>
      </c>
      <c r="B619" s="8" t="inlineStr">
        <is>
          <t>COVID-SNL-22-62636</t>
        </is>
      </c>
      <c r="C619" s="8" t="inlineStr">
        <is>
          <t>MOIPUDUNXI</t>
        </is>
      </c>
      <c r="D619" s="7" t="n">
        <v>21</v>
      </c>
      <c r="E619" s="7" t="n">
        <v>619</v>
      </c>
      <c r="F619" s="7" t="inlineStr">
        <is>
          <t>Yes</t>
        </is>
      </c>
      <c r="G619" s="8" t="n"/>
    </row>
    <row r="620">
      <c r="A620" s="8" t="inlineStr">
        <is>
          <t>PGCV_0021_0620</t>
        </is>
      </c>
      <c r="B620" s="8" t="inlineStr">
        <is>
          <t>COVID-SNL-22-62646</t>
        </is>
      </c>
      <c r="C620" s="8" t="inlineStr">
        <is>
          <t>Z2I4JMMENI</t>
        </is>
      </c>
      <c r="D620" s="7" t="n">
        <v>21</v>
      </c>
      <c r="E620" s="7" t="n">
        <v>620</v>
      </c>
      <c r="F620" s="7" t="inlineStr">
        <is>
          <t>Yes</t>
        </is>
      </c>
      <c r="G620" s="8" t="n"/>
    </row>
    <row r="621">
      <c r="A621" s="8" t="inlineStr">
        <is>
          <t>PGCV_0021_0621</t>
        </is>
      </c>
      <c r="B621" s="8" t="inlineStr">
        <is>
          <t>COVID-SNL-22-62648</t>
        </is>
      </c>
      <c r="C621" s="8" t="inlineStr">
        <is>
          <t>OLKMVLPZTP</t>
        </is>
      </c>
      <c r="D621" s="7" t="n">
        <v>21</v>
      </c>
      <c r="E621" s="7" t="n">
        <v>621</v>
      </c>
      <c r="F621" s="7" t="inlineStr">
        <is>
          <t>Yes</t>
        </is>
      </c>
      <c r="G621" s="8" t="n"/>
    </row>
    <row r="622">
      <c r="A622" s="8" t="inlineStr">
        <is>
          <t>PGCV_0021_0622</t>
        </is>
      </c>
      <c r="B622" s="8" t="inlineStr">
        <is>
          <t>COVID-SNL-22-62649</t>
        </is>
      </c>
      <c r="C622" s="8" t="inlineStr">
        <is>
          <t>W1LFO357UE</t>
        </is>
      </c>
      <c r="D622" s="7" t="n">
        <v>21</v>
      </c>
      <c r="E622" s="7" t="n">
        <v>622</v>
      </c>
      <c r="F622" s="7" t="inlineStr">
        <is>
          <t>Yes</t>
        </is>
      </c>
      <c r="G622" s="8" t="n"/>
    </row>
    <row r="623">
      <c r="A623" s="8" t="inlineStr">
        <is>
          <t>PGCV_0021_0623</t>
        </is>
      </c>
      <c r="B623" s="8" t="inlineStr">
        <is>
          <t>COVID-SNL-22-62833</t>
        </is>
      </c>
      <c r="C623" s="8" t="inlineStr">
        <is>
          <t>RJX2UIHERH</t>
        </is>
      </c>
      <c r="D623" s="7" t="n">
        <v>21</v>
      </c>
      <c r="E623" s="7" t="n">
        <v>623</v>
      </c>
      <c r="F623" s="7" t="inlineStr">
        <is>
          <t>No</t>
        </is>
      </c>
      <c r="G623" s="8" t="n"/>
    </row>
    <row r="624">
      <c r="A624" s="8" t="inlineStr">
        <is>
          <t>PGCV_0021_0624</t>
        </is>
      </c>
      <c r="B624" s="8" t="inlineStr">
        <is>
          <t>COVID-SNL-22-62834</t>
        </is>
      </c>
      <c r="C624" s="8" t="inlineStr">
        <is>
          <t>HD7MNRW39B</t>
        </is>
      </c>
      <c r="D624" s="7" t="n">
        <v>21</v>
      </c>
      <c r="E624" s="7" t="n">
        <v>624</v>
      </c>
      <c r="F624" s="7" t="inlineStr">
        <is>
          <t>Yes</t>
        </is>
      </c>
      <c r="G624" s="8" t="n"/>
    </row>
    <row r="625">
      <c r="A625" s="8" t="inlineStr">
        <is>
          <t>PGCV_0021_0625</t>
        </is>
      </c>
      <c r="B625" s="8" t="inlineStr">
        <is>
          <t>COVID-SNL-22-62835</t>
        </is>
      </c>
      <c r="C625" s="8" t="inlineStr">
        <is>
          <t>BNPBP6CIU5</t>
        </is>
      </c>
      <c r="D625" s="7" t="n">
        <v>21</v>
      </c>
      <c r="E625" s="7" t="n">
        <v>625</v>
      </c>
      <c r="F625" s="7" t="inlineStr">
        <is>
          <t>Yes</t>
        </is>
      </c>
      <c r="G625" s="8" t="n"/>
    </row>
    <row r="626">
      <c r="A626" s="8" t="inlineStr">
        <is>
          <t>PGCV_0021_0626</t>
        </is>
      </c>
      <c r="B626" s="8" t="inlineStr">
        <is>
          <t>COVID-SNL-22-62836</t>
        </is>
      </c>
      <c r="C626" s="8" t="inlineStr">
        <is>
          <t>HXVJVCQWFZ</t>
        </is>
      </c>
      <c r="D626" s="7" t="n">
        <v>21</v>
      </c>
      <c r="E626" s="7" t="n">
        <v>626</v>
      </c>
      <c r="F626" s="7" t="inlineStr">
        <is>
          <t>Yes</t>
        </is>
      </c>
      <c r="G626" s="8" t="n"/>
    </row>
    <row r="627">
      <c r="A627" s="8" t="inlineStr">
        <is>
          <t>PGCV_0021_0627</t>
        </is>
      </c>
      <c r="B627" s="8" t="inlineStr">
        <is>
          <t>COVID-SNL-22-62837</t>
        </is>
      </c>
      <c r="C627" s="8" t="inlineStr">
        <is>
          <t>R0MXPSTNOM</t>
        </is>
      </c>
      <c r="D627" s="7" t="n">
        <v>21</v>
      </c>
      <c r="E627" s="7" t="n">
        <v>627</v>
      </c>
      <c r="F627" s="7" t="inlineStr">
        <is>
          <t>Yes</t>
        </is>
      </c>
      <c r="G627" s="8" t="n"/>
    </row>
    <row r="628">
      <c r="A628" s="8" t="inlineStr">
        <is>
          <t>PGCV_0021_0628</t>
        </is>
      </c>
      <c r="B628" s="8" t="inlineStr">
        <is>
          <t>COVID-SNL-22-62838</t>
        </is>
      </c>
      <c r="C628" s="8" t="inlineStr">
        <is>
          <t>BZ3JM6OWBW</t>
        </is>
      </c>
      <c r="D628" s="7" t="n">
        <v>21</v>
      </c>
      <c r="E628" s="7" t="n">
        <v>628</v>
      </c>
      <c r="F628" s="7" t="inlineStr">
        <is>
          <t>Yes</t>
        </is>
      </c>
      <c r="G628" s="8" t="n"/>
    </row>
    <row r="629">
      <c r="A629" s="8" t="inlineStr">
        <is>
          <t>PGCV_0021_0629</t>
        </is>
      </c>
      <c r="B629" s="8" t="inlineStr">
        <is>
          <t>COVID-SNL-22-62839</t>
        </is>
      </c>
      <c r="C629" s="8" t="inlineStr">
        <is>
          <t>UXWM2EGEVW</t>
        </is>
      </c>
      <c r="D629" s="7" t="n">
        <v>21</v>
      </c>
      <c r="E629" s="7" t="n">
        <v>629</v>
      </c>
      <c r="F629" s="7" t="inlineStr">
        <is>
          <t>Yes</t>
        </is>
      </c>
      <c r="G629" s="8" t="n"/>
    </row>
    <row r="630">
      <c r="A630" s="8" t="inlineStr">
        <is>
          <t>PGCV_0021_0630</t>
        </is>
      </c>
      <c r="B630" s="8" t="inlineStr">
        <is>
          <t>COVID-SNL-22-62840</t>
        </is>
      </c>
      <c r="C630" s="8" t="inlineStr">
        <is>
          <t>JUXPTMEYVP</t>
        </is>
      </c>
      <c r="D630" s="7" t="n">
        <v>21</v>
      </c>
      <c r="E630" s="7" t="n">
        <v>630</v>
      </c>
      <c r="F630" s="7" t="inlineStr">
        <is>
          <t>Yes</t>
        </is>
      </c>
      <c r="G630" s="8" t="n"/>
    </row>
    <row r="631">
      <c r="A631" s="8" t="inlineStr">
        <is>
          <t>PGCV_0021_0631</t>
        </is>
      </c>
      <c r="B631" s="8" t="inlineStr">
        <is>
          <t>COVID-SNL-22-62841</t>
        </is>
      </c>
      <c r="C631" s="8" t="inlineStr">
        <is>
          <t>J7SOT7MQJ5</t>
        </is>
      </c>
      <c r="D631" s="7" t="n">
        <v>21</v>
      </c>
      <c r="E631" s="7" t="n">
        <v>631</v>
      </c>
      <c r="F631" s="7" t="inlineStr">
        <is>
          <t>Yes</t>
        </is>
      </c>
      <c r="G631" s="8" t="n"/>
    </row>
    <row r="632">
      <c r="A632" s="8" t="inlineStr">
        <is>
          <t>PGCV_0021_0632</t>
        </is>
      </c>
      <c r="B632" s="8" t="inlineStr">
        <is>
          <t>COVID-SNL-22-62842</t>
        </is>
      </c>
      <c r="C632" s="8" t="inlineStr">
        <is>
          <t>WNZQ2GVONN</t>
        </is>
      </c>
      <c r="D632" s="7" t="n">
        <v>21</v>
      </c>
      <c r="E632" s="7" t="n">
        <v>632</v>
      </c>
      <c r="F632" s="7" t="inlineStr">
        <is>
          <t>Yes</t>
        </is>
      </c>
      <c r="G632" s="8" t="n"/>
    </row>
    <row r="633">
      <c r="A633" s="8" t="inlineStr">
        <is>
          <t>PGCV_0021_0633</t>
        </is>
      </c>
      <c r="B633" s="8" t="inlineStr">
        <is>
          <t>COVID-SNL-22-62896</t>
        </is>
      </c>
      <c r="C633" s="8" t="inlineStr">
        <is>
          <t>EORZBWPGEK</t>
        </is>
      </c>
      <c r="D633" s="7" t="n">
        <v>21</v>
      </c>
      <c r="E633" s="7" t="n">
        <v>633</v>
      </c>
      <c r="F633" s="7" t="inlineStr">
        <is>
          <t>Yes</t>
        </is>
      </c>
      <c r="G633" s="8" t="n"/>
    </row>
    <row r="634">
      <c r="A634" s="8" t="inlineStr">
        <is>
          <t>PGCV_0021_0634</t>
        </is>
      </c>
      <c r="B634" s="8" t="inlineStr">
        <is>
          <t>COVID-SNL-22-62903</t>
        </is>
      </c>
      <c r="C634" s="8" t="inlineStr">
        <is>
          <t>GWYCS5NVHH</t>
        </is>
      </c>
      <c r="D634" s="7" t="n">
        <v>21</v>
      </c>
      <c r="E634" s="7" t="n">
        <v>634</v>
      </c>
      <c r="F634" s="7" t="inlineStr">
        <is>
          <t>Yes</t>
        </is>
      </c>
      <c r="G634" s="8" t="n"/>
    </row>
    <row r="635">
      <c r="A635" s="8" t="inlineStr">
        <is>
          <t>PGCV_0021_0635</t>
        </is>
      </c>
      <c r="B635" s="8" t="inlineStr">
        <is>
          <t>COVID-SNL-22-62907</t>
        </is>
      </c>
      <c r="C635" s="8" t="inlineStr">
        <is>
          <t>FVK53UOK8K</t>
        </is>
      </c>
      <c r="D635" s="7" t="n">
        <v>21</v>
      </c>
      <c r="E635" s="7" t="n">
        <v>635</v>
      </c>
      <c r="F635" s="7" t="inlineStr">
        <is>
          <t>Yes</t>
        </is>
      </c>
      <c r="G635" s="8" t="n"/>
    </row>
    <row r="636">
      <c r="A636" s="8" t="inlineStr">
        <is>
          <t>PGCV_0021_0636</t>
        </is>
      </c>
      <c r="B636" s="8" t="inlineStr">
        <is>
          <t>COVID-SNL-22-62942</t>
        </is>
      </c>
      <c r="C636" s="8" t="inlineStr">
        <is>
          <t>QES6DFKPUZ</t>
        </is>
      </c>
      <c r="D636" s="7" t="n">
        <v>21</v>
      </c>
      <c r="E636" s="7" t="n">
        <v>636</v>
      </c>
      <c r="F636" s="7" t="inlineStr">
        <is>
          <t>Yes</t>
        </is>
      </c>
      <c r="G636" s="8" t="n"/>
    </row>
    <row r="637">
      <c r="A637" s="8" t="inlineStr">
        <is>
          <t>PGCV_0021_0637</t>
        </is>
      </c>
      <c r="B637" s="8" t="inlineStr">
        <is>
          <t>COVID-SNL-22-63049</t>
        </is>
      </c>
      <c r="C637" s="8" t="inlineStr">
        <is>
          <t>S6JK5TLSS4</t>
        </is>
      </c>
      <c r="D637" s="7" t="n">
        <v>21</v>
      </c>
      <c r="E637" s="7" t="n">
        <v>637</v>
      </c>
      <c r="F637" s="7" t="inlineStr">
        <is>
          <t>Yes</t>
        </is>
      </c>
      <c r="G637" s="8" t="n"/>
    </row>
    <row r="638">
      <c r="A638" s="8" t="inlineStr">
        <is>
          <t>PGCV_0021_0638</t>
        </is>
      </c>
      <c r="B638" s="8" t="inlineStr">
        <is>
          <t>COVID-SNL-22-63050</t>
        </is>
      </c>
      <c r="C638" s="8" t="inlineStr">
        <is>
          <t>T8TB61EWIB</t>
        </is>
      </c>
      <c r="D638" s="7" t="n">
        <v>21</v>
      </c>
      <c r="E638" s="7" t="n">
        <v>638</v>
      </c>
      <c r="F638" s="7" t="inlineStr">
        <is>
          <t>No</t>
        </is>
      </c>
      <c r="G638" s="8" t="n"/>
    </row>
    <row r="639">
      <c r="A639" s="8" t="inlineStr">
        <is>
          <t>PGCV_0021_0639</t>
        </is>
      </c>
      <c r="B639" s="8" t="inlineStr">
        <is>
          <t>COVID-SNL-22-63051</t>
        </is>
      </c>
      <c r="C639" s="8" t="inlineStr">
        <is>
          <t>JSXMDPX2A2</t>
        </is>
      </c>
      <c r="D639" s="7" t="n">
        <v>21</v>
      </c>
      <c r="E639" s="7" t="n">
        <v>639</v>
      </c>
      <c r="F639" s="7" t="inlineStr">
        <is>
          <t>No</t>
        </is>
      </c>
      <c r="G639" s="8" t="n"/>
    </row>
    <row r="640">
      <c r="A640" s="8" t="inlineStr">
        <is>
          <t>PGCV_0021_0640</t>
        </is>
      </c>
      <c r="B640" s="8" t="inlineStr">
        <is>
          <t>COVID-SNL-22-63091</t>
        </is>
      </c>
      <c r="C640" s="8" t="inlineStr">
        <is>
          <t>ZB7IAOXCI7</t>
        </is>
      </c>
      <c r="D640" s="7" t="n">
        <v>21</v>
      </c>
      <c r="E640" s="7" t="n">
        <v>640</v>
      </c>
      <c r="F640" s="7" t="inlineStr">
        <is>
          <t>Yes</t>
        </is>
      </c>
      <c r="G640" s="8" t="n"/>
    </row>
    <row r="641">
      <c r="A641" s="8" t="inlineStr">
        <is>
          <t>PGCV_0021_0641</t>
        </is>
      </c>
      <c r="B641" s="8" t="inlineStr">
        <is>
          <t>COVID-SNL-22-63093</t>
        </is>
      </c>
      <c r="C641" s="8" t="inlineStr">
        <is>
          <t>GLLJTASOBZ</t>
        </is>
      </c>
      <c r="D641" s="7" t="n">
        <v>21</v>
      </c>
      <c r="E641" s="7" t="n">
        <v>641</v>
      </c>
      <c r="F641" s="7" t="inlineStr">
        <is>
          <t>No</t>
        </is>
      </c>
      <c r="G641" s="8" t="n"/>
    </row>
    <row r="642">
      <c r="A642" s="8" t="inlineStr">
        <is>
          <t>PGCV_0021_0642</t>
        </is>
      </c>
      <c r="B642" s="8" t="inlineStr">
        <is>
          <t>COVID-SNL-22-63096</t>
        </is>
      </c>
      <c r="C642" s="8" t="inlineStr">
        <is>
          <t>5ORUUC6AER</t>
        </is>
      </c>
      <c r="D642" s="7" t="n">
        <v>21</v>
      </c>
      <c r="E642" s="7" t="n">
        <v>642</v>
      </c>
      <c r="F642" s="7" t="inlineStr">
        <is>
          <t>Yes</t>
        </is>
      </c>
      <c r="G642" s="8" t="n"/>
    </row>
    <row r="643">
      <c r="A643" s="8" t="inlineStr">
        <is>
          <t>PGCV_0021_0643</t>
        </is>
      </c>
      <c r="B643" s="8" t="inlineStr">
        <is>
          <t>COVID-SNL-22-63118</t>
        </is>
      </c>
      <c r="C643" s="8" t="inlineStr">
        <is>
          <t>VHWF70A2DK</t>
        </is>
      </c>
      <c r="D643" s="7" t="n">
        <v>21</v>
      </c>
      <c r="E643" s="7" t="n">
        <v>643</v>
      </c>
      <c r="F643" s="7" t="inlineStr">
        <is>
          <t>Yes</t>
        </is>
      </c>
      <c r="G643" s="8" t="n"/>
    </row>
    <row r="644">
      <c r="A644" s="8" t="inlineStr">
        <is>
          <t>PGCV_0021_0644</t>
        </is>
      </c>
      <c r="B644" s="8" t="inlineStr">
        <is>
          <t>COVID-SNL-22-63083</t>
        </is>
      </c>
      <c r="C644" s="8" t="inlineStr">
        <is>
          <t>DP8CJYX6ND</t>
        </is>
      </c>
      <c r="D644" s="7" t="n">
        <v>21</v>
      </c>
      <c r="E644" s="7" t="n">
        <v>644</v>
      </c>
      <c r="F644" s="7" t="inlineStr">
        <is>
          <t>Yes</t>
        </is>
      </c>
      <c r="G644" s="8" t="n"/>
    </row>
    <row r="645">
      <c r="A645" s="8" t="inlineStr">
        <is>
          <t>PGCV_0021_0645</t>
        </is>
      </c>
      <c r="B645" s="8" t="inlineStr">
        <is>
          <t>COVID-SNL-22-63084</t>
        </is>
      </c>
      <c r="C645" s="8" t="inlineStr">
        <is>
          <t>GFFSXRNGZ6</t>
        </is>
      </c>
      <c r="D645" s="7" t="n">
        <v>21</v>
      </c>
      <c r="E645" s="7" t="n">
        <v>645</v>
      </c>
      <c r="F645" s="7" t="inlineStr">
        <is>
          <t>Yes</t>
        </is>
      </c>
      <c r="G645" s="8" t="n"/>
    </row>
    <row r="646">
      <c r="A646" s="8" t="inlineStr">
        <is>
          <t>PGCV_0021_0646</t>
        </is>
      </c>
      <c r="B646" s="8" t="inlineStr">
        <is>
          <t>COVID-SNL-22-63194</t>
        </is>
      </c>
      <c r="C646" s="8" t="inlineStr">
        <is>
          <t>AFX9D7WS0G</t>
        </is>
      </c>
      <c r="D646" s="7" t="n">
        <v>21</v>
      </c>
      <c r="E646" s="7" t="n">
        <v>646</v>
      </c>
      <c r="F646" s="7" t="inlineStr">
        <is>
          <t>Yes</t>
        </is>
      </c>
      <c r="G646" s="8" t="n"/>
    </row>
    <row r="647">
      <c r="A647" s="8" t="inlineStr">
        <is>
          <t>PGCV_0021_0647</t>
        </is>
      </c>
      <c r="B647" s="8" t="inlineStr">
        <is>
          <t>COVID-SNL-22-63254</t>
        </is>
      </c>
      <c r="C647" s="8" t="inlineStr">
        <is>
          <t>MFLAMUOWLU</t>
        </is>
      </c>
      <c r="D647" s="7" t="n">
        <v>21</v>
      </c>
      <c r="E647" s="7" t="n">
        <v>647</v>
      </c>
      <c r="F647" s="7" t="inlineStr">
        <is>
          <t>Yes</t>
        </is>
      </c>
      <c r="G647" s="8" t="n"/>
    </row>
    <row r="648">
      <c r="A648" s="8" t="inlineStr">
        <is>
          <t>PGCV_0021_0648</t>
        </is>
      </c>
      <c r="B648" s="8" t="inlineStr">
        <is>
          <t>COVID-SNL-22-63257</t>
        </is>
      </c>
      <c r="C648" s="8" t="inlineStr">
        <is>
          <t>AUL6SMLN6N</t>
        </is>
      </c>
      <c r="D648" s="7" t="n">
        <v>21</v>
      </c>
      <c r="E648" s="7" t="n">
        <v>648</v>
      </c>
      <c r="F648" s="7" t="inlineStr">
        <is>
          <t>Yes</t>
        </is>
      </c>
      <c r="G648" s="8" t="n"/>
    </row>
    <row r="649">
      <c r="A649" s="8" t="inlineStr">
        <is>
          <t>PGCV_0021_0649</t>
        </is>
      </c>
      <c r="B649" s="8" t="inlineStr">
        <is>
          <t>COVID-SNL-22-63293</t>
        </is>
      </c>
      <c r="C649" s="8" t="inlineStr">
        <is>
          <t>AHVWTOHJC3</t>
        </is>
      </c>
      <c r="D649" s="7" t="n">
        <v>21</v>
      </c>
      <c r="E649" s="7" t="n">
        <v>649</v>
      </c>
      <c r="F649" s="7" t="inlineStr">
        <is>
          <t>Yes</t>
        </is>
      </c>
      <c r="G649" s="8" t="n"/>
    </row>
    <row r="650">
      <c r="A650" s="8" t="inlineStr">
        <is>
          <t>PGCV_0021_0650</t>
        </is>
      </c>
      <c r="B650" s="8" t="inlineStr">
        <is>
          <t>COVID-SNL-22-63448</t>
        </is>
      </c>
      <c r="C650" s="8" t="inlineStr">
        <is>
          <t>OIEFM7CWNG</t>
        </is>
      </c>
      <c r="D650" s="7" t="n">
        <v>21</v>
      </c>
      <c r="E650" s="7" t="n">
        <v>650</v>
      </c>
      <c r="F650" s="7" t="inlineStr">
        <is>
          <t>Yes</t>
        </is>
      </c>
      <c r="G650" s="8" t="n"/>
    </row>
    <row r="651">
      <c r="A651" s="8" t="inlineStr">
        <is>
          <t>PGCV_0021_0651</t>
        </is>
      </c>
      <c r="B651" s="8" t="inlineStr">
        <is>
          <t>COVID-SNL-22-63449</t>
        </is>
      </c>
      <c r="C651" s="8" t="inlineStr">
        <is>
          <t>AZPYHQASDO</t>
        </is>
      </c>
      <c r="D651" s="7" t="n">
        <v>21</v>
      </c>
      <c r="E651" s="7" t="n">
        <v>651</v>
      </c>
      <c r="F651" s="7" t="inlineStr">
        <is>
          <t>No</t>
        </is>
      </c>
      <c r="G651" s="8" t="n"/>
    </row>
    <row r="652">
      <c r="A652" s="8" t="inlineStr">
        <is>
          <t>PGCV_0021_0652</t>
        </is>
      </c>
      <c r="B652" s="8" t="inlineStr">
        <is>
          <t>COVID-SNL-22-63450</t>
        </is>
      </c>
      <c r="C652" s="8" t="inlineStr">
        <is>
          <t>UYPSE6TXSX</t>
        </is>
      </c>
      <c r="D652" s="7" t="n">
        <v>21</v>
      </c>
      <c r="E652" s="7" t="n">
        <v>652</v>
      </c>
      <c r="F652" s="7" t="inlineStr">
        <is>
          <t>Yes</t>
        </is>
      </c>
      <c r="G652" s="8" t="n"/>
    </row>
    <row r="653">
      <c r="A653" s="8" t="inlineStr">
        <is>
          <t>PGCV_0021_0653</t>
        </is>
      </c>
      <c r="B653" s="8" t="inlineStr">
        <is>
          <t>COVID-SNL-22-63454</t>
        </is>
      </c>
      <c r="C653" s="8" t="inlineStr">
        <is>
          <t>BNHEHPWCNX</t>
        </is>
      </c>
      <c r="D653" s="7" t="n">
        <v>21</v>
      </c>
      <c r="E653" s="7" t="n">
        <v>653</v>
      </c>
      <c r="F653" s="7" t="inlineStr">
        <is>
          <t>No</t>
        </is>
      </c>
      <c r="G653" s="8" t="n"/>
    </row>
    <row r="654">
      <c r="A654" s="8" t="inlineStr">
        <is>
          <t>PGCV_0021_0654</t>
        </is>
      </c>
      <c r="B654" s="8" t="inlineStr">
        <is>
          <t>COVID-SNL-22-63520</t>
        </is>
      </c>
      <c r="C654" s="8" t="inlineStr">
        <is>
          <t>ELOTOSKE2E</t>
        </is>
      </c>
      <c r="D654" s="7" t="n">
        <v>21</v>
      </c>
      <c r="E654" s="7" t="n">
        <v>654</v>
      </c>
      <c r="F654" s="7" t="inlineStr">
        <is>
          <t>Yes</t>
        </is>
      </c>
      <c r="G654" s="8" t="n"/>
    </row>
    <row r="655">
      <c r="A655" s="8" t="inlineStr">
        <is>
          <t>PGCV_0021_0655</t>
        </is>
      </c>
      <c r="B655" s="8" t="inlineStr">
        <is>
          <t>697B110891</t>
        </is>
      </c>
      <c r="C655" s="8" t="inlineStr">
        <is>
          <t>6DZBNYC2AN</t>
        </is>
      </c>
      <c r="D655" s="7" t="n">
        <v>21</v>
      </c>
      <c r="E655" s="7" t="n">
        <v>655</v>
      </c>
      <c r="F655" s="7" t="inlineStr">
        <is>
          <t>Yes</t>
        </is>
      </c>
      <c r="G655" s="8" t="n"/>
    </row>
    <row r="656">
      <c r="A656" s="8" t="inlineStr">
        <is>
          <t>PGCV_0021_0656</t>
        </is>
      </c>
      <c r="B656" s="8" t="inlineStr">
        <is>
          <t>697B110951</t>
        </is>
      </c>
      <c r="C656" s="8" t="inlineStr">
        <is>
          <t>O1DGXV8EMB</t>
        </is>
      </c>
      <c r="D656" s="7" t="n">
        <v>21</v>
      </c>
      <c r="E656" s="7" t="n">
        <v>656</v>
      </c>
      <c r="F656" s="7" t="inlineStr">
        <is>
          <t>Yes</t>
        </is>
      </c>
      <c r="G656" s="8" t="n"/>
    </row>
    <row r="657">
      <c r="A657" s="8" t="inlineStr">
        <is>
          <t>PGCV_0021_0657</t>
        </is>
      </c>
      <c r="B657" s="8" t="inlineStr">
        <is>
          <t>698B111044</t>
        </is>
      </c>
      <c r="C657" s="8" t="inlineStr">
        <is>
          <t>E4SCQDH59S</t>
        </is>
      </c>
      <c r="D657" s="7" t="n">
        <v>21</v>
      </c>
      <c r="E657" s="7" t="n">
        <v>657</v>
      </c>
      <c r="F657" s="7" t="inlineStr">
        <is>
          <t>Yes</t>
        </is>
      </c>
      <c r="G657" s="8" t="n"/>
    </row>
    <row r="658">
      <c r="A658" s="8" t="inlineStr">
        <is>
          <t>PGCV_0021_0658</t>
        </is>
      </c>
      <c r="B658" s="8" t="inlineStr">
        <is>
          <t>RTMCI1650</t>
        </is>
      </c>
      <c r="C658" s="8" t="inlineStr">
        <is>
          <t>8KP3XN8FXU</t>
        </is>
      </c>
      <c r="D658" s="7" t="n">
        <v>21</v>
      </c>
      <c r="E658" s="7" t="n">
        <v>658</v>
      </c>
      <c r="F658" s="7" t="inlineStr">
        <is>
          <t>Yes</t>
        </is>
      </c>
      <c r="G658" s="8" t="n"/>
    </row>
    <row r="659">
      <c r="A659" s="8" t="inlineStr">
        <is>
          <t>PGCV_0021_0659</t>
        </is>
      </c>
      <c r="B659" s="8" t="inlineStr">
        <is>
          <t>RQHHS2296</t>
        </is>
      </c>
      <c r="C659" s="8" t="inlineStr">
        <is>
          <t>8YZJ1TYNS0</t>
        </is>
      </c>
      <c r="D659" s="7" t="n">
        <v>21</v>
      </c>
      <c r="E659" s="7" t="n">
        <v>659</v>
      </c>
      <c r="F659" s="7" t="inlineStr">
        <is>
          <t>Yes</t>
        </is>
      </c>
      <c r="G659" s="8" t="n"/>
    </row>
    <row r="660">
      <c r="A660" s="8" t="inlineStr">
        <is>
          <t>PGCV_0021_0660</t>
        </is>
      </c>
      <c r="B660" s="8" t="inlineStr">
        <is>
          <t>RPMVI25070</t>
        </is>
      </c>
      <c r="C660" s="8" t="inlineStr">
        <is>
          <t>GNIFSOSGSB</t>
        </is>
      </c>
      <c r="D660" s="7" t="n">
        <v>21</v>
      </c>
      <c r="E660" s="7" t="n">
        <v>660</v>
      </c>
      <c r="F660" s="7" t="inlineStr">
        <is>
          <t>Yes</t>
        </is>
      </c>
      <c r="G660" s="8" t="n"/>
    </row>
    <row r="661">
      <c r="A661" s="8" t="inlineStr">
        <is>
          <t>PGCV_0021_0661</t>
        </is>
      </c>
      <c r="B661" s="8" t="inlineStr">
        <is>
          <t>RQIPD0116</t>
        </is>
      </c>
      <c r="C661" s="8" t="inlineStr">
        <is>
          <t>WAYWZEG4JQ</t>
        </is>
      </c>
      <c r="D661" s="7" t="n">
        <v>21</v>
      </c>
      <c r="E661" s="7" t="n">
        <v>661</v>
      </c>
      <c r="F661" s="7" t="inlineStr">
        <is>
          <t>Yes</t>
        </is>
      </c>
      <c r="G661" s="8" t="n"/>
    </row>
    <row r="662">
      <c r="A662" s="8" t="inlineStr">
        <is>
          <t>PGCV_0021_0662</t>
        </is>
      </c>
      <c r="B662" s="8" t="inlineStr">
        <is>
          <t>RPMVI25084</t>
        </is>
      </c>
      <c r="C662" s="8" t="inlineStr">
        <is>
          <t>FGNJ1BQVTV</t>
        </is>
      </c>
      <c r="D662" s="7" t="n">
        <v>21</v>
      </c>
      <c r="E662" s="7" t="n">
        <v>662</v>
      </c>
      <c r="F662" s="7" t="inlineStr">
        <is>
          <t>Yes</t>
        </is>
      </c>
      <c r="G662" s="8" t="n"/>
    </row>
    <row r="663">
      <c r="A663" s="8" t="inlineStr">
        <is>
          <t>PGCV_0021_0663</t>
        </is>
      </c>
      <c r="B663" s="8" t="inlineStr">
        <is>
          <t>RPMVI25090</t>
        </is>
      </c>
      <c r="C663" s="8" t="inlineStr">
        <is>
          <t>J5KN2LKF90</t>
        </is>
      </c>
      <c r="D663" s="7" t="n">
        <v>21</v>
      </c>
      <c r="E663" s="7" t="n">
        <v>663</v>
      </c>
      <c r="F663" s="7" t="inlineStr">
        <is>
          <t>Yes</t>
        </is>
      </c>
      <c r="G663" s="8" t="n"/>
    </row>
    <row r="664">
      <c r="A664" s="8" t="inlineStr">
        <is>
          <t>PGCV_0021_0664</t>
        </is>
      </c>
      <c r="B664" s="8" t="inlineStr">
        <is>
          <t>RPMVI25095</t>
        </is>
      </c>
      <c r="C664" s="8" t="inlineStr">
        <is>
          <t>2279I1BFPZ</t>
        </is>
      </c>
      <c r="D664" s="7" t="n">
        <v>21</v>
      </c>
      <c r="E664" s="7" t="n">
        <v>664</v>
      </c>
      <c r="F664" s="7" t="inlineStr">
        <is>
          <t>Yes</t>
        </is>
      </c>
      <c r="G664" s="8" t="n"/>
    </row>
    <row r="665">
      <c r="A665" s="8" t="inlineStr">
        <is>
          <t>PGCV_0021_0665</t>
        </is>
      </c>
      <c r="B665" s="8" t="inlineStr">
        <is>
          <t>RPMVI25099</t>
        </is>
      </c>
      <c r="C665" s="8" t="inlineStr">
        <is>
          <t>SSYBQPPPZM</t>
        </is>
      </c>
      <c r="D665" s="7" t="n">
        <v>21</v>
      </c>
      <c r="E665" s="7" t="n">
        <v>665</v>
      </c>
      <c r="F665" s="7" t="inlineStr">
        <is>
          <t>Yes</t>
        </is>
      </c>
      <c r="G665" s="8" t="n"/>
    </row>
    <row r="666">
      <c r="A666" s="8" t="inlineStr">
        <is>
          <t>PGCV_0021_0666</t>
        </is>
      </c>
      <c r="B666" s="8" t="inlineStr">
        <is>
          <t>RPMVI25113</t>
        </is>
      </c>
      <c r="C666" s="8" t="inlineStr">
        <is>
          <t>DNQW3SML56</t>
        </is>
      </c>
      <c r="D666" s="7" t="n">
        <v>21</v>
      </c>
      <c r="E666" s="7" t="n">
        <v>666</v>
      </c>
      <c r="F666" s="7" t="inlineStr">
        <is>
          <t>Yes</t>
        </is>
      </c>
      <c r="G666" s="8" t="n"/>
    </row>
    <row r="667">
      <c r="A667" s="8" t="inlineStr">
        <is>
          <t>PGCV_0021_0667</t>
        </is>
      </c>
      <c r="B667" s="8" t="inlineStr">
        <is>
          <t>RPMVI25077</t>
        </is>
      </c>
      <c r="C667" s="8" t="inlineStr">
        <is>
          <t>WKXPDDM7HY</t>
        </is>
      </c>
      <c r="D667" s="7" t="n">
        <v>21</v>
      </c>
      <c r="E667" s="7" t="n">
        <v>667</v>
      </c>
      <c r="F667" s="7" t="inlineStr">
        <is>
          <t>Yes</t>
        </is>
      </c>
      <c r="G667" s="8" t="n"/>
    </row>
    <row r="668">
      <c r="A668" s="8" t="inlineStr">
        <is>
          <t>PGCV_0021_0668</t>
        </is>
      </c>
      <c r="B668" s="8" t="inlineStr">
        <is>
          <t>MLAB174947</t>
        </is>
      </c>
      <c r="C668" s="8" t="inlineStr">
        <is>
          <t>WPER8UVIKN</t>
        </is>
      </c>
      <c r="D668" s="7" t="n">
        <v>21</v>
      </c>
      <c r="E668" s="7" t="n">
        <v>668</v>
      </c>
      <c r="F668" s="7" t="inlineStr">
        <is>
          <t>Yes</t>
        </is>
      </c>
      <c r="G668" s="12" t="inlineStr">
        <is>
          <t>specimen also sequenced as PGCV_0020_0561</t>
        </is>
      </c>
    </row>
    <row r="669">
      <c r="A669" s="8" t="inlineStr">
        <is>
          <t>PGCV_0021_0669</t>
        </is>
      </c>
      <c r="B669" s="8" t="inlineStr">
        <is>
          <t>22-33485</t>
        </is>
      </c>
      <c r="C669" s="8" t="inlineStr">
        <is>
          <t>O65PTU80CD</t>
        </is>
      </c>
      <c r="D669" s="7" t="n">
        <v>21</v>
      </c>
      <c r="E669" s="7" t="n">
        <v>669</v>
      </c>
      <c r="F669" s="7" t="inlineStr">
        <is>
          <t>Yes</t>
        </is>
      </c>
      <c r="G669" s="8" t="n"/>
    </row>
    <row r="670">
      <c r="A670" s="8" t="inlineStr">
        <is>
          <t>PGCV_0021_0670</t>
        </is>
      </c>
      <c r="B670" s="8" t="inlineStr">
        <is>
          <t>22-33504</t>
        </is>
      </c>
      <c r="C670" s="8" t="inlineStr">
        <is>
          <t>BGOIQTJL5E</t>
        </is>
      </c>
      <c r="D670" s="7" t="n">
        <v>21</v>
      </c>
      <c r="E670" s="7" t="n">
        <v>670</v>
      </c>
      <c r="F670" s="7" t="inlineStr">
        <is>
          <t>Yes</t>
        </is>
      </c>
      <c r="G670" s="8" t="n"/>
    </row>
    <row r="671">
      <c r="A671" s="8" t="inlineStr">
        <is>
          <t>PGCV_0021_0671</t>
        </is>
      </c>
      <c r="B671" s="8" t="inlineStr">
        <is>
          <t>22-33520</t>
        </is>
      </c>
      <c r="C671" s="8" t="inlineStr">
        <is>
          <t>NMZGI6FFHH</t>
        </is>
      </c>
      <c r="D671" s="7" t="n">
        <v>21</v>
      </c>
      <c r="E671" s="7" t="n">
        <v>671</v>
      </c>
      <c r="F671" s="7" t="inlineStr">
        <is>
          <t>Yes</t>
        </is>
      </c>
      <c r="G671" s="8" t="n"/>
    </row>
    <row r="672">
      <c r="A672" s="8" t="inlineStr">
        <is>
          <t>PGCV_0021_0672</t>
        </is>
      </c>
      <c r="B672" s="8" t="inlineStr">
        <is>
          <t>22-33579</t>
        </is>
      </c>
      <c r="C672" s="8" t="inlineStr">
        <is>
          <t>FUP2VRB3P0</t>
        </is>
      </c>
      <c r="D672" s="7" t="n">
        <v>21</v>
      </c>
      <c r="E672" s="7" t="n">
        <v>672</v>
      </c>
      <c r="F672" s="7" t="inlineStr">
        <is>
          <t>Yes</t>
        </is>
      </c>
      <c r="G672" s="8" t="n"/>
    </row>
    <row r="673">
      <c r="A673" s="8" t="inlineStr">
        <is>
          <t>PGCV_0021_0673</t>
        </is>
      </c>
      <c r="B673" s="8" t="inlineStr">
        <is>
          <t>22-33652</t>
        </is>
      </c>
      <c r="C673" s="8" t="inlineStr">
        <is>
          <t>KLNCZLCBSX</t>
        </is>
      </c>
      <c r="D673" s="7" t="n">
        <v>21</v>
      </c>
      <c r="E673" s="7" t="n">
        <v>673</v>
      </c>
      <c r="F673" s="7" t="inlineStr">
        <is>
          <t>Yes</t>
        </is>
      </c>
      <c r="G673" s="8" t="n"/>
    </row>
    <row r="674">
      <c r="A674" s="8" t="inlineStr">
        <is>
          <t>PGCV_0021_0674</t>
        </is>
      </c>
      <c r="B674" s="8" t="inlineStr">
        <is>
          <t>22-33679</t>
        </is>
      </c>
      <c r="C674" s="8" t="inlineStr">
        <is>
          <t>IYWUTYCUPM</t>
        </is>
      </c>
      <c r="D674" s="7" t="n">
        <v>21</v>
      </c>
      <c r="E674" s="7" t="n">
        <v>674</v>
      </c>
      <c r="F674" s="7" t="inlineStr">
        <is>
          <t>Yes</t>
        </is>
      </c>
      <c r="G674" s="8" t="n"/>
    </row>
    <row r="675">
      <c r="A675" s="8" t="inlineStr">
        <is>
          <t>PGCV_0021_0675</t>
        </is>
      </c>
      <c r="B675" s="8" t="inlineStr">
        <is>
          <t>22-33863</t>
        </is>
      </c>
      <c r="C675" s="8" t="inlineStr">
        <is>
          <t>SJ6BCMFOUR</t>
        </is>
      </c>
      <c r="D675" s="7" t="n">
        <v>21</v>
      </c>
      <c r="E675" s="7" t="n">
        <v>675</v>
      </c>
      <c r="F675" s="7" t="inlineStr">
        <is>
          <t>Yes</t>
        </is>
      </c>
      <c r="G675" s="8" t="n"/>
    </row>
    <row r="676">
      <c r="A676" s="8" t="inlineStr">
        <is>
          <t>PGCV_0021_0676</t>
        </is>
      </c>
      <c r="B676" s="8" t="inlineStr">
        <is>
          <t>22-33868</t>
        </is>
      </c>
      <c r="C676" s="8" t="inlineStr">
        <is>
          <t>7MZZWUIMNI</t>
        </is>
      </c>
      <c r="D676" s="7" t="n">
        <v>21</v>
      </c>
      <c r="E676" s="7" t="n">
        <v>676</v>
      </c>
      <c r="F676" s="7" t="inlineStr">
        <is>
          <t>Yes</t>
        </is>
      </c>
      <c r="G676" s="8" t="n"/>
    </row>
    <row r="677">
      <c r="A677" s="8" t="inlineStr">
        <is>
          <t>PGCV_0021_0677</t>
        </is>
      </c>
      <c r="B677" s="8" t="inlineStr">
        <is>
          <t>22-33915</t>
        </is>
      </c>
      <c r="C677" s="8" t="inlineStr">
        <is>
          <t>EM1RP9A8MI</t>
        </is>
      </c>
      <c r="D677" s="7" t="n">
        <v>21</v>
      </c>
      <c r="E677" s="7" t="n">
        <v>677</v>
      </c>
      <c r="F677" s="7" t="inlineStr">
        <is>
          <t>Yes</t>
        </is>
      </c>
      <c r="G677" s="8" t="n"/>
    </row>
    <row r="678">
      <c r="A678" s="8" t="inlineStr">
        <is>
          <t>PGCV_0021_0678</t>
        </is>
      </c>
      <c r="B678" s="8" t="inlineStr">
        <is>
          <t>699B111132</t>
        </is>
      </c>
      <c r="C678" s="8" t="inlineStr">
        <is>
          <t>NUXWGPWTES</t>
        </is>
      </c>
      <c r="D678" s="7" t="n">
        <v>21</v>
      </c>
      <c r="E678" s="7" t="n">
        <v>678</v>
      </c>
      <c r="F678" s="7" t="inlineStr">
        <is>
          <t>Yes</t>
        </is>
      </c>
      <c r="G678" s="8" t="n"/>
    </row>
    <row r="679">
      <c r="A679" s="8" t="inlineStr">
        <is>
          <t>PGCV_0021_0679</t>
        </is>
      </c>
      <c r="B679" s="8" t="inlineStr">
        <is>
          <t>670B111170</t>
        </is>
      </c>
      <c r="C679" s="8" t="inlineStr">
        <is>
          <t>KXJFKKKQHD</t>
        </is>
      </c>
      <c r="D679" s="7" t="n">
        <v>21</v>
      </c>
      <c r="E679" s="7" t="n">
        <v>679</v>
      </c>
      <c r="F679" s="7" t="inlineStr">
        <is>
          <t>Yes</t>
        </is>
      </c>
      <c r="G679" s="8" t="n"/>
    </row>
    <row r="680">
      <c r="A680" s="8" t="inlineStr">
        <is>
          <t>PGCV_0021_0680</t>
        </is>
      </c>
      <c r="B680" s="8" t="inlineStr">
        <is>
          <t>MLAB175117</t>
        </is>
      </c>
      <c r="C680" s="8" t="inlineStr">
        <is>
          <t>XRJ1GAOYBX</t>
        </is>
      </c>
      <c r="D680" s="7" t="n">
        <v>21</v>
      </c>
      <c r="E680" s="7" t="n">
        <v>680</v>
      </c>
      <c r="F680" s="7" t="inlineStr">
        <is>
          <t>Yes</t>
        </is>
      </c>
      <c r="G680" s="8" t="n"/>
    </row>
    <row r="681">
      <c r="A681" s="8" t="inlineStr">
        <is>
          <t>PGCV_0021_0681</t>
        </is>
      </c>
      <c r="B681" s="8" t="inlineStr">
        <is>
          <t>MLAB175151</t>
        </is>
      </c>
      <c r="C681" s="8" t="inlineStr">
        <is>
          <t>CNPMSKUCQU</t>
        </is>
      </c>
      <c r="D681" s="7" t="n">
        <v>21</v>
      </c>
      <c r="E681" s="7" t="n">
        <v>681</v>
      </c>
      <c r="F681" s="7" t="inlineStr">
        <is>
          <t>Yes</t>
        </is>
      </c>
      <c r="G681" s="8" t="n"/>
    </row>
    <row r="682">
      <c r="A682" s="8" t="inlineStr">
        <is>
          <t>PGCV_0021_0682</t>
        </is>
      </c>
      <c r="B682" s="8" t="inlineStr">
        <is>
          <t>MLAB175160</t>
        </is>
      </c>
      <c r="C682" s="8" t="inlineStr">
        <is>
          <t>JJLRJTZKBX</t>
        </is>
      </c>
      <c r="D682" s="7" t="n">
        <v>21</v>
      </c>
      <c r="E682" s="7" t="n">
        <v>682</v>
      </c>
      <c r="F682" s="7" t="inlineStr">
        <is>
          <t>Yes</t>
        </is>
      </c>
      <c r="G682" s="8" t="n"/>
    </row>
    <row r="683">
      <c r="A683" s="8" t="inlineStr">
        <is>
          <t>PGCV_0021_0683</t>
        </is>
      </c>
      <c r="B683" s="8" t="inlineStr">
        <is>
          <t>MLAB175166</t>
        </is>
      </c>
      <c r="C683" s="8" t="inlineStr">
        <is>
          <t>ZIG2QOF99V</t>
        </is>
      </c>
      <c r="D683" s="7" t="n">
        <v>21</v>
      </c>
      <c r="E683" s="7" t="n">
        <v>683</v>
      </c>
      <c r="F683" s="7" t="inlineStr">
        <is>
          <t>Yes</t>
        </is>
      </c>
      <c r="G683" s="8" t="n"/>
    </row>
    <row r="684">
      <c r="A684" s="8" t="inlineStr">
        <is>
          <t>PGCV_0021_0684</t>
        </is>
      </c>
      <c r="B684" s="8" t="inlineStr">
        <is>
          <t>MLAB175182</t>
        </is>
      </c>
      <c r="C684" s="8" t="inlineStr">
        <is>
          <t>JPOUBD4T2P</t>
        </is>
      </c>
      <c r="D684" s="7" t="n">
        <v>21</v>
      </c>
      <c r="E684" s="7" t="n">
        <v>684</v>
      </c>
      <c r="F684" s="7" t="inlineStr">
        <is>
          <t>Yes</t>
        </is>
      </c>
      <c r="G684" s="8" t="n"/>
    </row>
    <row r="685">
      <c r="A685" s="8" t="inlineStr">
        <is>
          <t>PGCV_0021_0685</t>
        </is>
      </c>
      <c r="B685" s="8" t="inlineStr">
        <is>
          <t>MLAB175183</t>
        </is>
      </c>
      <c r="C685" s="8" t="inlineStr">
        <is>
          <t>XYAIRSVIUV</t>
        </is>
      </c>
      <c r="D685" s="7" t="n">
        <v>21</v>
      </c>
      <c r="E685" s="7" t="n">
        <v>685</v>
      </c>
      <c r="F685" s="7" t="inlineStr">
        <is>
          <t>Yes</t>
        </is>
      </c>
      <c r="G685" s="8" t="n"/>
    </row>
    <row r="686">
      <c r="A686" s="8" t="inlineStr">
        <is>
          <t>PGCV_0021_0686</t>
        </is>
      </c>
      <c r="B686" s="8" t="inlineStr">
        <is>
          <t>MLAB175190</t>
        </is>
      </c>
      <c r="C686" s="8" t="inlineStr">
        <is>
          <t>Y7N1AYTYB6</t>
        </is>
      </c>
      <c r="D686" s="7" t="n">
        <v>21</v>
      </c>
      <c r="E686" s="7" t="n">
        <v>686</v>
      </c>
      <c r="F686" s="7" t="inlineStr">
        <is>
          <t>Yes</t>
        </is>
      </c>
      <c r="G686" s="8" t="n"/>
    </row>
    <row r="687">
      <c r="A687" s="8" t="inlineStr">
        <is>
          <t>PGCV_0021_0687</t>
        </is>
      </c>
      <c r="B687" s="8" t="inlineStr">
        <is>
          <t>MLAB175201</t>
        </is>
      </c>
      <c r="C687" s="8" t="inlineStr">
        <is>
          <t>DZGFFHYMHK</t>
        </is>
      </c>
      <c r="D687" s="7" t="n">
        <v>21</v>
      </c>
      <c r="E687" s="7" t="n">
        <v>687</v>
      </c>
      <c r="F687" s="7" t="inlineStr">
        <is>
          <t>Yes</t>
        </is>
      </c>
      <c r="G687" s="8" t="n"/>
    </row>
    <row r="688">
      <c r="A688" s="8" t="inlineStr">
        <is>
          <t>PGCV_0021_0688</t>
        </is>
      </c>
      <c r="B688" s="8" t="inlineStr">
        <is>
          <t>MLAB175259</t>
        </is>
      </c>
      <c r="C688" s="8" t="inlineStr">
        <is>
          <t>5BZBCKUQ35</t>
        </is>
      </c>
      <c r="D688" s="7" t="n">
        <v>21</v>
      </c>
      <c r="E688" s="7" t="n">
        <v>688</v>
      </c>
      <c r="F688" s="7" t="inlineStr">
        <is>
          <t>Yes</t>
        </is>
      </c>
      <c r="G688" s="8" t="n"/>
    </row>
    <row r="689">
      <c r="A689" s="8" t="inlineStr">
        <is>
          <t>PGCV_0021_0689</t>
        </is>
      </c>
      <c r="B689" s="8" t="inlineStr">
        <is>
          <t>MLAB175269</t>
        </is>
      </c>
      <c r="C689" s="8" t="inlineStr">
        <is>
          <t>6MCYVHRKAF</t>
        </is>
      </c>
      <c r="D689" s="7" t="n">
        <v>21</v>
      </c>
      <c r="E689" s="7" t="n">
        <v>689</v>
      </c>
      <c r="F689" s="7" t="inlineStr">
        <is>
          <t>Yes</t>
        </is>
      </c>
      <c r="G689" s="8" t="n"/>
    </row>
    <row r="690">
      <c r="A690" s="8" t="inlineStr">
        <is>
          <t>PGCV_0021_0690</t>
        </is>
      </c>
      <c r="B690" s="8" t="inlineStr">
        <is>
          <t>MLAB175270</t>
        </is>
      </c>
      <c r="C690" s="8" t="inlineStr">
        <is>
          <t>5EHXTM5FB4</t>
        </is>
      </c>
      <c r="D690" s="7" t="n">
        <v>21</v>
      </c>
      <c r="E690" s="7" t="n">
        <v>690</v>
      </c>
      <c r="F690" s="7" t="inlineStr">
        <is>
          <t>Yes</t>
        </is>
      </c>
      <c r="G690" s="8" t="n"/>
    </row>
    <row r="691">
      <c r="A691" s="8" t="inlineStr">
        <is>
          <t>PGCV_0021_0691</t>
        </is>
      </c>
      <c r="B691" s="8" t="inlineStr">
        <is>
          <t>MLAB175343</t>
        </is>
      </c>
      <c r="C691" s="8" t="inlineStr">
        <is>
          <t>QGXA3A55Z4</t>
        </is>
      </c>
      <c r="D691" s="7" t="n">
        <v>21</v>
      </c>
      <c r="E691" s="7" t="n">
        <v>691</v>
      </c>
      <c r="F691" s="7" t="inlineStr">
        <is>
          <t>Yes</t>
        </is>
      </c>
      <c r="G691" s="8" t="n"/>
    </row>
    <row r="692">
      <c r="A692" s="8" t="inlineStr">
        <is>
          <t>PGCV_0022_0693</t>
        </is>
      </c>
      <c r="B692" s="8" t="inlineStr">
        <is>
          <t>COVID-SNL-22-63624</t>
        </is>
      </c>
      <c r="C692" s="8" t="inlineStr">
        <is>
          <t>4BCF8EGHEH</t>
        </is>
      </c>
      <c r="D692" s="7" t="n">
        <v>22</v>
      </c>
      <c r="E692" s="7" t="n">
        <v>693</v>
      </c>
      <c r="F692" s="7" t="inlineStr">
        <is>
          <t>No</t>
        </is>
      </c>
      <c r="G692" s="12" t="inlineStr">
        <is>
          <t>specimen also sequenced as PGCV_0023_0693</t>
        </is>
      </c>
    </row>
    <row r="693">
      <c r="A693" s="8" t="inlineStr">
        <is>
          <t>PGCV_0022_0694</t>
        </is>
      </c>
      <c r="B693" s="8" t="inlineStr">
        <is>
          <t>COVID-SNL-22-63636</t>
        </is>
      </c>
      <c r="C693" s="8" t="inlineStr">
        <is>
          <t>DAWU9LA3HF</t>
        </is>
      </c>
      <c r="D693" s="7" t="n">
        <v>22</v>
      </c>
      <c r="E693" s="7" t="n">
        <v>694</v>
      </c>
      <c r="F693" s="7" t="inlineStr">
        <is>
          <t>No</t>
        </is>
      </c>
      <c r="G693" s="12" t="inlineStr">
        <is>
          <t>specimen also sequenced as PGCV_0023_0694</t>
        </is>
      </c>
    </row>
    <row r="694">
      <c r="A694" s="8" t="inlineStr">
        <is>
          <t>PGCV_0022_0695</t>
        </is>
      </c>
      <c r="B694" s="8" t="inlineStr">
        <is>
          <t>COVID-SNL-22-63862</t>
        </is>
      </c>
      <c r="C694" s="8" t="inlineStr">
        <is>
          <t>VBRAWQSKPD</t>
        </is>
      </c>
      <c r="D694" s="7" t="n">
        <v>22</v>
      </c>
      <c r="E694" s="7" t="n">
        <v>695</v>
      </c>
      <c r="F694" s="7" t="inlineStr">
        <is>
          <t>No</t>
        </is>
      </c>
      <c r="G694" s="12" t="inlineStr">
        <is>
          <t>specimen also sequenced as PGCV_0023_0695</t>
        </is>
      </c>
    </row>
    <row r="695">
      <c r="A695" s="8" t="inlineStr">
        <is>
          <t>PGCV_0022_0696</t>
        </is>
      </c>
      <c r="B695" s="8" t="inlineStr">
        <is>
          <t>COVID-SNL-22-63875</t>
        </is>
      </c>
      <c r="C695" s="8" t="inlineStr">
        <is>
          <t>AVPDZUZKAG</t>
        </is>
      </c>
      <c r="D695" s="7" t="n">
        <v>22</v>
      </c>
      <c r="E695" s="7" t="n">
        <v>696</v>
      </c>
      <c r="F695" s="7" t="inlineStr">
        <is>
          <t>No</t>
        </is>
      </c>
      <c r="G695" s="12" t="inlineStr">
        <is>
          <t>specimen also sequenced as PGCV_0023_0696</t>
        </is>
      </c>
    </row>
    <row r="696">
      <c r="A696" s="8" t="inlineStr">
        <is>
          <t>PGCV_0022_0697</t>
        </is>
      </c>
      <c r="B696" s="8" t="inlineStr">
        <is>
          <t>COVID-SNL-22-63773</t>
        </is>
      </c>
      <c r="C696" s="8" t="inlineStr">
        <is>
          <t>QZSB96RITX</t>
        </is>
      </c>
      <c r="D696" s="7" t="n">
        <v>22</v>
      </c>
      <c r="E696" s="7" t="n">
        <v>697</v>
      </c>
      <c r="F696" s="7" t="inlineStr">
        <is>
          <t>No</t>
        </is>
      </c>
      <c r="G696" s="12" t="inlineStr">
        <is>
          <t>specimen also sequenced as PGCV_0023_0697</t>
        </is>
      </c>
    </row>
    <row r="697">
      <c r="A697" s="8" t="inlineStr">
        <is>
          <t>PGCV_0022_0698</t>
        </is>
      </c>
      <c r="B697" s="8" t="inlineStr">
        <is>
          <t>COVID-SNL-22-63775</t>
        </is>
      </c>
      <c r="C697" s="8" t="inlineStr">
        <is>
          <t>AOPCHK6RZI</t>
        </is>
      </c>
      <c r="D697" s="7" t="n">
        <v>22</v>
      </c>
      <c r="E697" s="7" t="n">
        <v>698</v>
      </c>
      <c r="F697" s="7" t="inlineStr">
        <is>
          <t>No</t>
        </is>
      </c>
      <c r="G697" s="12" t="inlineStr">
        <is>
          <t>specimen also sequenced as PGCV_0023_0698</t>
        </is>
      </c>
    </row>
    <row r="698">
      <c r="A698" s="8" t="inlineStr">
        <is>
          <t>PGCV_0022_0699</t>
        </is>
      </c>
      <c r="B698" s="8" t="inlineStr">
        <is>
          <t>COVID-SNL-22-63785</t>
        </is>
      </c>
      <c r="C698" s="8" t="inlineStr">
        <is>
          <t>CJSTHVK8GH</t>
        </is>
      </c>
      <c r="D698" s="7" t="n">
        <v>22</v>
      </c>
      <c r="E698" s="7" t="n">
        <v>699</v>
      </c>
      <c r="F698" s="7" t="inlineStr">
        <is>
          <t>No</t>
        </is>
      </c>
      <c r="G698" s="12" t="inlineStr">
        <is>
          <t>specimen also sequenced as PGCV_0023_0699</t>
        </is>
      </c>
    </row>
    <row r="699">
      <c r="A699" s="8" t="inlineStr">
        <is>
          <t>PGCV_0022_0700</t>
        </is>
      </c>
      <c r="B699" s="8" t="inlineStr">
        <is>
          <t>COVID-SNL-22-63786</t>
        </is>
      </c>
      <c r="C699" s="8" t="inlineStr">
        <is>
          <t>QPKATRNJSZ</t>
        </is>
      </c>
      <c r="D699" s="7" t="n">
        <v>22</v>
      </c>
      <c r="E699" s="7" t="n">
        <v>700</v>
      </c>
      <c r="F699" s="7" t="inlineStr">
        <is>
          <t>No</t>
        </is>
      </c>
      <c r="G699" s="12" t="inlineStr">
        <is>
          <t>specimen also sequenced as PGCV_0023_0700</t>
        </is>
      </c>
    </row>
    <row r="700">
      <c r="A700" s="8" t="inlineStr">
        <is>
          <t>PGCV_0022_0701</t>
        </is>
      </c>
      <c r="B700" s="8" t="inlineStr">
        <is>
          <t>COVID-SNL-22-63808</t>
        </is>
      </c>
      <c r="C700" s="8" t="inlineStr">
        <is>
          <t>DW35RLCLBI</t>
        </is>
      </c>
      <c r="D700" s="7" t="n">
        <v>22</v>
      </c>
      <c r="E700" s="7" t="n">
        <v>701</v>
      </c>
      <c r="F700" s="7" t="inlineStr">
        <is>
          <t>No</t>
        </is>
      </c>
      <c r="G700" s="12" t="inlineStr">
        <is>
          <t>specimen also sequenced as PGCV_0023_0701</t>
        </is>
      </c>
    </row>
    <row r="701">
      <c r="A701" s="8" t="inlineStr">
        <is>
          <t>PGCV_0022_0702</t>
        </is>
      </c>
      <c r="B701" s="8" t="inlineStr">
        <is>
          <t>COVID-SNL-22-63830</t>
        </is>
      </c>
      <c r="C701" s="8" t="inlineStr">
        <is>
          <t>CRV6WVT3UZ</t>
        </is>
      </c>
      <c r="D701" s="7" t="n">
        <v>22</v>
      </c>
      <c r="E701" s="7" t="n">
        <v>702</v>
      </c>
      <c r="F701" s="7" t="inlineStr">
        <is>
          <t>No</t>
        </is>
      </c>
      <c r="G701" s="12" t="inlineStr">
        <is>
          <t>specimen also sequenced as PGCV_0023_0702</t>
        </is>
      </c>
    </row>
    <row r="702">
      <c r="A702" s="8" t="inlineStr">
        <is>
          <t>PGCV_0022_0703</t>
        </is>
      </c>
      <c r="B702" s="8" t="inlineStr">
        <is>
          <t>COVID-SNL-22-63612</t>
        </is>
      </c>
      <c r="C702" s="8" t="inlineStr">
        <is>
          <t>G3UBWZIRWU</t>
        </is>
      </c>
      <c r="D702" s="7" t="n">
        <v>22</v>
      </c>
      <c r="E702" s="7" t="n">
        <v>703</v>
      </c>
      <c r="F702" s="7" t="inlineStr">
        <is>
          <t>No</t>
        </is>
      </c>
      <c r="G702" s="12" t="inlineStr">
        <is>
          <t>specimen also sequenced as PGCV_0023_0703</t>
        </is>
      </c>
    </row>
    <row r="703">
      <c r="A703" s="8" t="inlineStr">
        <is>
          <t>PGCV_0022_0704</t>
        </is>
      </c>
      <c r="B703" s="8" t="inlineStr">
        <is>
          <t>COVID-SNL-22-63890</t>
        </is>
      </c>
      <c r="C703" s="8" t="inlineStr">
        <is>
          <t>FHYJ7R4QHA</t>
        </is>
      </c>
      <c r="D703" s="7" t="n">
        <v>22</v>
      </c>
      <c r="E703" s="7" t="n">
        <v>704</v>
      </c>
      <c r="F703" s="7" t="inlineStr">
        <is>
          <t>No</t>
        </is>
      </c>
      <c r="G703" s="12" t="inlineStr">
        <is>
          <t>specimen also sequenced as PGCV_0023_0704</t>
        </is>
      </c>
    </row>
    <row r="704">
      <c r="A704" s="8" t="inlineStr">
        <is>
          <t>PGCV_0022_0705</t>
        </is>
      </c>
      <c r="B704" s="8" t="inlineStr">
        <is>
          <t>COVID-SNL-22-63897</t>
        </is>
      </c>
      <c r="C704" s="8" t="inlineStr">
        <is>
          <t>C0TMELBTUS</t>
        </is>
      </c>
      <c r="D704" s="7" t="n">
        <v>22</v>
      </c>
      <c r="E704" s="7" t="n">
        <v>705</v>
      </c>
      <c r="F704" s="7" t="inlineStr">
        <is>
          <t>No</t>
        </is>
      </c>
      <c r="G704" s="12" t="inlineStr">
        <is>
          <t>specimen also sequenced as PGCV_0023_0705</t>
        </is>
      </c>
    </row>
    <row r="705">
      <c r="A705" s="8" t="inlineStr">
        <is>
          <t>PGCV_0022_0706</t>
        </is>
      </c>
      <c r="B705" s="8" t="inlineStr">
        <is>
          <t>COVID-SNL-22-63985</t>
        </is>
      </c>
      <c r="C705" s="8" t="inlineStr">
        <is>
          <t>WRTVKEIJB0</t>
        </is>
      </c>
      <c r="D705" s="7" t="n">
        <v>22</v>
      </c>
      <c r="E705" s="7" t="n">
        <v>706</v>
      </c>
      <c r="F705" s="7" t="inlineStr">
        <is>
          <t>No</t>
        </is>
      </c>
      <c r="G705" s="12" t="inlineStr">
        <is>
          <t>specimen also sequenced as PGCV_0023_0706</t>
        </is>
      </c>
    </row>
    <row r="706">
      <c r="A706" s="8" t="inlineStr">
        <is>
          <t>PGCV_0022_0707</t>
        </is>
      </c>
      <c r="B706" s="8" t="inlineStr">
        <is>
          <t>COVID-SNL-22-63988</t>
        </is>
      </c>
      <c r="C706" s="8" t="inlineStr">
        <is>
          <t>OHAWT7TYJB</t>
        </is>
      </c>
      <c r="D706" s="7" t="n">
        <v>22</v>
      </c>
      <c r="E706" s="7" t="n">
        <v>707</v>
      </c>
      <c r="F706" s="7" t="inlineStr">
        <is>
          <t>No</t>
        </is>
      </c>
      <c r="G706" s="12" t="inlineStr">
        <is>
          <t>specimen also sequenced as PGCV_0023_0707</t>
        </is>
      </c>
    </row>
    <row r="707">
      <c r="A707" s="8" t="inlineStr">
        <is>
          <t>PGCV_0022_0708</t>
        </is>
      </c>
      <c r="B707" s="8" t="inlineStr">
        <is>
          <t>COVID-SNL-22-64048</t>
        </is>
      </c>
      <c r="C707" s="8" t="inlineStr">
        <is>
          <t>IPPAOWGRQ8</t>
        </is>
      </c>
      <c r="D707" s="7" t="n">
        <v>22</v>
      </c>
      <c r="E707" s="7" t="n">
        <v>708</v>
      </c>
      <c r="F707" s="7" t="inlineStr">
        <is>
          <t>No</t>
        </is>
      </c>
      <c r="G707" s="12" t="inlineStr">
        <is>
          <t>specimen also sequenced as PGCV_0023_0708</t>
        </is>
      </c>
    </row>
    <row r="708">
      <c r="A708" s="8" t="inlineStr">
        <is>
          <t>PGCV_0022_0709</t>
        </is>
      </c>
      <c r="B708" s="8" t="inlineStr">
        <is>
          <t>COVID-SNL-22-64097</t>
        </is>
      </c>
      <c r="C708" s="8" t="inlineStr">
        <is>
          <t>9KVVSNB9NG</t>
        </is>
      </c>
      <c r="D708" s="7" t="n">
        <v>22</v>
      </c>
      <c r="E708" s="7" t="n">
        <v>709</v>
      </c>
      <c r="F708" s="7" t="inlineStr">
        <is>
          <t>No</t>
        </is>
      </c>
      <c r="G708" s="12" t="inlineStr">
        <is>
          <t>specimen also sequenced as PGCV_0022_0792, PGCV_0023_0709</t>
        </is>
      </c>
    </row>
    <row r="709">
      <c r="A709" s="8" t="inlineStr">
        <is>
          <t>PGCV_0022_0710</t>
        </is>
      </c>
      <c r="B709" s="8" t="inlineStr">
        <is>
          <t>COVID-SNL-22-64133</t>
        </is>
      </c>
      <c r="C709" s="8" t="inlineStr">
        <is>
          <t>GIHCCVZWBB</t>
        </is>
      </c>
      <c r="D709" s="7" t="n">
        <v>22</v>
      </c>
      <c r="E709" s="7" t="n">
        <v>710</v>
      </c>
      <c r="F709" s="7" t="inlineStr">
        <is>
          <t>No</t>
        </is>
      </c>
      <c r="G709" s="12" t="inlineStr">
        <is>
          <t>specimen also sequenced as PGCV_0023_0710</t>
        </is>
      </c>
    </row>
    <row r="710">
      <c r="A710" s="8" t="inlineStr">
        <is>
          <t>PGCV_0022_0711</t>
        </is>
      </c>
      <c r="B710" s="8" t="inlineStr">
        <is>
          <t>COVID-SNL-22-64139</t>
        </is>
      </c>
      <c r="C710" s="8" t="inlineStr">
        <is>
          <t>KFQSZJFZST</t>
        </is>
      </c>
      <c r="D710" s="7" t="n">
        <v>22</v>
      </c>
      <c r="E710" s="7" t="n">
        <v>711</v>
      </c>
      <c r="F710" s="7" t="inlineStr">
        <is>
          <t>No</t>
        </is>
      </c>
      <c r="G710" s="12" t="inlineStr">
        <is>
          <t>specimen also sequenced as PGCV_0023_0711</t>
        </is>
      </c>
    </row>
    <row r="711">
      <c r="A711" s="8" t="inlineStr">
        <is>
          <t>PGCV_0022_0712</t>
        </is>
      </c>
      <c r="B711" s="8" t="inlineStr">
        <is>
          <t>COVID-SNL-22-64153</t>
        </is>
      </c>
      <c r="C711" s="8" t="inlineStr">
        <is>
          <t>JL7OVYKV4L</t>
        </is>
      </c>
      <c r="D711" s="7" t="n">
        <v>22</v>
      </c>
      <c r="E711" s="7" t="n">
        <v>712</v>
      </c>
      <c r="F711" s="7" t="inlineStr">
        <is>
          <t>No</t>
        </is>
      </c>
      <c r="G711" s="12" t="inlineStr">
        <is>
          <t>specimen also sequenced as PGCV_0023_0712</t>
        </is>
      </c>
    </row>
    <row r="712">
      <c r="A712" s="8" t="inlineStr">
        <is>
          <t>PGCV_0022_0713</t>
        </is>
      </c>
      <c r="B712" s="8" t="inlineStr">
        <is>
          <t>COVID-SNL-22-64155</t>
        </is>
      </c>
      <c r="C712" s="8" t="inlineStr">
        <is>
          <t>RMY2IX4AYR</t>
        </is>
      </c>
      <c r="D712" s="7" t="n">
        <v>22</v>
      </c>
      <c r="E712" s="7" t="n">
        <v>713</v>
      </c>
      <c r="F712" s="7" t="inlineStr">
        <is>
          <t>No</t>
        </is>
      </c>
      <c r="G712" s="12" t="inlineStr">
        <is>
          <t>specimen also sequenced as PGCV_0023_0713</t>
        </is>
      </c>
    </row>
    <row r="713">
      <c r="A713" s="8" t="inlineStr">
        <is>
          <t>PGCV_0022_0714</t>
        </is>
      </c>
      <c r="B713" s="8" t="inlineStr">
        <is>
          <t>COVID-SNL-22-64178</t>
        </is>
      </c>
      <c r="C713" s="8" t="inlineStr">
        <is>
          <t>GA9QR6VP4E</t>
        </is>
      </c>
      <c r="D713" s="7" t="n">
        <v>22</v>
      </c>
      <c r="E713" s="7" t="n">
        <v>714</v>
      </c>
      <c r="F713" s="7" t="inlineStr">
        <is>
          <t>No</t>
        </is>
      </c>
      <c r="G713" s="12" t="inlineStr">
        <is>
          <t>specimen also sequenced as PGCV_0023_0714</t>
        </is>
      </c>
    </row>
    <row r="714">
      <c r="A714" s="8" t="inlineStr">
        <is>
          <t>PGCV_0022_0715</t>
        </is>
      </c>
      <c r="B714" s="8" t="inlineStr">
        <is>
          <t>COVID-SNL-22-64116</t>
        </is>
      </c>
      <c r="C714" s="8" t="inlineStr">
        <is>
          <t>PJPFY3MNGO</t>
        </is>
      </c>
      <c r="D714" s="7" t="n">
        <v>22</v>
      </c>
      <c r="E714" s="7" t="n">
        <v>715</v>
      </c>
      <c r="F714" s="7" t="inlineStr">
        <is>
          <t>No</t>
        </is>
      </c>
      <c r="G714" s="12" t="inlineStr">
        <is>
          <t>specimen also sequenced as PGCV_0023_0715</t>
        </is>
      </c>
    </row>
    <row r="715">
      <c r="A715" s="8" t="inlineStr">
        <is>
          <t>PGCV_0022_0716</t>
        </is>
      </c>
      <c r="B715" s="8" t="inlineStr">
        <is>
          <t>COVID-SNL-22-64152</t>
        </is>
      </c>
      <c r="C715" s="8" t="inlineStr">
        <is>
          <t>4PYFJ2Q5WE</t>
        </is>
      </c>
      <c r="D715" s="7" t="n">
        <v>22</v>
      </c>
      <c r="E715" s="7" t="n">
        <v>716</v>
      </c>
      <c r="F715" s="7" t="inlineStr">
        <is>
          <t>No</t>
        </is>
      </c>
      <c r="G715" s="12" t="inlineStr">
        <is>
          <t>specimen also sequenced as PGCV_0023_0716</t>
        </is>
      </c>
    </row>
    <row r="716">
      <c r="A716" s="8" t="inlineStr">
        <is>
          <t>PGCV_0022_0717</t>
        </is>
      </c>
      <c r="B716" s="8" t="inlineStr">
        <is>
          <t>COVID-SNL-22-64273</t>
        </is>
      </c>
      <c r="C716" s="8" t="inlineStr">
        <is>
          <t>DFTKOY17PU</t>
        </is>
      </c>
      <c r="D716" s="7" t="n">
        <v>22</v>
      </c>
      <c r="E716" s="7" t="n">
        <v>717</v>
      </c>
      <c r="F716" s="7" t="inlineStr">
        <is>
          <t>No</t>
        </is>
      </c>
      <c r="G716" s="12" t="inlineStr">
        <is>
          <t>specimen also sequenced as PGCV_0023_0717</t>
        </is>
      </c>
    </row>
    <row r="717">
      <c r="A717" s="8" t="inlineStr">
        <is>
          <t>PGCV_0022_0718</t>
        </is>
      </c>
      <c r="B717" s="8" t="inlineStr">
        <is>
          <t>COVID-SNL-22-64394</t>
        </is>
      </c>
      <c r="C717" s="8" t="inlineStr">
        <is>
          <t>6TWPGIFBWT</t>
        </is>
      </c>
      <c r="D717" s="7" t="n">
        <v>22</v>
      </c>
      <c r="E717" s="7" t="n">
        <v>718</v>
      </c>
      <c r="F717" s="7" t="inlineStr">
        <is>
          <t>No</t>
        </is>
      </c>
      <c r="G717" s="12" t="inlineStr">
        <is>
          <t>specimen also sequenced as PGCV_0023_0718</t>
        </is>
      </c>
    </row>
    <row r="718">
      <c r="A718" s="8" t="inlineStr">
        <is>
          <t>PGCV_0022_0719</t>
        </is>
      </c>
      <c r="B718" s="8" t="inlineStr">
        <is>
          <t>COVID-SNL-22-64305</t>
        </is>
      </c>
      <c r="C718" s="8" t="inlineStr">
        <is>
          <t>TBS1NODMID</t>
        </is>
      </c>
      <c r="D718" s="7" t="n">
        <v>22</v>
      </c>
      <c r="E718" s="7" t="n">
        <v>719</v>
      </c>
      <c r="F718" s="7" t="inlineStr">
        <is>
          <t>No</t>
        </is>
      </c>
      <c r="G718" s="12" t="inlineStr">
        <is>
          <t>specimen also sequenced as PGCV_0023_0719</t>
        </is>
      </c>
    </row>
    <row r="719">
      <c r="A719" s="8" t="inlineStr">
        <is>
          <t>PGCV_0022_0720</t>
        </is>
      </c>
      <c r="B719" s="8" t="inlineStr">
        <is>
          <t>COVID-SNL-22-64306</t>
        </is>
      </c>
      <c r="C719" s="8" t="inlineStr">
        <is>
          <t>YVEGFKB428</t>
        </is>
      </c>
      <c r="D719" s="7" t="n">
        <v>22</v>
      </c>
      <c r="E719" s="7" t="n">
        <v>720</v>
      </c>
      <c r="F719" s="7" t="inlineStr">
        <is>
          <t>No</t>
        </is>
      </c>
      <c r="G719" s="12" t="inlineStr">
        <is>
          <t>specimen also sequenced as PGCV_0023_0720</t>
        </is>
      </c>
    </row>
    <row r="720">
      <c r="A720" s="8" t="inlineStr">
        <is>
          <t>PGCV_0022_0721</t>
        </is>
      </c>
      <c r="B720" s="8" t="inlineStr">
        <is>
          <t>COVID-SNL-22-64423</t>
        </is>
      </c>
      <c r="C720" s="8" t="inlineStr">
        <is>
          <t>G4ITUXWOXH</t>
        </is>
      </c>
      <c r="D720" s="7" t="n">
        <v>22</v>
      </c>
      <c r="E720" s="7" t="n">
        <v>721</v>
      </c>
      <c r="F720" s="7" t="inlineStr">
        <is>
          <t>No</t>
        </is>
      </c>
      <c r="G720" s="12" t="inlineStr">
        <is>
          <t>specimen also sequenced as PGCV_0023_0721</t>
        </is>
      </c>
    </row>
    <row r="721">
      <c r="A721" s="8" t="inlineStr">
        <is>
          <t>PGCV_0022_0722</t>
        </is>
      </c>
      <c r="B721" s="8" t="inlineStr">
        <is>
          <t>COVID-SNL-22-64474</t>
        </is>
      </c>
      <c r="C721" s="8" t="inlineStr">
        <is>
          <t>AZFTQ7GSSU</t>
        </is>
      </c>
      <c r="D721" s="7" t="n">
        <v>22</v>
      </c>
      <c r="E721" s="7" t="n">
        <v>722</v>
      </c>
      <c r="F721" s="7" t="inlineStr">
        <is>
          <t>No</t>
        </is>
      </c>
      <c r="G721" s="12" t="inlineStr">
        <is>
          <t>specimen also sequenced as PGCV_0023_0722</t>
        </is>
      </c>
    </row>
    <row r="722">
      <c r="A722" s="8" t="inlineStr">
        <is>
          <t>PGCV_0022_0723</t>
        </is>
      </c>
      <c r="B722" s="8" t="inlineStr">
        <is>
          <t>COVID-SNL-22-64512</t>
        </is>
      </c>
      <c r="C722" s="8" t="inlineStr">
        <is>
          <t>190LNQWXFO</t>
        </is>
      </c>
      <c r="D722" s="7" t="n">
        <v>22</v>
      </c>
      <c r="E722" s="7" t="n">
        <v>723</v>
      </c>
      <c r="F722" s="7" t="inlineStr">
        <is>
          <t>No</t>
        </is>
      </c>
      <c r="G722" s="12" t="inlineStr">
        <is>
          <t>specimen also sequenced as PGCV_0023_0723</t>
        </is>
      </c>
    </row>
    <row r="723">
      <c r="A723" s="8" t="inlineStr">
        <is>
          <t>PGCV_0022_0724</t>
        </is>
      </c>
      <c r="B723" s="8" t="inlineStr">
        <is>
          <t>COVID-SNL-22-64546</t>
        </is>
      </c>
      <c r="C723" s="8" t="inlineStr">
        <is>
          <t>5ZMPWIK9MM</t>
        </is>
      </c>
      <c r="D723" s="7" t="n">
        <v>22</v>
      </c>
      <c r="E723" s="7" t="n">
        <v>724</v>
      </c>
      <c r="F723" s="7" t="inlineStr">
        <is>
          <t>No</t>
        </is>
      </c>
      <c r="G723" s="12" t="inlineStr">
        <is>
          <t>specimen also sequenced as PGCV_0023_0724</t>
        </is>
      </c>
    </row>
    <row r="724">
      <c r="A724" s="8" t="inlineStr">
        <is>
          <t>PGCV_0022_0725</t>
        </is>
      </c>
      <c r="B724" s="8" t="inlineStr">
        <is>
          <t>COVID-SNL-22-64573</t>
        </is>
      </c>
      <c r="C724" s="8" t="inlineStr">
        <is>
          <t>2DHYV5W0NL</t>
        </is>
      </c>
      <c r="D724" s="7" t="n">
        <v>22</v>
      </c>
      <c r="E724" s="7" t="n">
        <v>725</v>
      </c>
      <c r="F724" s="7" t="inlineStr">
        <is>
          <t>No</t>
        </is>
      </c>
      <c r="G724" s="12" t="inlineStr">
        <is>
          <t>specimen also sequenced as PGCV_0023_0725</t>
        </is>
      </c>
    </row>
    <row r="725">
      <c r="A725" s="8" t="inlineStr">
        <is>
          <t>PGCV_0022_0726</t>
        </is>
      </c>
      <c r="B725" s="8" t="inlineStr">
        <is>
          <t>COVID-SNL-22-64575</t>
        </is>
      </c>
      <c r="C725" s="8" t="inlineStr">
        <is>
          <t>CWOR9WHAKW</t>
        </is>
      </c>
      <c r="D725" s="7" t="n">
        <v>22</v>
      </c>
      <c r="E725" s="7" t="n">
        <v>726</v>
      </c>
      <c r="F725" s="7" t="inlineStr">
        <is>
          <t>No</t>
        </is>
      </c>
      <c r="G725" s="12" t="inlineStr">
        <is>
          <t>specimen also sequenced as PGCV_0023_0726</t>
        </is>
      </c>
    </row>
    <row r="726">
      <c r="A726" s="8" t="inlineStr">
        <is>
          <t>PGCV_0022_0727</t>
        </is>
      </c>
      <c r="B726" s="8" t="inlineStr">
        <is>
          <t>COVID-SNL-22-64576</t>
        </is>
      </c>
      <c r="C726" s="8" t="inlineStr">
        <is>
          <t>PBYGH95QKW</t>
        </is>
      </c>
      <c r="D726" s="7" t="n">
        <v>22</v>
      </c>
      <c r="E726" s="7" t="n">
        <v>727</v>
      </c>
      <c r="F726" s="7" t="inlineStr">
        <is>
          <t>No</t>
        </is>
      </c>
      <c r="G726" s="12" t="inlineStr">
        <is>
          <t>specimen also sequenced as PGCV_0023_0727</t>
        </is>
      </c>
    </row>
    <row r="727">
      <c r="A727" s="8" t="inlineStr">
        <is>
          <t>PGCV_0022_0728</t>
        </is>
      </c>
      <c r="B727" s="8" t="inlineStr">
        <is>
          <t>COVID-SNL-22-64584</t>
        </is>
      </c>
      <c r="C727" s="8" t="inlineStr">
        <is>
          <t>F8PUDPD23G</t>
        </is>
      </c>
      <c r="D727" s="7" t="n">
        <v>22</v>
      </c>
      <c r="E727" s="7" t="n">
        <v>728</v>
      </c>
      <c r="F727" s="7" t="inlineStr">
        <is>
          <t>No</t>
        </is>
      </c>
      <c r="G727" s="12" t="inlineStr">
        <is>
          <t>specimen also sequenced as PGCV_0023_0728</t>
        </is>
      </c>
    </row>
    <row r="728">
      <c r="A728" s="8" t="inlineStr">
        <is>
          <t>PGCV_0022_0729</t>
        </is>
      </c>
      <c r="B728" s="8" t="inlineStr">
        <is>
          <t>COVID-SNL-22-64657</t>
        </is>
      </c>
      <c r="C728" s="8" t="inlineStr">
        <is>
          <t>HUEBVBJEE5</t>
        </is>
      </c>
      <c r="D728" s="7" t="n">
        <v>22</v>
      </c>
      <c r="E728" s="7" t="n">
        <v>729</v>
      </c>
      <c r="F728" s="7" t="inlineStr">
        <is>
          <t>No</t>
        </is>
      </c>
      <c r="G728" s="12" t="inlineStr">
        <is>
          <t>specimen also sequenced as PGCV_0023_0729</t>
        </is>
      </c>
    </row>
    <row r="729">
      <c r="A729" s="8" t="inlineStr">
        <is>
          <t>PGCV_0022_0730</t>
        </is>
      </c>
      <c r="B729" s="8" t="inlineStr">
        <is>
          <t>COVID-SNL-22-64658</t>
        </is>
      </c>
      <c r="C729" s="8" t="inlineStr">
        <is>
          <t>ILPSVBLGD5</t>
        </is>
      </c>
      <c r="D729" s="7" t="n">
        <v>22</v>
      </c>
      <c r="E729" s="7" t="n">
        <v>730</v>
      </c>
      <c r="F729" s="7" t="inlineStr">
        <is>
          <t>No</t>
        </is>
      </c>
      <c r="G729" s="12" t="inlineStr">
        <is>
          <t>specimen also sequenced as PGCV_0023_0730</t>
        </is>
      </c>
    </row>
    <row r="730">
      <c r="A730" s="8" t="inlineStr">
        <is>
          <t>PGCV_0022_0731</t>
        </is>
      </c>
      <c r="B730" s="8" t="inlineStr">
        <is>
          <t>COVID-SNL-22-64661</t>
        </is>
      </c>
      <c r="C730" s="8" t="inlineStr">
        <is>
          <t>X8TRFEUKAD</t>
        </is>
      </c>
      <c r="D730" s="7" t="n">
        <v>22</v>
      </c>
      <c r="E730" s="7" t="n">
        <v>731</v>
      </c>
      <c r="F730" s="7" t="inlineStr">
        <is>
          <t>No</t>
        </is>
      </c>
      <c r="G730" s="12" t="inlineStr">
        <is>
          <t>specimen also sequenced as PGCV_0023_0731</t>
        </is>
      </c>
    </row>
    <row r="731">
      <c r="A731" s="8" t="inlineStr">
        <is>
          <t>PGCV_0022_0732</t>
        </is>
      </c>
      <c r="B731" s="8" t="inlineStr">
        <is>
          <t>COVID-SNL-22-64744</t>
        </is>
      </c>
      <c r="C731" s="8" t="inlineStr">
        <is>
          <t>C8LDACWS1N</t>
        </is>
      </c>
      <c r="D731" s="7" t="n">
        <v>22</v>
      </c>
      <c r="E731" s="7" t="n">
        <v>732</v>
      </c>
      <c r="F731" s="7" t="inlineStr">
        <is>
          <t>No</t>
        </is>
      </c>
      <c r="G731" s="12" t="inlineStr">
        <is>
          <t>specimen also sequenced as PGCV_0023_0732</t>
        </is>
      </c>
    </row>
    <row r="732">
      <c r="A732" s="8" t="inlineStr">
        <is>
          <t>PGCV_0022_0733</t>
        </is>
      </c>
      <c r="B732" s="8" t="inlineStr">
        <is>
          <t>COVID-SNL-22-64748</t>
        </is>
      </c>
      <c r="C732" s="8" t="inlineStr">
        <is>
          <t>CCAESCRBIZ</t>
        </is>
      </c>
      <c r="D732" s="7" t="n">
        <v>22</v>
      </c>
      <c r="E732" s="7" t="n">
        <v>733</v>
      </c>
      <c r="F732" s="7" t="inlineStr">
        <is>
          <t>No</t>
        </is>
      </c>
      <c r="G732" s="12" t="inlineStr">
        <is>
          <t>specimen also sequenced as PGCV_0023_0733</t>
        </is>
      </c>
    </row>
    <row r="733">
      <c r="A733" s="8" t="inlineStr">
        <is>
          <t>PGCV_0022_0734</t>
        </is>
      </c>
      <c r="B733" s="8" t="inlineStr">
        <is>
          <t>COVID-SNL-22-64789</t>
        </is>
      </c>
      <c r="C733" s="8" t="inlineStr">
        <is>
          <t>4ZJAFDHKE7</t>
        </is>
      </c>
      <c r="D733" s="7" t="n">
        <v>22</v>
      </c>
      <c r="E733" s="7" t="n">
        <v>734</v>
      </c>
      <c r="F733" s="7" t="inlineStr">
        <is>
          <t>No</t>
        </is>
      </c>
      <c r="G733" s="12" t="inlineStr">
        <is>
          <t>specimen also sequenced as PGCV_0023_0734</t>
        </is>
      </c>
    </row>
    <row r="734">
      <c r="A734" s="8" t="inlineStr">
        <is>
          <t>PGCV_0022_0735</t>
        </is>
      </c>
      <c r="B734" s="8" t="inlineStr">
        <is>
          <t>COVID-SNL-22-64884</t>
        </is>
      </c>
      <c r="C734" s="8" t="inlineStr">
        <is>
          <t>UGZX35ZASM</t>
        </is>
      </c>
      <c r="D734" s="7" t="n">
        <v>22</v>
      </c>
      <c r="E734" s="7" t="n">
        <v>735</v>
      </c>
      <c r="F734" s="7" t="inlineStr">
        <is>
          <t>No</t>
        </is>
      </c>
      <c r="G734" s="12" t="inlineStr">
        <is>
          <t>specimen also sequenced as PGCV_0023_0735</t>
        </is>
      </c>
    </row>
    <row r="735">
      <c r="A735" s="8" t="inlineStr">
        <is>
          <t>PGCV_0022_0736</t>
        </is>
      </c>
      <c r="B735" s="8" t="inlineStr">
        <is>
          <t>COVID-SNL-22-64892</t>
        </is>
      </c>
      <c r="C735" s="8" t="inlineStr">
        <is>
          <t>KHGBZFZINX</t>
        </is>
      </c>
      <c r="D735" s="7" t="n">
        <v>22</v>
      </c>
      <c r="E735" s="7" t="n">
        <v>736</v>
      </c>
      <c r="F735" s="7" t="inlineStr">
        <is>
          <t>No</t>
        </is>
      </c>
      <c r="G735" s="12" t="inlineStr">
        <is>
          <t>specimen also sequenced as PGCV_0023_0736</t>
        </is>
      </c>
    </row>
    <row r="736">
      <c r="A736" s="8" t="inlineStr">
        <is>
          <t>PGCV_0022_0737</t>
        </is>
      </c>
      <c r="B736" s="8" t="inlineStr">
        <is>
          <t>COVID-SNL-22-64893</t>
        </is>
      </c>
      <c r="C736" s="8" t="inlineStr">
        <is>
          <t>EE9SMVIJG9</t>
        </is>
      </c>
      <c r="D736" s="7" t="n">
        <v>22</v>
      </c>
      <c r="E736" s="7" t="n">
        <v>737</v>
      </c>
      <c r="F736" s="7" t="inlineStr">
        <is>
          <t>No</t>
        </is>
      </c>
      <c r="G736" s="12" t="inlineStr">
        <is>
          <t>specimen also sequenced as PGCV_0023_0737</t>
        </is>
      </c>
    </row>
    <row r="737">
      <c r="A737" s="8" t="inlineStr">
        <is>
          <t>PGCV_0022_0738</t>
        </is>
      </c>
      <c r="B737" s="8" t="inlineStr">
        <is>
          <t>COVID-SNL-22-64894</t>
        </is>
      </c>
      <c r="C737" s="8" t="inlineStr">
        <is>
          <t>LI22BDVFHI</t>
        </is>
      </c>
      <c r="D737" s="7" t="n">
        <v>22</v>
      </c>
      <c r="E737" s="7" t="n">
        <v>738</v>
      </c>
      <c r="F737" s="7" t="inlineStr">
        <is>
          <t>No</t>
        </is>
      </c>
      <c r="G737" s="12" t="inlineStr">
        <is>
          <t>specimen also sequenced as PGCV_0023_0738</t>
        </is>
      </c>
    </row>
    <row r="738">
      <c r="A738" s="8" t="inlineStr">
        <is>
          <t>PGCV_0022_0739</t>
        </is>
      </c>
      <c r="B738" s="8" t="inlineStr">
        <is>
          <t>COVID-SNL-22-64846</t>
        </is>
      </c>
      <c r="C738" s="8" t="inlineStr">
        <is>
          <t>XQ7UMPGBCT</t>
        </is>
      </c>
      <c r="D738" s="7" t="n">
        <v>22</v>
      </c>
      <c r="E738" s="7" t="n">
        <v>739</v>
      </c>
      <c r="F738" s="7" t="inlineStr">
        <is>
          <t>No</t>
        </is>
      </c>
      <c r="G738" s="12" t="inlineStr">
        <is>
          <t>specimen also sequenced as PGCV_0023_0739</t>
        </is>
      </c>
    </row>
    <row r="739">
      <c r="A739" s="8" t="inlineStr">
        <is>
          <t>PGCV_0022_0740</t>
        </is>
      </c>
      <c r="B739" s="8" t="inlineStr">
        <is>
          <t>COVID-SNL-22-64847</t>
        </is>
      </c>
      <c r="C739" s="8" t="inlineStr">
        <is>
          <t>6KN1QRLWVN</t>
        </is>
      </c>
      <c r="D739" s="7" t="n">
        <v>22</v>
      </c>
      <c r="E739" s="7" t="n">
        <v>740</v>
      </c>
      <c r="F739" s="7" t="inlineStr">
        <is>
          <t>No</t>
        </is>
      </c>
      <c r="G739" s="12" t="inlineStr">
        <is>
          <t>specimen also sequenced as PGCV_0023_0740</t>
        </is>
      </c>
    </row>
    <row r="740">
      <c r="A740" s="8" t="inlineStr">
        <is>
          <t>PGCV_0022_0741</t>
        </is>
      </c>
      <c r="B740" s="8" t="inlineStr">
        <is>
          <t>COVID-SNL-22-64848</t>
        </is>
      </c>
      <c r="C740" s="8" t="inlineStr">
        <is>
          <t>5JCSYAYJGQ</t>
        </is>
      </c>
      <c r="D740" s="7" t="n">
        <v>22</v>
      </c>
      <c r="E740" s="7" t="n">
        <v>741</v>
      </c>
      <c r="F740" s="7" t="inlineStr">
        <is>
          <t>No</t>
        </is>
      </c>
      <c r="G740" s="12" t="inlineStr">
        <is>
          <t>specimen also sequenced as PGCV_0023_0741</t>
        </is>
      </c>
    </row>
    <row r="741">
      <c r="A741" s="8" t="inlineStr">
        <is>
          <t>PGCV_0022_0742</t>
        </is>
      </c>
      <c r="B741" s="8" t="inlineStr">
        <is>
          <t>COVID-SNL-22-64849</t>
        </is>
      </c>
      <c r="C741" s="8" t="inlineStr">
        <is>
          <t>L3HFZYRZRW</t>
        </is>
      </c>
      <c r="D741" s="7" t="n">
        <v>22</v>
      </c>
      <c r="E741" s="7" t="n">
        <v>742</v>
      </c>
      <c r="F741" s="7" t="inlineStr">
        <is>
          <t>No</t>
        </is>
      </c>
      <c r="G741" s="12" t="inlineStr">
        <is>
          <t>specimen also sequenced as PGCV_0023_0742</t>
        </is>
      </c>
    </row>
    <row r="742">
      <c r="A742" s="8" t="inlineStr">
        <is>
          <t>PGCV_0022_0743</t>
        </is>
      </c>
      <c r="B742" s="8" t="inlineStr">
        <is>
          <t>COVID-SNL-22-64878</t>
        </is>
      </c>
      <c r="C742" s="8" t="inlineStr">
        <is>
          <t>CMXQGP6CJY</t>
        </is>
      </c>
      <c r="D742" s="7" t="n">
        <v>22</v>
      </c>
      <c r="E742" s="7" t="n">
        <v>743</v>
      </c>
      <c r="F742" s="7" t="inlineStr">
        <is>
          <t>No</t>
        </is>
      </c>
      <c r="G742" s="12" t="inlineStr">
        <is>
          <t>specimen also sequenced as PGCV_0023_0743</t>
        </is>
      </c>
    </row>
    <row r="743">
      <c r="A743" s="8" t="inlineStr">
        <is>
          <t>PGCV_0022_0744</t>
        </is>
      </c>
      <c r="B743" s="8" t="inlineStr">
        <is>
          <t>COVID-SNL-22-64935</t>
        </is>
      </c>
      <c r="C743" s="8" t="inlineStr">
        <is>
          <t>SKYR7P4QS4</t>
        </is>
      </c>
      <c r="D743" s="7" t="n">
        <v>22</v>
      </c>
      <c r="E743" s="7" t="n">
        <v>744</v>
      </c>
      <c r="F743" s="7" t="inlineStr">
        <is>
          <t>No</t>
        </is>
      </c>
      <c r="G743" s="12" t="inlineStr">
        <is>
          <t>specimen also sequenced as PGCV_0023_0744</t>
        </is>
      </c>
    </row>
    <row r="744">
      <c r="A744" s="8" t="inlineStr">
        <is>
          <t>PGCV_0022_0745</t>
        </is>
      </c>
      <c r="B744" s="8" t="inlineStr">
        <is>
          <t>COVID-SNL-22-64963</t>
        </is>
      </c>
      <c r="C744" s="8" t="inlineStr">
        <is>
          <t>OAJQCBAP37</t>
        </is>
      </c>
      <c r="D744" s="7" t="n">
        <v>22</v>
      </c>
      <c r="E744" s="7" t="n">
        <v>745</v>
      </c>
      <c r="F744" s="7" t="inlineStr">
        <is>
          <t>No</t>
        </is>
      </c>
      <c r="G744" s="12" t="inlineStr">
        <is>
          <t>specimen also sequenced as PGCV_0023_0745</t>
        </is>
      </c>
    </row>
    <row r="745">
      <c r="A745" s="8" t="inlineStr">
        <is>
          <t>PGCV_0022_0746</t>
        </is>
      </c>
      <c r="B745" s="8" t="inlineStr">
        <is>
          <t>COVID-SNL-22-64964</t>
        </is>
      </c>
      <c r="C745" s="8" t="inlineStr">
        <is>
          <t>1PZLT6B6YP</t>
        </is>
      </c>
      <c r="D745" s="7" t="n">
        <v>22</v>
      </c>
      <c r="E745" s="7" t="n">
        <v>746</v>
      </c>
      <c r="F745" s="7" t="inlineStr">
        <is>
          <t>No</t>
        </is>
      </c>
      <c r="G745" s="12" t="inlineStr">
        <is>
          <t>specimen also sequenced as PGCV_0023_0746</t>
        </is>
      </c>
    </row>
    <row r="746">
      <c r="A746" s="8" t="inlineStr">
        <is>
          <t>PGCV_0022_0747</t>
        </is>
      </c>
      <c r="B746" s="8" t="inlineStr">
        <is>
          <t>COVID-SNL-22-64981</t>
        </is>
      </c>
      <c r="C746" s="8" t="inlineStr">
        <is>
          <t>72LZED9LOU</t>
        </is>
      </c>
      <c r="D746" s="7" t="n">
        <v>22</v>
      </c>
      <c r="E746" s="7" t="n">
        <v>747</v>
      </c>
      <c r="F746" s="7" t="inlineStr">
        <is>
          <t>No</t>
        </is>
      </c>
      <c r="G746" s="12" t="inlineStr">
        <is>
          <t>specimen also sequenced as PGCV_0023_0747</t>
        </is>
      </c>
    </row>
    <row r="747">
      <c r="A747" s="8" t="inlineStr">
        <is>
          <t>PGCV_0022_0748</t>
        </is>
      </c>
      <c r="B747" s="8" t="inlineStr">
        <is>
          <t>COVID-SNL-22-64990</t>
        </is>
      </c>
      <c r="C747" s="8" t="inlineStr">
        <is>
          <t>ZNH5JC09IR</t>
        </is>
      </c>
      <c r="D747" s="7" t="n">
        <v>22</v>
      </c>
      <c r="E747" s="7" t="n">
        <v>748</v>
      </c>
      <c r="F747" s="7" t="inlineStr">
        <is>
          <t>No</t>
        </is>
      </c>
      <c r="G747" s="12" t="inlineStr">
        <is>
          <t>specimen also sequenced as PGCV_0023_0748</t>
        </is>
      </c>
    </row>
    <row r="748">
      <c r="A748" s="8" t="inlineStr">
        <is>
          <t>PGCV_0022_0749</t>
        </is>
      </c>
      <c r="B748" s="8" t="inlineStr">
        <is>
          <t>COVID-SNL-22-65090</t>
        </is>
      </c>
      <c r="C748" s="8" t="inlineStr">
        <is>
          <t>TX05ECFWAX</t>
        </is>
      </c>
      <c r="D748" s="7" t="n">
        <v>22</v>
      </c>
      <c r="E748" s="7" t="n">
        <v>749</v>
      </c>
      <c r="F748" s="7" t="inlineStr">
        <is>
          <t>No</t>
        </is>
      </c>
      <c r="G748" s="12" t="inlineStr">
        <is>
          <t>specimen also sequenced as PGCV_0023_0749</t>
        </is>
      </c>
    </row>
    <row r="749">
      <c r="A749" s="8" t="inlineStr">
        <is>
          <t>PGCV_0022_0750</t>
        </is>
      </c>
      <c r="B749" s="8" t="inlineStr">
        <is>
          <t>COVID-SNL-22-65093</t>
        </is>
      </c>
      <c r="C749" s="8" t="inlineStr">
        <is>
          <t>LL7XQR93TU</t>
        </is>
      </c>
      <c r="D749" s="7" t="n">
        <v>22</v>
      </c>
      <c r="E749" s="7" t="n">
        <v>750</v>
      </c>
      <c r="F749" s="7" t="inlineStr">
        <is>
          <t>No</t>
        </is>
      </c>
      <c r="G749" s="12" t="inlineStr">
        <is>
          <t>specimen also sequenced as PGCV_0023_0750</t>
        </is>
      </c>
    </row>
    <row r="750">
      <c r="A750" s="8" t="inlineStr">
        <is>
          <t>PGCV_0022_0751</t>
        </is>
      </c>
      <c r="B750" s="8" t="inlineStr">
        <is>
          <t>COVID-SNL-22-65142</t>
        </is>
      </c>
      <c r="C750" s="8" t="inlineStr">
        <is>
          <t>YQDHDZYXRB</t>
        </is>
      </c>
      <c r="D750" s="7" t="n">
        <v>22</v>
      </c>
      <c r="E750" s="7" t="n">
        <v>751</v>
      </c>
      <c r="F750" s="7" t="inlineStr">
        <is>
          <t>No</t>
        </is>
      </c>
      <c r="G750" s="12" t="inlineStr">
        <is>
          <t>specimen also sequenced as PGCV_0023_0751</t>
        </is>
      </c>
    </row>
    <row r="751">
      <c r="A751" s="8" t="inlineStr">
        <is>
          <t>PGCV_0022_0752</t>
        </is>
      </c>
      <c r="B751" s="8" t="inlineStr">
        <is>
          <t>COVID-SNL-22-65159</t>
        </is>
      </c>
      <c r="C751" s="8" t="inlineStr">
        <is>
          <t>ZAOKCZ90CG</t>
        </is>
      </c>
      <c r="D751" s="7" t="n">
        <v>22</v>
      </c>
      <c r="E751" s="7" t="n">
        <v>752</v>
      </c>
      <c r="F751" s="7" t="inlineStr">
        <is>
          <t>No</t>
        </is>
      </c>
      <c r="G751" s="12" t="inlineStr">
        <is>
          <t>specimen also sequenced as PGCV_0023_0752</t>
        </is>
      </c>
    </row>
    <row r="752">
      <c r="A752" s="8" t="inlineStr">
        <is>
          <t>PGCV_0022_0753</t>
        </is>
      </c>
      <c r="B752" s="8" t="inlineStr">
        <is>
          <t>COVID-SNL-22-65161</t>
        </is>
      </c>
      <c r="C752" s="8" t="inlineStr">
        <is>
          <t>HAJ1SQ6KCA</t>
        </is>
      </c>
      <c r="D752" s="7" t="n">
        <v>22</v>
      </c>
      <c r="E752" s="7" t="n">
        <v>753</v>
      </c>
      <c r="F752" s="7" t="inlineStr">
        <is>
          <t>No</t>
        </is>
      </c>
      <c r="G752" s="12" t="inlineStr">
        <is>
          <t>specimen also sequenced as PGCV_0023_0753</t>
        </is>
      </c>
    </row>
    <row r="753">
      <c r="A753" s="8" t="inlineStr">
        <is>
          <t>PGCV_0022_0754</t>
        </is>
      </c>
      <c r="B753" s="8" t="inlineStr">
        <is>
          <t>COVID-SNL-22-65162</t>
        </is>
      </c>
      <c r="C753" s="8" t="inlineStr">
        <is>
          <t>K4CCY60HWR</t>
        </is>
      </c>
      <c r="D753" s="7" t="n">
        <v>22</v>
      </c>
      <c r="E753" s="7" t="n">
        <v>754</v>
      </c>
      <c r="F753" s="7" t="inlineStr">
        <is>
          <t>No</t>
        </is>
      </c>
      <c r="G753" s="12" t="inlineStr">
        <is>
          <t>specimen also sequenced as PGCV_0023_0754</t>
        </is>
      </c>
    </row>
    <row r="754">
      <c r="A754" s="8" t="inlineStr">
        <is>
          <t>PGCV_0022_0755</t>
        </is>
      </c>
      <c r="B754" s="8" t="inlineStr">
        <is>
          <t>COVID-SNL-22-65165</t>
        </is>
      </c>
      <c r="C754" s="8" t="inlineStr">
        <is>
          <t>GA94AZRUJF</t>
        </is>
      </c>
      <c r="D754" s="7" t="n">
        <v>22</v>
      </c>
      <c r="E754" s="7" t="n">
        <v>755</v>
      </c>
      <c r="F754" s="7" t="inlineStr">
        <is>
          <t>No</t>
        </is>
      </c>
      <c r="G754" s="12" t="inlineStr">
        <is>
          <t>specimen also sequenced as PGCV_0023_0755</t>
        </is>
      </c>
    </row>
    <row r="755">
      <c r="A755" s="8" t="inlineStr">
        <is>
          <t>PGCV_0022_0756</t>
        </is>
      </c>
      <c r="B755" s="8" t="inlineStr">
        <is>
          <t>COVID-SNL-22-65197</t>
        </is>
      </c>
      <c r="C755" s="8" t="inlineStr">
        <is>
          <t>O2RBN8H17W</t>
        </is>
      </c>
      <c r="D755" s="7" t="n">
        <v>22</v>
      </c>
      <c r="E755" s="7" t="n">
        <v>756</v>
      </c>
      <c r="F755" s="7" t="inlineStr">
        <is>
          <t>No</t>
        </is>
      </c>
      <c r="G755" s="12" t="inlineStr">
        <is>
          <t>specimen also sequenced as PGCV_0023_0756</t>
        </is>
      </c>
    </row>
    <row r="756">
      <c r="A756" s="8" t="inlineStr">
        <is>
          <t>PGCV_0022_0757</t>
        </is>
      </c>
      <c r="B756" s="8" t="inlineStr">
        <is>
          <t>COVID-SNL-22-65200</t>
        </is>
      </c>
      <c r="C756" s="8" t="inlineStr">
        <is>
          <t>NMKT0ZQFE6</t>
        </is>
      </c>
      <c r="D756" s="7" t="n">
        <v>22</v>
      </c>
      <c r="E756" s="7" t="n">
        <v>757</v>
      </c>
      <c r="F756" s="7" t="inlineStr">
        <is>
          <t>No</t>
        </is>
      </c>
      <c r="G756" s="12" t="inlineStr">
        <is>
          <t>specimen also sequenced as PGCV_0023_0757</t>
        </is>
      </c>
    </row>
    <row r="757">
      <c r="A757" s="8" t="inlineStr">
        <is>
          <t>PGCV_0022_0758</t>
        </is>
      </c>
      <c r="B757" s="8" t="inlineStr">
        <is>
          <t>COVID-SNL-22-65206</t>
        </is>
      </c>
      <c r="C757" s="8" t="inlineStr">
        <is>
          <t>4P3PN51PC2</t>
        </is>
      </c>
      <c r="D757" s="7" t="n">
        <v>22</v>
      </c>
      <c r="E757" s="7" t="n">
        <v>758</v>
      </c>
      <c r="F757" s="7" t="inlineStr">
        <is>
          <t>No</t>
        </is>
      </c>
      <c r="G757" s="12" t="inlineStr">
        <is>
          <t>specimen also sequenced as PGCV_0023_0758</t>
        </is>
      </c>
    </row>
    <row r="758">
      <c r="A758" s="8" t="inlineStr">
        <is>
          <t>PGCV_0022_0759</t>
        </is>
      </c>
      <c r="B758" s="8" t="inlineStr">
        <is>
          <t>COVID-SNL-22-65215</t>
        </is>
      </c>
      <c r="C758" s="8" t="inlineStr">
        <is>
          <t>GZLCD7UGXV</t>
        </is>
      </c>
      <c r="D758" s="7" t="n">
        <v>22</v>
      </c>
      <c r="E758" s="7" t="n">
        <v>759</v>
      </c>
      <c r="F758" s="7" t="inlineStr">
        <is>
          <t>No</t>
        </is>
      </c>
      <c r="G758" s="12" t="inlineStr">
        <is>
          <t>specimen also sequenced as PGCV_0023_0759</t>
        </is>
      </c>
    </row>
    <row r="759">
      <c r="A759" s="8" t="inlineStr">
        <is>
          <t>PGCV_0022_0760</t>
        </is>
      </c>
      <c r="B759" s="8" t="inlineStr">
        <is>
          <t>COVID-SNL-22-65216</t>
        </is>
      </c>
      <c r="C759" s="8" t="inlineStr">
        <is>
          <t>74VLPGNOBJ</t>
        </is>
      </c>
      <c r="D759" s="7" t="n">
        <v>22</v>
      </c>
      <c r="E759" s="7" t="n">
        <v>760</v>
      </c>
      <c r="F759" s="7" t="inlineStr">
        <is>
          <t>No</t>
        </is>
      </c>
      <c r="G759" s="12" t="inlineStr">
        <is>
          <t>specimen also sequenced as PGCV_0023_0760</t>
        </is>
      </c>
    </row>
    <row r="760">
      <c r="A760" s="8" t="inlineStr">
        <is>
          <t>PGCV_0022_0761</t>
        </is>
      </c>
      <c r="B760" s="8" t="inlineStr">
        <is>
          <t>COVID-SNL-22-65217</t>
        </is>
      </c>
      <c r="C760" s="8" t="inlineStr">
        <is>
          <t>RUQUYEFWVH</t>
        </is>
      </c>
      <c r="D760" s="7" t="n">
        <v>22</v>
      </c>
      <c r="E760" s="7" t="n">
        <v>761</v>
      </c>
      <c r="F760" s="7" t="inlineStr">
        <is>
          <t>No</t>
        </is>
      </c>
      <c r="G760" s="12" t="inlineStr">
        <is>
          <t>specimen also sequenced as PGCV_0023_0761</t>
        </is>
      </c>
    </row>
    <row r="761">
      <c r="A761" s="8" t="inlineStr">
        <is>
          <t>PGCV_0022_0762</t>
        </is>
      </c>
      <c r="B761" s="8" t="inlineStr">
        <is>
          <t>COVID-SNL-22-65293</t>
        </is>
      </c>
      <c r="C761" s="8" t="inlineStr">
        <is>
          <t>SURMN0HZN7</t>
        </is>
      </c>
      <c r="D761" s="7" t="n">
        <v>22</v>
      </c>
      <c r="E761" s="7" t="n">
        <v>762</v>
      </c>
      <c r="F761" s="7" t="inlineStr">
        <is>
          <t>No</t>
        </is>
      </c>
      <c r="G761" s="12" t="inlineStr">
        <is>
          <t>specimen also sequenced as PGCV_0023_0762</t>
        </is>
      </c>
    </row>
    <row r="762">
      <c r="A762" s="8" t="inlineStr">
        <is>
          <t>PGCV_0022_0763</t>
        </is>
      </c>
      <c r="B762" s="8" t="inlineStr">
        <is>
          <t>COVID-SNL-22-65365</t>
        </is>
      </c>
      <c r="C762" s="8" t="inlineStr">
        <is>
          <t>H16CE6LKC3</t>
        </is>
      </c>
      <c r="D762" s="7" t="n">
        <v>22</v>
      </c>
      <c r="E762" s="7" t="n">
        <v>763</v>
      </c>
      <c r="F762" s="7" t="inlineStr">
        <is>
          <t>No</t>
        </is>
      </c>
      <c r="G762" s="12" t="inlineStr">
        <is>
          <t>specimen also sequenced as PGCV_0023_0763</t>
        </is>
      </c>
    </row>
    <row r="763">
      <c r="A763" s="8" t="inlineStr">
        <is>
          <t>PGCV_0022_0764</t>
        </is>
      </c>
      <c r="B763" s="8" t="inlineStr">
        <is>
          <t>COVID-SNL-22-65443</t>
        </is>
      </c>
      <c r="C763" s="8" t="inlineStr">
        <is>
          <t>CZAGTUIJFP</t>
        </is>
      </c>
      <c r="D763" s="7" t="n">
        <v>22</v>
      </c>
      <c r="E763" s="7" t="n">
        <v>764</v>
      </c>
      <c r="F763" s="7" t="inlineStr">
        <is>
          <t>No</t>
        </is>
      </c>
      <c r="G763" s="12" t="inlineStr">
        <is>
          <t>specimen also sequenced as PGCV_0023_0764</t>
        </is>
      </c>
    </row>
    <row r="764">
      <c r="A764" s="8" t="inlineStr">
        <is>
          <t>PGCV_0022_0765</t>
        </is>
      </c>
      <c r="B764" s="8" t="inlineStr">
        <is>
          <t>COVID-SNL-22-65444</t>
        </is>
      </c>
      <c r="C764" s="8" t="inlineStr">
        <is>
          <t>TZBO3LGQTJ</t>
        </is>
      </c>
      <c r="D764" s="7" t="n">
        <v>22</v>
      </c>
      <c r="E764" s="7" t="n">
        <v>765</v>
      </c>
      <c r="F764" s="7" t="inlineStr">
        <is>
          <t>No</t>
        </is>
      </c>
      <c r="G764" s="12" t="inlineStr">
        <is>
          <t>specimen also sequenced as PGCV_0023_0765</t>
        </is>
      </c>
    </row>
    <row r="765">
      <c r="A765" s="8" t="inlineStr">
        <is>
          <t>PGCV_0022_0766</t>
        </is>
      </c>
      <c r="B765" s="8" t="inlineStr">
        <is>
          <t>COVID-SNL-22-65488</t>
        </is>
      </c>
      <c r="C765" s="8" t="inlineStr">
        <is>
          <t>BBIY9YUFAW</t>
        </is>
      </c>
      <c r="D765" s="7" t="n">
        <v>22</v>
      </c>
      <c r="E765" s="7" t="n">
        <v>766</v>
      </c>
      <c r="F765" s="7" t="inlineStr">
        <is>
          <t>No</t>
        </is>
      </c>
      <c r="G765" s="12" t="inlineStr">
        <is>
          <t>specimen also sequenced as PGCV_0023_0766</t>
        </is>
      </c>
    </row>
    <row r="766">
      <c r="A766" s="8" t="inlineStr">
        <is>
          <t>PGCV_0022_0767</t>
        </is>
      </c>
      <c r="B766" s="8" t="inlineStr">
        <is>
          <t>COVID-SNL-22-65489</t>
        </is>
      </c>
      <c r="C766" s="8" t="inlineStr">
        <is>
          <t>B4CTRHYQOR</t>
        </is>
      </c>
      <c r="D766" s="7" t="n">
        <v>22</v>
      </c>
      <c r="E766" s="7" t="n">
        <v>767</v>
      </c>
      <c r="F766" s="7" t="inlineStr">
        <is>
          <t>No</t>
        </is>
      </c>
      <c r="G766" s="12" t="inlineStr">
        <is>
          <t>specimen also sequenced as PGCV_0023_0767</t>
        </is>
      </c>
    </row>
    <row r="767">
      <c r="A767" s="8" t="inlineStr">
        <is>
          <t>PGCV_0022_0768</t>
        </is>
      </c>
      <c r="B767" s="8" t="inlineStr">
        <is>
          <t>COVID-SNL-22-65490</t>
        </is>
      </c>
      <c r="C767" s="8" t="inlineStr">
        <is>
          <t>MBN01VV7FZ</t>
        </is>
      </c>
      <c r="D767" s="7" t="n">
        <v>22</v>
      </c>
      <c r="E767" s="7" t="n">
        <v>768</v>
      </c>
      <c r="F767" s="7" t="inlineStr">
        <is>
          <t>No</t>
        </is>
      </c>
      <c r="G767" s="12" t="inlineStr">
        <is>
          <t>specimen also sequenced as PGCV_0023_0768</t>
        </is>
      </c>
    </row>
    <row r="768">
      <c r="A768" s="8" t="inlineStr">
        <is>
          <t>PGCV_0022_0769</t>
        </is>
      </c>
      <c r="B768" s="8" t="inlineStr">
        <is>
          <t>COVID-SNL-22-65491</t>
        </is>
      </c>
      <c r="C768" s="8" t="inlineStr">
        <is>
          <t>HO6TUBHFGL</t>
        </is>
      </c>
      <c r="D768" s="7" t="n">
        <v>22</v>
      </c>
      <c r="E768" s="7" t="n">
        <v>769</v>
      </c>
      <c r="F768" s="7" t="inlineStr">
        <is>
          <t>No</t>
        </is>
      </c>
      <c r="G768" s="12" t="inlineStr">
        <is>
          <t>specimen also sequenced as PGCV_0023_0769</t>
        </is>
      </c>
    </row>
    <row r="769">
      <c r="A769" s="8" t="inlineStr">
        <is>
          <t>PGCV_0022_0770</t>
        </is>
      </c>
      <c r="B769" s="8" t="inlineStr">
        <is>
          <t>COVID-SNL-22-65503</t>
        </is>
      </c>
      <c r="C769" s="8" t="inlineStr">
        <is>
          <t>BIKBVRQA2V</t>
        </is>
      </c>
      <c r="D769" s="7" t="n">
        <v>22</v>
      </c>
      <c r="E769" s="7" t="n">
        <v>770</v>
      </c>
      <c r="F769" s="7" t="inlineStr">
        <is>
          <t>No</t>
        </is>
      </c>
      <c r="G769" s="12" t="inlineStr">
        <is>
          <t>specimen also sequenced as PGCV_0023_0770</t>
        </is>
      </c>
    </row>
    <row r="770">
      <c r="A770" s="8" t="inlineStr">
        <is>
          <t>PGCV_0022_0771</t>
        </is>
      </c>
      <c r="B770" s="8" t="inlineStr">
        <is>
          <t>COVID-SNL-22-65508</t>
        </is>
      </c>
      <c r="C770" s="8" t="inlineStr">
        <is>
          <t>HX3GOXAUBS</t>
        </is>
      </c>
      <c r="D770" s="7" t="n">
        <v>22</v>
      </c>
      <c r="E770" s="7" t="n">
        <v>771</v>
      </c>
      <c r="F770" s="7" t="inlineStr">
        <is>
          <t>No</t>
        </is>
      </c>
      <c r="G770" s="12" t="inlineStr">
        <is>
          <t>specimen also sequenced as PGCV_0023_0771</t>
        </is>
      </c>
    </row>
    <row r="771">
      <c r="A771" s="8" t="inlineStr">
        <is>
          <t>PGCV_0022_0772</t>
        </is>
      </c>
      <c r="B771" s="8" t="inlineStr">
        <is>
          <t>COVID-SNL-22-65566</t>
        </is>
      </c>
      <c r="C771" s="8" t="inlineStr">
        <is>
          <t>TPPX1NUBBQ</t>
        </is>
      </c>
      <c r="D771" s="7" t="n">
        <v>22</v>
      </c>
      <c r="E771" s="7" t="n">
        <v>772</v>
      </c>
      <c r="F771" s="7" t="inlineStr">
        <is>
          <t>Yes</t>
        </is>
      </c>
      <c r="G771" s="8" t="n"/>
    </row>
    <row r="772">
      <c r="A772" s="8" t="inlineStr">
        <is>
          <t>PGCV_0022_0773</t>
        </is>
      </c>
      <c r="B772" s="8" t="inlineStr">
        <is>
          <t>COVID-SNL-22-65575</t>
        </is>
      </c>
      <c r="C772" s="8" t="inlineStr">
        <is>
          <t>BBRCNQL3AO</t>
        </is>
      </c>
      <c r="D772" s="7" t="n">
        <v>22</v>
      </c>
      <c r="E772" s="7" t="n">
        <v>773</v>
      </c>
      <c r="F772" s="7" t="inlineStr">
        <is>
          <t>Yes</t>
        </is>
      </c>
      <c r="G772" s="8" t="n"/>
    </row>
    <row r="773">
      <c r="A773" s="8" t="inlineStr">
        <is>
          <t>PGCV_0022_0774</t>
        </is>
      </c>
      <c r="B773" s="8" t="inlineStr">
        <is>
          <t>COVID-SNL-22-65593</t>
        </is>
      </c>
      <c r="C773" s="8" t="inlineStr">
        <is>
          <t>6MO3SLIEG5</t>
        </is>
      </c>
      <c r="D773" s="7" t="n">
        <v>22</v>
      </c>
      <c r="E773" s="7" t="n">
        <v>774</v>
      </c>
      <c r="F773" s="7" t="inlineStr">
        <is>
          <t>Yes</t>
        </is>
      </c>
      <c r="G773" s="8" t="n"/>
    </row>
    <row r="774">
      <c r="A774" s="8" t="inlineStr">
        <is>
          <t>PGCV_0022_0775</t>
        </is>
      </c>
      <c r="B774" s="8" t="inlineStr">
        <is>
          <t>COVID-SNL-22-65667</t>
        </is>
      </c>
      <c r="C774" s="8" t="inlineStr">
        <is>
          <t>IIN2IDFJXC</t>
        </is>
      </c>
      <c r="D774" s="7" t="n">
        <v>22</v>
      </c>
      <c r="E774" s="7" t="n">
        <v>775</v>
      </c>
      <c r="F774" s="7" t="inlineStr">
        <is>
          <t>Yes</t>
        </is>
      </c>
      <c r="G774" s="8" t="n"/>
    </row>
    <row r="775">
      <c r="A775" s="8" t="inlineStr">
        <is>
          <t>PGCV_0022_0776</t>
        </is>
      </c>
      <c r="B775" s="8" t="inlineStr">
        <is>
          <t>703B111638</t>
        </is>
      </c>
      <c r="C775" s="8" t="inlineStr">
        <is>
          <t>P30WICQHZH</t>
        </is>
      </c>
      <c r="D775" s="7" t="n">
        <v>22</v>
      </c>
      <c r="E775" s="7" t="n">
        <v>776</v>
      </c>
      <c r="F775" s="7" t="inlineStr">
        <is>
          <t>Yes</t>
        </is>
      </c>
      <c r="G775" s="8" t="n"/>
    </row>
    <row r="776">
      <c r="A776" s="8" t="inlineStr">
        <is>
          <t>PGCV_0022_0777</t>
        </is>
      </c>
      <c r="B776" s="8" t="inlineStr">
        <is>
          <t>703B111639</t>
        </is>
      </c>
      <c r="C776" s="8" t="inlineStr">
        <is>
          <t>KJGUMQGLZG</t>
        </is>
      </c>
      <c r="D776" s="7" t="n">
        <v>22</v>
      </c>
      <c r="E776" s="7" t="n">
        <v>777</v>
      </c>
      <c r="F776" s="7" t="inlineStr">
        <is>
          <t>Yes</t>
        </is>
      </c>
      <c r="G776" s="8" t="n"/>
    </row>
    <row r="777">
      <c r="A777" s="8" t="inlineStr">
        <is>
          <t>PGCV_0022_0778</t>
        </is>
      </c>
      <c r="B777" s="8" t="inlineStr">
        <is>
          <t>705B111837</t>
        </is>
      </c>
      <c r="C777" s="8" t="inlineStr">
        <is>
          <t>UNIEPCZTVQ</t>
        </is>
      </c>
      <c r="D777" s="7" t="n">
        <v>22</v>
      </c>
      <c r="E777" s="7" t="n">
        <v>778</v>
      </c>
      <c r="F777" s="7" t="inlineStr">
        <is>
          <t>Yes</t>
        </is>
      </c>
      <c r="G777" s="8" t="n"/>
    </row>
    <row r="778">
      <c r="A778" s="8" t="inlineStr">
        <is>
          <t>PGCV_0022_0779</t>
        </is>
      </c>
      <c r="B778" s="8" t="inlineStr">
        <is>
          <t>704B111754</t>
        </is>
      </c>
      <c r="C778" s="8" t="inlineStr">
        <is>
          <t>PQCIHMOQWI</t>
        </is>
      </c>
      <c r="D778" s="7" t="n">
        <v>22</v>
      </c>
      <c r="E778" s="7" t="n">
        <v>779</v>
      </c>
      <c r="F778" s="7" t="inlineStr">
        <is>
          <t>Yes</t>
        </is>
      </c>
      <c r="G778" s="8" t="n"/>
    </row>
    <row r="779">
      <c r="A779" s="8" t="inlineStr">
        <is>
          <t>PGCV_0022_0780</t>
        </is>
      </c>
      <c r="B779" s="8" t="inlineStr">
        <is>
          <t>705B111838</t>
        </is>
      </c>
      <c r="C779" s="8" t="inlineStr">
        <is>
          <t>EU97JPXYLQ</t>
        </is>
      </c>
      <c r="D779" s="7" t="n">
        <v>22</v>
      </c>
      <c r="E779" s="7" t="n">
        <v>780</v>
      </c>
      <c r="F779" s="7" t="inlineStr">
        <is>
          <t>Yes</t>
        </is>
      </c>
      <c r="G779" s="8" t="n"/>
    </row>
    <row r="780">
      <c r="A780" s="8" t="inlineStr">
        <is>
          <t>PGCV_0022_0781</t>
        </is>
      </c>
      <c r="B780" s="8" t="inlineStr">
        <is>
          <t>709B112092</t>
        </is>
      </c>
      <c r="C780" s="8" t="inlineStr">
        <is>
          <t>KETQXUIORL</t>
        </is>
      </c>
      <c r="D780" s="7" t="n">
        <v>22</v>
      </c>
      <c r="E780" s="7" t="n">
        <v>781</v>
      </c>
      <c r="F780" s="7" t="inlineStr">
        <is>
          <t>Yes</t>
        </is>
      </c>
      <c r="G780" s="8" t="n"/>
    </row>
    <row r="781">
      <c r="A781" s="8" t="inlineStr">
        <is>
          <t>PGCV_0022_0782</t>
        </is>
      </c>
      <c r="B781" s="8" t="inlineStr">
        <is>
          <t>MLAB175403</t>
        </is>
      </c>
      <c r="C781" s="8" t="inlineStr">
        <is>
          <t>1PXV3IAB6R</t>
        </is>
      </c>
      <c r="D781" s="7" t="n">
        <v>22</v>
      </c>
      <c r="E781" s="7" t="n">
        <v>782</v>
      </c>
      <c r="F781" s="7" t="inlineStr">
        <is>
          <t>Yes</t>
        </is>
      </c>
      <c r="G781" s="8" t="n"/>
    </row>
    <row r="782">
      <c r="A782" s="8" t="inlineStr">
        <is>
          <t>PGCV_0022_0783</t>
        </is>
      </c>
      <c r="B782" s="8" t="inlineStr">
        <is>
          <t>MLAB175411</t>
        </is>
      </c>
      <c r="C782" s="8" t="inlineStr">
        <is>
          <t>ES8QCC5LTY</t>
        </is>
      </c>
      <c r="D782" s="7" t="n">
        <v>22</v>
      </c>
      <c r="E782" s="7" t="n">
        <v>783</v>
      </c>
      <c r="F782" s="7" t="inlineStr">
        <is>
          <t>Yes</t>
        </is>
      </c>
      <c r="G782" s="8" t="n"/>
    </row>
    <row r="783">
      <c r="A783" s="8" t="inlineStr">
        <is>
          <t>PGCV_0022_0784</t>
        </is>
      </c>
      <c r="B783" s="8" t="inlineStr">
        <is>
          <t>MLAB175415</t>
        </is>
      </c>
      <c r="C783" s="8" t="inlineStr">
        <is>
          <t>NAZBPAAQLO</t>
        </is>
      </c>
      <c r="D783" s="7" t="n">
        <v>22</v>
      </c>
      <c r="E783" s="7" t="n">
        <v>784</v>
      </c>
      <c r="F783" s="7" t="inlineStr">
        <is>
          <t>Yes</t>
        </is>
      </c>
      <c r="G783" s="8" t="n"/>
    </row>
    <row r="784">
      <c r="A784" s="8" t="inlineStr">
        <is>
          <t>PGCV_0022_0785</t>
        </is>
      </c>
      <c r="B784" s="8" t="inlineStr">
        <is>
          <t>MLAB175426</t>
        </is>
      </c>
      <c r="C784" s="8" t="inlineStr">
        <is>
          <t>HQAP1WT6GT</t>
        </is>
      </c>
      <c r="D784" s="7" t="n">
        <v>22</v>
      </c>
      <c r="E784" s="7" t="n">
        <v>785</v>
      </c>
      <c r="F784" s="7" t="inlineStr">
        <is>
          <t>Yes</t>
        </is>
      </c>
      <c r="G784" s="8" t="n"/>
    </row>
    <row r="785">
      <c r="A785" s="8" t="inlineStr">
        <is>
          <t>PGCV_0022_0786</t>
        </is>
      </c>
      <c r="B785" s="8" t="inlineStr">
        <is>
          <t>MLAB175428</t>
        </is>
      </c>
      <c r="C785" s="8" t="inlineStr">
        <is>
          <t>WCWALU9QIS</t>
        </is>
      </c>
      <c r="D785" s="7" t="n">
        <v>22</v>
      </c>
      <c r="E785" s="7" t="n">
        <v>786</v>
      </c>
      <c r="F785" s="7" t="inlineStr">
        <is>
          <t>Yes</t>
        </is>
      </c>
      <c r="G785" s="8" t="n"/>
    </row>
    <row r="786">
      <c r="A786" s="8" t="inlineStr">
        <is>
          <t>PGCV_0022_0787</t>
        </is>
      </c>
      <c r="B786" s="8" t="inlineStr">
        <is>
          <t>MLAB175462</t>
        </is>
      </c>
      <c r="C786" s="8" t="inlineStr">
        <is>
          <t>OBK5Z5RTIF</t>
        </is>
      </c>
      <c r="D786" s="7" t="n">
        <v>22</v>
      </c>
      <c r="E786" s="7" t="n">
        <v>787</v>
      </c>
      <c r="F786" s="7" t="inlineStr">
        <is>
          <t>Yes</t>
        </is>
      </c>
      <c r="G786" s="8" t="n"/>
    </row>
    <row r="787">
      <c r="A787" s="8" t="inlineStr">
        <is>
          <t>PGCV_0022_0788</t>
        </is>
      </c>
      <c r="B787" s="8" t="inlineStr">
        <is>
          <t>MLAB175493</t>
        </is>
      </c>
      <c r="C787" s="8" t="inlineStr">
        <is>
          <t>L2ZBGNCSQG</t>
        </is>
      </c>
      <c r="D787" s="7" t="n">
        <v>22</v>
      </c>
      <c r="E787" s="7" t="n">
        <v>788</v>
      </c>
      <c r="F787" s="7" t="inlineStr">
        <is>
          <t>Yes</t>
        </is>
      </c>
      <c r="G787" s="8" t="n"/>
    </row>
    <row r="788">
      <c r="A788" s="8" t="inlineStr">
        <is>
          <t>PGCV_0022_0789</t>
        </is>
      </c>
      <c r="B788" s="8" t="inlineStr">
        <is>
          <t>MLAB175573</t>
        </is>
      </c>
      <c r="C788" s="8" t="inlineStr">
        <is>
          <t>E1VIDBAIRG</t>
        </is>
      </c>
      <c r="D788" s="7" t="n">
        <v>22</v>
      </c>
      <c r="E788" s="7" t="n">
        <v>789</v>
      </c>
      <c r="F788" s="7" t="inlineStr">
        <is>
          <t>Yes</t>
        </is>
      </c>
      <c r="G788" s="8" t="n"/>
    </row>
    <row r="789">
      <c r="A789" s="8" t="inlineStr">
        <is>
          <t>PGCV_0022_0790</t>
        </is>
      </c>
      <c r="B789" s="8" t="inlineStr">
        <is>
          <t>MLAB175576</t>
        </is>
      </c>
      <c r="C789" s="8" t="inlineStr">
        <is>
          <t>PBMDA77Y0T</t>
        </is>
      </c>
      <c r="D789" s="7" t="n">
        <v>22</v>
      </c>
      <c r="E789" s="7" t="n">
        <v>790</v>
      </c>
      <c r="F789" s="7" t="inlineStr">
        <is>
          <t>Yes</t>
        </is>
      </c>
      <c r="G789" s="8" t="n"/>
    </row>
    <row r="790">
      <c r="A790" s="8" t="inlineStr">
        <is>
          <t>PGCV_0022_0791</t>
        </is>
      </c>
      <c r="B790" s="8" t="inlineStr">
        <is>
          <t>MLAB175594</t>
        </is>
      </c>
      <c r="C790" s="8" t="inlineStr">
        <is>
          <t>LBDPEK9CJV</t>
        </is>
      </c>
      <c r="D790" s="7" t="n">
        <v>22</v>
      </c>
      <c r="E790" s="7" t="n">
        <v>791</v>
      </c>
      <c r="F790" s="7" t="inlineStr">
        <is>
          <t>Yes</t>
        </is>
      </c>
      <c r="G790" s="8" t="n"/>
    </row>
    <row r="791">
      <c r="A791" s="8" t="inlineStr">
        <is>
          <t>PGCV_0022_0792</t>
        </is>
      </c>
      <c r="B791" s="8" t="inlineStr">
        <is>
          <t>COVID-SNL-22-64097</t>
        </is>
      </c>
      <c r="C791" s="8" t="inlineStr">
        <is>
          <t>9KVVSNB9NG</t>
        </is>
      </c>
      <c r="D791" s="7" t="n">
        <v>22</v>
      </c>
      <c r="E791" s="7" t="n">
        <v>792</v>
      </c>
      <c r="F791" s="7" t="inlineStr">
        <is>
          <t>Yes</t>
        </is>
      </c>
      <c r="G791" s="12" t="inlineStr">
        <is>
          <t>specimen also sequenced as PGCV_0022_0709, PGCV_0023_0709</t>
        </is>
      </c>
    </row>
    <row r="792">
      <c r="A792" s="8" t="inlineStr">
        <is>
          <t>PGCV_0022_0793</t>
        </is>
      </c>
      <c r="B792" s="8" t="inlineStr">
        <is>
          <t>MLAB175602</t>
        </is>
      </c>
      <c r="C792" s="8" t="inlineStr">
        <is>
          <t>OETWEMPOJ8</t>
        </is>
      </c>
      <c r="D792" s="7" t="n">
        <v>22</v>
      </c>
      <c r="E792" s="7" t="n">
        <v>793</v>
      </c>
      <c r="F792" s="7" t="inlineStr">
        <is>
          <t>Yes</t>
        </is>
      </c>
      <c r="G792" s="8" t="n"/>
    </row>
    <row r="793">
      <c r="A793" s="8" t="inlineStr">
        <is>
          <t>PGCV_0022_0794</t>
        </is>
      </c>
      <c r="B793" s="8" t="inlineStr">
        <is>
          <t>MLAB175608</t>
        </is>
      </c>
      <c r="C793" s="8" t="inlineStr">
        <is>
          <t>7ADMY2CI2P</t>
        </is>
      </c>
      <c r="D793" s="7" t="n">
        <v>22</v>
      </c>
      <c r="E793" s="7" t="n">
        <v>794</v>
      </c>
      <c r="F793" s="7" t="inlineStr">
        <is>
          <t>Yes</t>
        </is>
      </c>
      <c r="G793" s="8" t="n"/>
    </row>
    <row r="794">
      <c r="A794" s="8" t="inlineStr">
        <is>
          <t>PGCV_0022_0795</t>
        </is>
      </c>
      <c r="B794" s="8" t="inlineStr">
        <is>
          <t>MLAB175609</t>
        </is>
      </c>
      <c r="C794" s="8" t="inlineStr">
        <is>
          <t>TFYELJ1KFJ</t>
        </is>
      </c>
      <c r="D794" s="7" t="n">
        <v>22</v>
      </c>
      <c r="E794" s="7" t="n">
        <v>795</v>
      </c>
      <c r="F794" s="7" t="inlineStr">
        <is>
          <t>Yes</t>
        </is>
      </c>
      <c r="G794" s="8" t="n"/>
    </row>
    <row r="795">
      <c r="A795" s="8" t="inlineStr">
        <is>
          <t>PGCV_0022_0796</t>
        </is>
      </c>
      <c r="B795" s="8" t="inlineStr">
        <is>
          <t>MLAB175617</t>
        </is>
      </c>
      <c r="C795" s="8" t="inlineStr">
        <is>
          <t>PHLPWXT9UN</t>
        </is>
      </c>
      <c r="D795" s="7" t="n">
        <v>22</v>
      </c>
      <c r="E795" s="7" t="n">
        <v>796</v>
      </c>
      <c r="F795" s="7" t="inlineStr">
        <is>
          <t>Yes</t>
        </is>
      </c>
      <c r="G795" s="8" t="n"/>
    </row>
    <row r="796">
      <c r="A796" s="8" t="inlineStr">
        <is>
          <t>PGCV_0022_0797</t>
        </is>
      </c>
      <c r="B796" s="8" t="inlineStr">
        <is>
          <t>MLAB175623</t>
        </is>
      </c>
      <c r="C796" s="8" t="inlineStr">
        <is>
          <t>JTY3XBOMKW</t>
        </is>
      </c>
      <c r="D796" s="7" t="n">
        <v>22</v>
      </c>
      <c r="E796" s="7" t="n">
        <v>797</v>
      </c>
      <c r="F796" s="7" t="inlineStr">
        <is>
          <t>Yes</t>
        </is>
      </c>
      <c r="G796" s="8" t="n"/>
    </row>
    <row r="797">
      <c r="A797" s="8" t="inlineStr">
        <is>
          <t>PGCV_0022_0798</t>
        </is>
      </c>
      <c r="B797" s="8" t="inlineStr">
        <is>
          <t>MLAB175659</t>
        </is>
      </c>
      <c r="C797" s="8" t="inlineStr">
        <is>
          <t>PNM9ARCM4S</t>
        </is>
      </c>
      <c r="D797" s="7" t="n">
        <v>22</v>
      </c>
      <c r="E797" s="7" t="n">
        <v>798</v>
      </c>
      <c r="F797" s="7" t="inlineStr">
        <is>
          <t>Yes</t>
        </is>
      </c>
      <c r="G797" s="8" t="n"/>
    </row>
    <row r="798">
      <c r="A798" s="8" t="inlineStr">
        <is>
          <t>PGCV_0022_0799</t>
        </is>
      </c>
      <c r="B798" s="8" t="inlineStr">
        <is>
          <t>MLAB175661</t>
        </is>
      </c>
      <c r="C798" s="8" t="inlineStr">
        <is>
          <t>OGBBOIRHJX</t>
        </is>
      </c>
      <c r="D798" s="7" t="n">
        <v>22</v>
      </c>
      <c r="E798" s="7" t="n">
        <v>799</v>
      </c>
      <c r="F798" s="7" t="inlineStr">
        <is>
          <t>Yes</t>
        </is>
      </c>
      <c r="G798" s="8" t="n"/>
    </row>
    <row r="799">
      <c r="A799" s="8" t="inlineStr">
        <is>
          <t>PGCV_0022_0800</t>
        </is>
      </c>
      <c r="B799" s="8" t="inlineStr">
        <is>
          <t>MLAB175664</t>
        </is>
      </c>
      <c r="C799" s="8" t="inlineStr">
        <is>
          <t>CBLQJDUKBB</t>
        </is>
      </c>
      <c r="D799" s="7" t="n">
        <v>22</v>
      </c>
      <c r="E799" s="7" t="n">
        <v>800</v>
      </c>
      <c r="F799" s="7" t="inlineStr">
        <is>
          <t>Yes</t>
        </is>
      </c>
      <c r="G799" s="8" t="n"/>
    </row>
    <row r="800">
      <c r="A800" s="8" t="inlineStr">
        <is>
          <t>PGCV_0022_0801</t>
        </is>
      </c>
      <c r="B800" s="8" t="inlineStr">
        <is>
          <t>MLAB175665</t>
        </is>
      </c>
      <c r="C800" s="8" t="inlineStr">
        <is>
          <t>AAZURWICGV</t>
        </is>
      </c>
      <c r="D800" s="7" t="n">
        <v>22</v>
      </c>
      <c r="E800" s="7" t="n">
        <v>801</v>
      </c>
      <c r="F800" s="7" t="inlineStr">
        <is>
          <t>Yes</t>
        </is>
      </c>
      <c r="G800" s="8" t="n"/>
    </row>
    <row r="801">
      <c r="A801" s="8" t="inlineStr">
        <is>
          <t>PGCV_0022_0802</t>
        </is>
      </c>
      <c r="B801" s="8" t="inlineStr">
        <is>
          <t>MLAB175692</t>
        </is>
      </c>
      <c r="C801" s="8" t="inlineStr">
        <is>
          <t>LVVLR373JN</t>
        </is>
      </c>
      <c r="D801" s="7" t="n">
        <v>22</v>
      </c>
      <c r="E801" s="7" t="n">
        <v>802</v>
      </c>
      <c r="F801" s="7" t="inlineStr">
        <is>
          <t>Yes</t>
        </is>
      </c>
      <c r="G801" s="8" t="n"/>
    </row>
    <row r="802">
      <c r="A802" s="8" t="inlineStr">
        <is>
          <t>PGCV_0022_0803</t>
        </is>
      </c>
      <c r="B802" s="8" t="inlineStr">
        <is>
          <t>MLAB175693</t>
        </is>
      </c>
      <c r="C802" s="8" t="inlineStr">
        <is>
          <t>MFG0A7NKYV</t>
        </is>
      </c>
      <c r="D802" s="7" t="n">
        <v>22</v>
      </c>
      <c r="E802" s="7" t="n">
        <v>803</v>
      </c>
      <c r="F802" s="7" t="inlineStr">
        <is>
          <t>Yes</t>
        </is>
      </c>
      <c r="G802" s="8" t="n"/>
    </row>
    <row r="803">
      <c r="A803" s="8" t="inlineStr">
        <is>
          <t>PGCV_0022_0804</t>
        </is>
      </c>
      <c r="B803" s="8" t="inlineStr">
        <is>
          <t>MLAB175700</t>
        </is>
      </c>
      <c r="C803" s="8" t="inlineStr">
        <is>
          <t>OVY8M2CHVY</t>
        </is>
      </c>
      <c r="D803" s="7" t="n">
        <v>22</v>
      </c>
      <c r="E803" s="7" t="n">
        <v>804</v>
      </c>
      <c r="F803" s="7" t="inlineStr">
        <is>
          <t>Yes</t>
        </is>
      </c>
      <c r="G803" s="8" t="n"/>
    </row>
    <row r="804">
      <c r="A804" s="8" t="inlineStr">
        <is>
          <t>PGCV_0022_0805</t>
        </is>
      </c>
      <c r="B804" s="8" t="inlineStr">
        <is>
          <t>MLAB175703</t>
        </is>
      </c>
      <c r="C804" s="8" t="inlineStr">
        <is>
          <t>BLC9TGGOK7</t>
        </is>
      </c>
      <c r="D804" s="7" t="n">
        <v>22</v>
      </c>
      <c r="E804" s="7" t="n">
        <v>805</v>
      </c>
      <c r="F804" s="7" t="inlineStr">
        <is>
          <t>Yes</t>
        </is>
      </c>
      <c r="G804" s="8" t="n"/>
    </row>
    <row r="805">
      <c r="A805" s="8" t="inlineStr">
        <is>
          <t>PGCV_0022_0806</t>
        </is>
      </c>
      <c r="B805" s="8" t="inlineStr">
        <is>
          <t>MLAB175705</t>
        </is>
      </c>
      <c r="C805" s="8" t="inlineStr">
        <is>
          <t>DCSKECOMQN</t>
        </is>
      </c>
      <c r="D805" s="7" t="n">
        <v>22</v>
      </c>
      <c r="E805" s="7" t="n">
        <v>806</v>
      </c>
      <c r="F805" s="7" t="inlineStr">
        <is>
          <t>Yes</t>
        </is>
      </c>
      <c r="G805" s="8" t="n"/>
    </row>
    <row r="806">
      <c r="A806" s="8" t="inlineStr">
        <is>
          <t>PGCV_0022_0807</t>
        </is>
      </c>
      <c r="B806" s="8" t="inlineStr">
        <is>
          <t>MLAB175737</t>
        </is>
      </c>
      <c r="C806" s="8" t="inlineStr">
        <is>
          <t>K9NAREFVCO</t>
        </is>
      </c>
      <c r="D806" s="7" t="n">
        <v>22</v>
      </c>
      <c r="E806" s="7" t="n">
        <v>807</v>
      </c>
      <c r="F806" s="7" t="inlineStr">
        <is>
          <t>Yes</t>
        </is>
      </c>
      <c r="G806" s="8" t="n"/>
    </row>
    <row r="807">
      <c r="A807" s="8" t="inlineStr">
        <is>
          <t>PGCV_0022_0808</t>
        </is>
      </c>
      <c r="B807" s="8" t="inlineStr">
        <is>
          <t>MLAB175739</t>
        </is>
      </c>
      <c r="C807" s="8" t="inlineStr">
        <is>
          <t>EN3LOM5PWF</t>
        </is>
      </c>
      <c r="D807" s="7" t="n">
        <v>22</v>
      </c>
      <c r="E807" s="7" t="n">
        <v>808</v>
      </c>
      <c r="F807" s="7" t="inlineStr">
        <is>
          <t>Yes</t>
        </is>
      </c>
      <c r="G807" s="8" t="n"/>
    </row>
    <row r="808">
      <c r="A808" s="8" t="inlineStr">
        <is>
          <t>PGCV_0022_0809</t>
        </is>
      </c>
      <c r="B808" s="8" t="inlineStr">
        <is>
          <t>MLAB175753</t>
        </is>
      </c>
      <c r="C808" s="8" t="inlineStr">
        <is>
          <t>YVONWMM45A</t>
        </is>
      </c>
      <c r="D808" s="7" t="n">
        <v>22</v>
      </c>
      <c r="E808" s="7" t="n">
        <v>809</v>
      </c>
      <c r="F808" s="7" t="inlineStr">
        <is>
          <t>Yes</t>
        </is>
      </c>
      <c r="G808" s="8" t="n"/>
    </row>
    <row r="809">
      <c r="A809" s="8" t="inlineStr">
        <is>
          <t>PGCV_0022_0810</t>
        </is>
      </c>
      <c r="B809" s="8" t="inlineStr">
        <is>
          <t>MLAB175754</t>
        </is>
      </c>
      <c r="C809" s="8" t="inlineStr">
        <is>
          <t>YYJYVLPPY8</t>
        </is>
      </c>
      <c r="D809" s="7" t="n">
        <v>22</v>
      </c>
      <c r="E809" s="7" t="n">
        <v>810</v>
      </c>
      <c r="F809" s="7" t="inlineStr">
        <is>
          <t>Yes</t>
        </is>
      </c>
      <c r="G809" s="8" t="n"/>
    </row>
    <row r="810">
      <c r="A810" s="8" t="inlineStr">
        <is>
          <t>PGCV_0022_0811</t>
        </is>
      </c>
      <c r="B810" s="8" t="inlineStr">
        <is>
          <t>22-33998</t>
        </is>
      </c>
      <c r="C810" s="8" t="inlineStr">
        <is>
          <t>0GWRKE5PZN</t>
        </is>
      </c>
      <c r="D810" s="7" t="n">
        <v>22</v>
      </c>
      <c r="E810" s="7" t="n">
        <v>811</v>
      </c>
      <c r="F810" s="7" t="inlineStr">
        <is>
          <t>Yes</t>
        </is>
      </c>
      <c r="G810" s="8" t="n"/>
    </row>
    <row r="811">
      <c r="A811" s="8" t="inlineStr">
        <is>
          <t>PGCV_0022_0812</t>
        </is>
      </c>
      <c r="B811" s="8" t="inlineStr">
        <is>
          <t>22-34009</t>
        </is>
      </c>
      <c r="C811" s="8" t="inlineStr">
        <is>
          <t>7OXUSWZF8C</t>
        </is>
      </c>
      <c r="D811" s="7" t="n">
        <v>22</v>
      </c>
      <c r="E811" s="7" t="n">
        <v>812</v>
      </c>
      <c r="F811" s="7" t="inlineStr">
        <is>
          <t>Yes</t>
        </is>
      </c>
      <c r="G811" s="8" t="n"/>
    </row>
    <row r="812">
      <c r="A812" s="8" t="inlineStr">
        <is>
          <t>PGCV_0022_0813</t>
        </is>
      </c>
      <c r="B812" s="8" t="inlineStr">
        <is>
          <t>22-34015</t>
        </is>
      </c>
      <c r="C812" s="8" t="inlineStr">
        <is>
          <t>OHWBRUXPDW</t>
        </is>
      </c>
      <c r="D812" s="7" t="n">
        <v>22</v>
      </c>
      <c r="E812" s="7" t="n">
        <v>813</v>
      </c>
      <c r="F812" s="7" t="inlineStr">
        <is>
          <t>Yes</t>
        </is>
      </c>
      <c r="G812" s="8" t="n"/>
    </row>
    <row r="813">
      <c r="A813" s="8" t="inlineStr">
        <is>
          <t>PGCV_0022_0814</t>
        </is>
      </c>
      <c r="B813" s="8" t="inlineStr">
        <is>
          <t>22-34059</t>
        </is>
      </c>
      <c r="C813" s="8" t="inlineStr">
        <is>
          <t>O3T7HVSUAH</t>
        </is>
      </c>
      <c r="D813" s="7" t="n">
        <v>22</v>
      </c>
      <c r="E813" s="7" t="n">
        <v>814</v>
      </c>
      <c r="F813" s="7" t="inlineStr">
        <is>
          <t>Yes</t>
        </is>
      </c>
      <c r="G813" s="8" t="n"/>
    </row>
    <row r="814">
      <c r="A814" s="8" t="inlineStr">
        <is>
          <t>PGCV_0022_0815</t>
        </is>
      </c>
      <c r="B814" s="8" t="inlineStr">
        <is>
          <t>22-34191</t>
        </is>
      </c>
      <c r="C814" s="8" t="inlineStr">
        <is>
          <t>PILBKSVYZL</t>
        </is>
      </c>
      <c r="D814" s="7" t="n">
        <v>22</v>
      </c>
      <c r="E814" s="7" t="n">
        <v>815</v>
      </c>
      <c r="F814" s="7" t="inlineStr">
        <is>
          <t>Yes</t>
        </is>
      </c>
      <c r="G814" s="8" t="n"/>
    </row>
    <row r="815">
      <c r="A815" s="8" t="inlineStr">
        <is>
          <t>PGCV_0022_0816</t>
        </is>
      </c>
      <c r="B815" s="8" t="inlineStr">
        <is>
          <t>22-34310</t>
        </is>
      </c>
      <c r="C815" s="8" t="inlineStr">
        <is>
          <t>QVH0ZOLXRW</t>
        </is>
      </c>
      <c r="D815" s="7" t="n">
        <v>22</v>
      </c>
      <c r="E815" s="7" t="n">
        <v>816</v>
      </c>
      <c r="F815" s="7" t="inlineStr">
        <is>
          <t>Yes</t>
        </is>
      </c>
      <c r="G815" s="8" t="n"/>
    </row>
    <row r="816">
      <c r="A816" s="8" t="inlineStr">
        <is>
          <t>PGCV_0022_0817</t>
        </is>
      </c>
      <c r="B816" s="8" t="inlineStr">
        <is>
          <t>22-34322</t>
        </is>
      </c>
      <c r="C816" s="8" t="inlineStr">
        <is>
          <t>CHRTAO9QBQ</t>
        </is>
      </c>
      <c r="D816" s="7" t="n">
        <v>22</v>
      </c>
      <c r="E816" s="7" t="n">
        <v>817</v>
      </c>
      <c r="F816" s="7" t="inlineStr">
        <is>
          <t>Yes</t>
        </is>
      </c>
      <c r="G816" s="8" t="n"/>
    </row>
    <row r="817">
      <c r="A817" s="8" t="inlineStr">
        <is>
          <t>PGCV_0022_0818</t>
        </is>
      </c>
      <c r="B817" s="8" t="inlineStr">
        <is>
          <t>22-34384</t>
        </is>
      </c>
      <c r="C817" s="8" t="inlineStr">
        <is>
          <t>R4B4XM602V</t>
        </is>
      </c>
      <c r="D817" s="7" t="n">
        <v>22</v>
      </c>
      <c r="E817" s="7" t="n">
        <v>818</v>
      </c>
      <c r="F817" s="7" t="inlineStr">
        <is>
          <t>Yes</t>
        </is>
      </c>
      <c r="G817" s="8" t="n"/>
    </row>
    <row r="818">
      <c r="A818" s="8" t="inlineStr">
        <is>
          <t>PGCV_0022_0819</t>
        </is>
      </c>
      <c r="B818" s="8" t="inlineStr">
        <is>
          <t>22-34422</t>
        </is>
      </c>
      <c r="C818" s="8" t="inlineStr">
        <is>
          <t>ZNOBP75KNP</t>
        </is>
      </c>
      <c r="D818" s="7" t="n">
        <v>22</v>
      </c>
      <c r="E818" s="7" t="n">
        <v>819</v>
      </c>
      <c r="F818" s="7" t="inlineStr">
        <is>
          <t>Yes</t>
        </is>
      </c>
      <c r="G818" s="8" t="n"/>
    </row>
    <row r="819">
      <c r="A819" s="8" t="inlineStr">
        <is>
          <t>PGCV_0022_0820</t>
        </is>
      </c>
      <c r="B819" s="8" t="inlineStr">
        <is>
          <t>22-34426</t>
        </is>
      </c>
      <c r="C819" s="8" t="inlineStr">
        <is>
          <t>W3HJDRIVYZ</t>
        </is>
      </c>
      <c r="D819" s="7" t="n">
        <v>22</v>
      </c>
      <c r="E819" s="7" t="n">
        <v>820</v>
      </c>
      <c r="F819" s="7" t="inlineStr">
        <is>
          <t>Yes</t>
        </is>
      </c>
      <c r="G819" s="8" t="n"/>
    </row>
    <row r="820">
      <c r="A820" s="8" t="inlineStr">
        <is>
          <t>PGCV_0022_0821</t>
        </is>
      </c>
      <c r="B820" s="8" t="inlineStr">
        <is>
          <t>22-34445</t>
        </is>
      </c>
      <c r="C820" s="8" t="inlineStr">
        <is>
          <t>5FPUYMIWPH</t>
        </is>
      </c>
      <c r="D820" s="7" t="n">
        <v>22</v>
      </c>
      <c r="E820" s="7" t="n">
        <v>821</v>
      </c>
      <c r="F820" s="7" t="inlineStr">
        <is>
          <t>Yes</t>
        </is>
      </c>
      <c r="G820" s="8" t="n"/>
    </row>
    <row r="821">
      <c r="A821" s="8" t="inlineStr">
        <is>
          <t>PGCV_0022_0822</t>
        </is>
      </c>
      <c r="B821" s="8" t="inlineStr">
        <is>
          <t>22-34570</t>
        </is>
      </c>
      <c r="C821" s="8" t="inlineStr">
        <is>
          <t>8OIGJNELP0</t>
        </is>
      </c>
      <c r="D821" s="7" t="n">
        <v>22</v>
      </c>
      <c r="E821" s="7" t="n">
        <v>822</v>
      </c>
      <c r="F821" s="7" t="inlineStr">
        <is>
          <t>Yes</t>
        </is>
      </c>
      <c r="G821" s="8" t="n"/>
    </row>
    <row r="822">
      <c r="A822" s="8" t="inlineStr">
        <is>
          <t>PGCV_0022_0823</t>
        </is>
      </c>
      <c r="B822" s="8" t="inlineStr">
        <is>
          <t>22-34583</t>
        </is>
      </c>
      <c r="C822" s="8" t="inlineStr">
        <is>
          <t>CJORXTHBDA</t>
        </is>
      </c>
      <c r="D822" s="7" t="n">
        <v>22</v>
      </c>
      <c r="E822" s="7" t="n">
        <v>823</v>
      </c>
      <c r="F822" s="7" t="inlineStr">
        <is>
          <t>Yes</t>
        </is>
      </c>
      <c r="G822" s="8" t="n"/>
    </row>
    <row r="823">
      <c r="A823" s="8" t="inlineStr">
        <is>
          <t>PGCV_0022_0824</t>
        </is>
      </c>
      <c r="B823" s="8" t="inlineStr">
        <is>
          <t>22-34614</t>
        </is>
      </c>
      <c r="C823" s="8" t="inlineStr">
        <is>
          <t>LKNWFD3DQO</t>
        </is>
      </c>
      <c r="D823" s="7" t="n">
        <v>22</v>
      </c>
      <c r="E823" s="7" t="n">
        <v>824</v>
      </c>
      <c r="F823" s="7" t="inlineStr">
        <is>
          <t>Yes</t>
        </is>
      </c>
      <c r="G823" s="8" t="n"/>
    </row>
    <row r="824">
      <c r="A824" s="8" t="inlineStr">
        <is>
          <t>PGCV_0022_0825</t>
        </is>
      </c>
      <c r="B824" s="8" t="inlineStr">
        <is>
          <t>22-34632</t>
        </is>
      </c>
      <c r="C824" s="8" t="inlineStr">
        <is>
          <t>NKZMQZ8F5E</t>
        </is>
      </c>
      <c r="D824" s="7" t="n">
        <v>22</v>
      </c>
      <c r="E824" s="7" t="n">
        <v>825</v>
      </c>
      <c r="F824" s="7" t="inlineStr">
        <is>
          <t>Yes</t>
        </is>
      </c>
      <c r="G824" s="8" t="n"/>
    </row>
    <row r="825">
      <c r="A825" s="8" t="inlineStr">
        <is>
          <t>PGCV_0022_0826</t>
        </is>
      </c>
      <c r="B825" s="8" t="inlineStr">
        <is>
          <t>22-34654</t>
        </is>
      </c>
      <c r="C825" s="8" t="inlineStr">
        <is>
          <t>XI5GHZ5BVF</t>
        </is>
      </c>
      <c r="D825" s="7" t="n">
        <v>22</v>
      </c>
      <c r="E825" s="7" t="n">
        <v>826</v>
      </c>
      <c r="F825" s="7" t="inlineStr">
        <is>
          <t>No</t>
        </is>
      </c>
      <c r="G825" s="12" t="inlineStr">
        <is>
          <t>specimen also sequenced as PGCV_0023_0826</t>
        </is>
      </c>
    </row>
    <row r="826">
      <c r="A826" s="8" t="inlineStr">
        <is>
          <t>PGCV_0022_0827</t>
        </is>
      </c>
      <c r="B826" s="8" t="inlineStr">
        <is>
          <t>22-34723</t>
        </is>
      </c>
      <c r="C826" s="8" t="inlineStr">
        <is>
          <t>EYF22VYXQ0</t>
        </is>
      </c>
      <c r="D826" s="7" t="n">
        <v>22</v>
      </c>
      <c r="E826" s="7" t="n">
        <v>827</v>
      </c>
      <c r="F826" s="7" t="inlineStr">
        <is>
          <t>Yes</t>
        </is>
      </c>
      <c r="G826" s="8" t="n"/>
    </row>
    <row r="827">
      <c r="A827" s="8" t="inlineStr">
        <is>
          <t>PGCV_0022_0828</t>
        </is>
      </c>
      <c r="B827" s="8" t="inlineStr">
        <is>
          <t>22-34765</t>
        </is>
      </c>
      <c r="C827" s="8" t="inlineStr">
        <is>
          <t>VEYVARZSMF</t>
        </is>
      </c>
      <c r="D827" s="7" t="n">
        <v>22</v>
      </c>
      <c r="E827" s="7" t="n">
        <v>828</v>
      </c>
      <c r="F827" s="7" t="inlineStr">
        <is>
          <t>Yes</t>
        </is>
      </c>
      <c r="G827" s="8" t="n"/>
    </row>
    <row r="828">
      <c r="A828" s="8" t="inlineStr">
        <is>
          <t>PGCV_0022_0829</t>
        </is>
      </c>
      <c r="B828" s="8" t="inlineStr">
        <is>
          <t>22-34812</t>
        </is>
      </c>
      <c r="C828" s="8" t="inlineStr">
        <is>
          <t>LQRC15VUWX</t>
        </is>
      </c>
      <c r="D828" s="7" t="n">
        <v>22</v>
      </c>
      <c r="E828" s="7" t="n">
        <v>829</v>
      </c>
      <c r="F828" s="7" t="inlineStr">
        <is>
          <t>Yes</t>
        </is>
      </c>
      <c r="G828" s="8" t="n"/>
    </row>
    <row r="829">
      <c r="A829" s="8" t="inlineStr">
        <is>
          <t>PGCV_0022_0830</t>
        </is>
      </c>
      <c r="B829" s="8" t="inlineStr">
        <is>
          <t>22-34826</t>
        </is>
      </c>
      <c r="C829" s="8" t="inlineStr">
        <is>
          <t>ADPXBJLDJ3</t>
        </is>
      </c>
      <c r="D829" s="7" t="n">
        <v>22</v>
      </c>
      <c r="E829" s="7" t="n">
        <v>830</v>
      </c>
      <c r="F829" s="7" t="inlineStr">
        <is>
          <t>Yes</t>
        </is>
      </c>
      <c r="G829" s="8" t="n"/>
    </row>
    <row r="830">
      <c r="A830" s="8" t="inlineStr">
        <is>
          <t>PGCV_0022_0831</t>
        </is>
      </c>
      <c r="B830" s="8" t="inlineStr">
        <is>
          <t>22-35035</t>
        </is>
      </c>
      <c r="C830" s="8" t="inlineStr">
        <is>
          <t>SJTUDFPLE0</t>
        </is>
      </c>
      <c r="D830" s="7" t="n">
        <v>22</v>
      </c>
      <c r="E830" s="7" t="n">
        <v>831</v>
      </c>
      <c r="F830" s="7" t="inlineStr">
        <is>
          <t>Yes</t>
        </is>
      </c>
      <c r="G830" s="8" t="n"/>
    </row>
    <row r="831">
      <c r="A831" s="8" t="inlineStr">
        <is>
          <t>PGCV_0022_0832</t>
        </is>
      </c>
      <c r="B831" s="8" t="inlineStr">
        <is>
          <t>22-35042</t>
        </is>
      </c>
      <c r="C831" s="8" t="inlineStr">
        <is>
          <t>2DUPGHZWG3</t>
        </is>
      </c>
      <c r="D831" s="7" t="n">
        <v>22</v>
      </c>
      <c r="E831" s="7" t="n">
        <v>832</v>
      </c>
      <c r="F831" s="7" t="inlineStr">
        <is>
          <t>Yes</t>
        </is>
      </c>
      <c r="G831" s="8" t="n"/>
    </row>
    <row r="832">
      <c r="A832" s="8" t="inlineStr">
        <is>
          <t>PGCV_0022_0833</t>
        </is>
      </c>
      <c r="B832" s="8" t="inlineStr">
        <is>
          <t>22-35054</t>
        </is>
      </c>
      <c r="C832" s="8" t="inlineStr">
        <is>
          <t>S1U9DMFATF</t>
        </is>
      </c>
      <c r="D832" s="7" t="n">
        <v>22</v>
      </c>
      <c r="E832" s="7" t="n">
        <v>833</v>
      </c>
      <c r="F832" s="7" t="inlineStr">
        <is>
          <t>Yes</t>
        </is>
      </c>
      <c r="G832" s="8" t="n"/>
    </row>
    <row r="833">
      <c r="A833" s="8" t="inlineStr">
        <is>
          <t>PGCV_0022_0834</t>
        </is>
      </c>
      <c r="B833" s="8" t="inlineStr">
        <is>
          <t>22-35069</t>
        </is>
      </c>
      <c r="C833" s="8" t="inlineStr">
        <is>
          <t>CTHDI0JF2S</t>
        </is>
      </c>
      <c r="D833" s="7" t="n">
        <v>22</v>
      </c>
      <c r="E833" s="7" t="n">
        <v>834</v>
      </c>
      <c r="F833" s="7" t="inlineStr">
        <is>
          <t>Yes</t>
        </is>
      </c>
      <c r="G833" s="8" t="n"/>
    </row>
    <row r="834">
      <c r="A834" s="8" t="inlineStr">
        <is>
          <t>PGCV_0022_0835</t>
        </is>
      </c>
      <c r="B834" s="8" t="inlineStr">
        <is>
          <t>22-35238</t>
        </is>
      </c>
      <c r="C834" s="8" t="inlineStr">
        <is>
          <t>QQ308EMC1F</t>
        </is>
      </c>
      <c r="D834" s="7" t="n">
        <v>22</v>
      </c>
      <c r="E834" s="7" t="n">
        <v>835</v>
      </c>
      <c r="F834" s="7" t="inlineStr">
        <is>
          <t>Yes</t>
        </is>
      </c>
      <c r="G834" s="8" t="n"/>
    </row>
    <row r="835">
      <c r="A835" s="8" t="inlineStr">
        <is>
          <t>PGCV_0022_0836</t>
        </is>
      </c>
      <c r="B835" s="8" t="inlineStr">
        <is>
          <t>22-35239</t>
        </is>
      </c>
      <c r="C835" s="8" t="inlineStr">
        <is>
          <t>T9EQBMRPFE</t>
        </is>
      </c>
      <c r="D835" s="7" t="n">
        <v>22</v>
      </c>
      <c r="E835" s="7" t="n">
        <v>836</v>
      </c>
      <c r="F835" s="7" t="inlineStr">
        <is>
          <t>Yes</t>
        </is>
      </c>
      <c r="G835" s="8" t="n"/>
    </row>
    <row r="836">
      <c r="A836" s="8" t="inlineStr">
        <is>
          <t>PGCV_0022_0837</t>
        </is>
      </c>
      <c r="B836" s="8" t="inlineStr">
        <is>
          <t>22-35246</t>
        </is>
      </c>
      <c r="C836" s="8" t="inlineStr">
        <is>
          <t>B9GJKBJ2GM</t>
        </is>
      </c>
      <c r="D836" s="7" t="n">
        <v>22</v>
      </c>
      <c r="E836" s="7" t="n">
        <v>837</v>
      </c>
      <c r="F836" s="7" t="inlineStr">
        <is>
          <t>Yes</t>
        </is>
      </c>
      <c r="G836" s="8" t="n"/>
    </row>
    <row r="837">
      <c r="A837" s="8" t="inlineStr">
        <is>
          <t>PGCV_0022_0838</t>
        </is>
      </c>
      <c r="B837" s="8" t="inlineStr">
        <is>
          <t>22-35280</t>
        </is>
      </c>
      <c r="C837" s="8" t="inlineStr">
        <is>
          <t>DIG2CO4IHT</t>
        </is>
      </c>
      <c r="D837" s="7" t="n">
        <v>22</v>
      </c>
      <c r="E837" s="7" t="n">
        <v>838</v>
      </c>
      <c r="F837" s="7" t="inlineStr">
        <is>
          <t>Yes</t>
        </is>
      </c>
      <c r="G837" s="8" t="n"/>
    </row>
    <row r="838">
      <c r="A838" s="8" t="inlineStr">
        <is>
          <t>PGCV_0022_0839</t>
        </is>
      </c>
      <c r="B838" s="8" t="inlineStr">
        <is>
          <t>22-35282</t>
        </is>
      </c>
      <c r="C838" s="8" t="inlineStr">
        <is>
          <t>5QY2B1NIL6</t>
        </is>
      </c>
      <c r="D838" s="7" t="n">
        <v>22</v>
      </c>
      <c r="E838" s="7" t="n">
        <v>839</v>
      </c>
      <c r="F838" s="7" t="inlineStr">
        <is>
          <t>Yes</t>
        </is>
      </c>
      <c r="G838" s="8" t="n"/>
    </row>
    <row r="839">
      <c r="A839" s="8" t="inlineStr">
        <is>
          <t>PGCV_0022_0840</t>
        </is>
      </c>
      <c r="B839" s="8" t="inlineStr">
        <is>
          <t>22-35287</t>
        </is>
      </c>
      <c r="C839" s="8" t="inlineStr">
        <is>
          <t>EI72QWZQWI</t>
        </is>
      </c>
      <c r="D839" s="7" t="n">
        <v>22</v>
      </c>
      <c r="E839" s="7" t="n">
        <v>840</v>
      </c>
      <c r="F839" s="7" t="inlineStr">
        <is>
          <t>Yes</t>
        </is>
      </c>
      <c r="G839" s="8" t="n"/>
    </row>
    <row r="840">
      <c r="A840" s="8" t="inlineStr">
        <is>
          <t>PGCV_0025_0841</t>
        </is>
      </c>
      <c r="B840" s="8" t="inlineStr">
        <is>
          <t>RPMVI25620</t>
        </is>
      </c>
      <c r="C840" s="8" t="inlineStr">
        <is>
          <t>RPMVI25620</t>
        </is>
      </c>
      <c r="D840" s="7" t="n">
        <v>25</v>
      </c>
      <c r="E840" s="7" t="n">
        <v>841</v>
      </c>
      <c r="F840" s="7" t="inlineStr">
        <is>
          <t>Yes</t>
        </is>
      </c>
      <c r="G840" s="8" t="n"/>
    </row>
    <row r="841">
      <c r="A841" s="8" t="inlineStr">
        <is>
          <t>PGCV_0025_0842</t>
        </is>
      </c>
      <c r="B841" s="8" t="inlineStr">
        <is>
          <t>RPMVI25631</t>
        </is>
      </c>
      <c r="C841" s="8" t="inlineStr">
        <is>
          <t>RPMVI25631</t>
        </is>
      </c>
      <c r="D841" s="7" t="n">
        <v>25</v>
      </c>
      <c r="E841" s="7" t="n">
        <v>842</v>
      </c>
      <c r="F841" s="7" t="inlineStr">
        <is>
          <t>Yes</t>
        </is>
      </c>
      <c r="G841" s="8" t="n"/>
    </row>
    <row r="842">
      <c r="A842" s="8" t="inlineStr">
        <is>
          <t>PGCV_0025_0843</t>
        </is>
      </c>
      <c r="B842" s="8" t="inlineStr">
        <is>
          <t>RQIPD1145</t>
        </is>
      </c>
      <c r="C842" s="8" t="inlineStr">
        <is>
          <t>RQIPD 1145</t>
        </is>
      </c>
      <c r="D842" s="7" t="n">
        <v>25</v>
      </c>
      <c r="E842" s="7" t="n">
        <v>843</v>
      </c>
      <c r="F842" s="7" t="inlineStr">
        <is>
          <t>Yes</t>
        </is>
      </c>
      <c r="G842" s="8" t="n"/>
    </row>
    <row r="843">
      <c r="A843" s="8" t="inlineStr">
        <is>
          <t>PGCV_0025_0844</t>
        </is>
      </c>
      <c r="B843" s="8" t="inlineStr">
        <is>
          <t>RPMVI25638</t>
        </is>
      </c>
      <c r="C843" s="8" t="inlineStr">
        <is>
          <t>RPMVI25638</t>
        </is>
      </c>
      <c r="D843" s="7" t="n">
        <v>25</v>
      </c>
      <c r="E843" s="7" t="n">
        <v>844</v>
      </c>
      <c r="F843" s="7" t="inlineStr">
        <is>
          <t>Yes</t>
        </is>
      </c>
      <c r="G843" s="8" t="n"/>
    </row>
    <row r="844">
      <c r="A844" s="8" t="inlineStr">
        <is>
          <t>PGCV_0025_0845</t>
        </is>
      </c>
      <c r="B844" s="8" t="inlineStr">
        <is>
          <t>RPMVI25645</t>
        </is>
      </c>
      <c r="C844" s="8" t="inlineStr">
        <is>
          <t>RPMVI25645</t>
        </is>
      </c>
      <c r="D844" s="7" t="n">
        <v>25</v>
      </c>
      <c r="E844" s="7" t="n">
        <v>845</v>
      </c>
      <c r="F844" s="7" t="inlineStr">
        <is>
          <t>Yes</t>
        </is>
      </c>
      <c r="G844" s="8" t="n"/>
    </row>
    <row r="845">
      <c r="A845" s="8" t="inlineStr">
        <is>
          <t>PGCV_0022_0846</t>
        </is>
      </c>
      <c r="B845" s="8" t="inlineStr">
        <is>
          <t>C30882</t>
        </is>
      </c>
      <c r="C845" s="8" t="inlineStr">
        <is>
          <t>4BCF8EGHEH</t>
        </is>
      </c>
      <c r="D845" s="7" t="n">
        <v>22</v>
      </c>
      <c r="E845" s="7" t="n">
        <v>846</v>
      </c>
      <c r="F845" s="7" t="inlineStr">
        <is>
          <t>Yes</t>
        </is>
      </c>
      <c r="G845" s="8" t="n"/>
    </row>
    <row r="846">
      <c r="A846" s="8" t="inlineStr">
        <is>
          <t>PGCV_0022_0847</t>
        </is>
      </c>
      <c r="B846" s="8" t="inlineStr">
        <is>
          <t>C30971</t>
        </is>
      </c>
      <c r="C846" s="8" t="inlineStr">
        <is>
          <t>DAWU9LA3HF</t>
        </is>
      </c>
      <c r="D846" s="7" t="n">
        <v>22</v>
      </c>
      <c r="E846" s="7" t="n">
        <v>847</v>
      </c>
      <c r="F846" s="7" t="inlineStr">
        <is>
          <t>Yes</t>
        </is>
      </c>
      <c r="G846" s="8" t="n"/>
    </row>
    <row r="847">
      <c r="A847" s="8" t="inlineStr">
        <is>
          <t>PGCV_0022_0848</t>
        </is>
      </c>
      <c r="B847" s="8" t="inlineStr">
        <is>
          <t>C31530</t>
        </is>
      </c>
      <c r="C847" s="8" t="inlineStr">
        <is>
          <t>VBRAWQSKPD</t>
        </is>
      </c>
      <c r="D847" s="7" t="n">
        <v>22</v>
      </c>
      <c r="E847" s="7" t="n">
        <v>848</v>
      </c>
      <c r="F847" s="7" t="inlineStr">
        <is>
          <t>Yes</t>
        </is>
      </c>
      <c r="G847" s="8" t="n"/>
    </row>
    <row r="848">
      <c r="A848" s="8" t="inlineStr">
        <is>
          <t>PGCV_0022_0849</t>
        </is>
      </c>
      <c r="B848" s="8" t="inlineStr">
        <is>
          <t>C31574</t>
        </is>
      </c>
      <c r="C848" s="8" t="inlineStr">
        <is>
          <t>AVPDZUZKAG</t>
        </is>
      </c>
      <c r="D848" s="7" t="n">
        <v>22</v>
      </c>
      <c r="E848" s="7" t="n">
        <v>849</v>
      </c>
      <c r="F848" s="7" t="inlineStr">
        <is>
          <t>Yes</t>
        </is>
      </c>
      <c r="G848" s="8" t="n"/>
    </row>
    <row r="849">
      <c r="A849" s="8" t="inlineStr">
        <is>
          <t>PGCV_0023_0693</t>
        </is>
      </c>
      <c r="B849" s="8" t="inlineStr">
        <is>
          <t>COVID-SNL-22-63624</t>
        </is>
      </c>
      <c r="C849" s="8" t="inlineStr">
        <is>
          <t>QZSB96RITX</t>
        </is>
      </c>
      <c r="D849" s="7" t="n">
        <v>23</v>
      </c>
      <c r="E849" s="7" t="n">
        <v>693</v>
      </c>
      <c r="F849" s="7" t="inlineStr">
        <is>
          <t>Yes</t>
        </is>
      </c>
      <c r="G849" s="12" t="inlineStr">
        <is>
          <t>specimen also sequenced as PGCV_0022_0693</t>
        </is>
      </c>
    </row>
    <row r="850">
      <c r="A850" s="8" t="inlineStr">
        <is>
          <t>PGCV_0023_0694</t>
        </is>
      </c>
      <c r="B850" s="8" t="inlineStr">
        <is>
          <t>COVID-SNL-22-63636</t>
        </is>
      </c>
      <c r="C850" s="8" t="inlineStr">
        <is>
          <t>AOPCHK6RZI</t>
        </is>
      </c>
      <c r="D850" s="7" t="n">
        <v>23</v>
      </c>
      <c r="E850" s="7" t="n">
        <v>694</v>
      </c>
      <c r="F850" s="7" t="inlineStr">
        <is>
          <t>Yes</t>
        </is>
      </c>
      <c r="G850" s="12" t="inlineStr">
        <is>
          <t>specimen also sequenced as PGCV_0022_0694</t>
        </is>
      </c>
    </row>
    <row r="851">
      <c r="A851" s="8" t="inlineStr">
        <is>
          <t>PGCV_0023_0695</t>
        </is>
      </c>
      <c r="B851" s="8" t="inlineStr">
        <is>
          <t>COVID-SNL-22-63862</t>
        </is>
      </c>
      <c r="C851" s="8" t="inlineStr">
        <is>
          <t>CJSTHVK8GH</t>
        </is>
      </c>
      <c r="D851" s="7" t="n">
        <v>23</v>
      </c>
      <c r="E851" s="7" t="n">
        <v>695</v>
      </c>
      <c r="F851" s="7" t="inlineStr">
        <is>
          <t>Yes</t>
        </is>
      </c>
      <c r="G851" s="12" t="inlineStr">
        <is>
          <t>specimen also sequenced as PGCV_0022_0695</t>
        </is>
      </c>
    </row>
    <row r="852">
      <c r="A852" s="8" t="inlineStr">
        <is>
          <t>PGCV_0023_0696</t>
        </is>
      </c>
      <c r="B852" s="8" t="inlineStr">
        <is>
          <t>COVID-SNL-22-63875</t>
        </is>
      </c>
      <c r="C852" s="8" t="inlineStr">
        <is>
          <t>QPKATRNJSZ</t>
        </is>
      </c>
      <c r="D852" s="7" t="n">
        <v>23</v>
      </c>
      <c r="E852" s="7" t="n">
        <v>696</v>
      </c>
      <c r="F852" s="7" t="inlineStr">
        <is>
          <t>Yes</t>
        </is>
      </c>
      <c r="G852" s="12" t="inlineStr">
        <is>
          <t>specimen also sequenced as PGCV_0022_0696</t>
        </is>
      </c>
    </row>
    <row r="853">
      <c r="A853" s="8" t="inlineStr">
        <is>
          <t>PGCV_0023_0697</t>
        </is>
      </c>
      <c r="B853" s="8" t="inlineStr">
        <is>
          <t>COVID-SNL-22-63773</t>
        </is>
      </c>
      <c r="C853" s="8" t="inlineStr">
        <is>
          <t>DW35RLCLBI</t>
        </is>
      </c>
      <c r="D853" s="7" t="n">
        <v>23</v>
      </c>
      <c r="E853" s="7" t="n">
        <v>697</v>
      </c>
      <c r="F853" s="7" t="inlineStr">
        <is>
          <t>Yes</t>
        </is>
      </c>
      <c r="G853" s="12" t="inlineStr">
        <is>
          <t>specimen also sequenced as PGCV_0022_0697</t>
        </is>
      </c>
    </row>
    <row r="854">
      <c r="A854" s="8" t="inlineStr">
        <is>
          <t>PGCV_0023_0698</t>
        </is>
      </c>
      <c r="B854" s="8" t="inlineStr">
        <is>
          <t>COVID-SNL-22-63775</t>
        </is>
      </c>
      <c r="C854" s="8" t="inlineStr">
        <is>
          <t>CRV6WVT3UZ</t>
        </is>
      </c>
      <c r="D854" s="7" t="n">
        <v>23</v>
      </c>
      <c r="E854" s="7" t="n">
        <v>698</v>
      </c>
      <c r="F854" s="7" t="inlineStr">
        <is>
          <t>Yes</t>
        </is>
      </c>
      <c r="G854" s="12" t="inlineStr">
        <is>
          <t>specimen also sequenced as PGCV_0022_0698</t>
        </is>
      </c>
    </row>
    <row r="855">
      <c r="A855" s="8" t="inlineStr">
        <is>
          <t>PGCV_0023_0699</t>
        </is>
      </c>
      <c r="B855" s="8" t="inlineStr">
        <is>
          <t>COVID-SNL-22-63785</t>
        </is>
      </c>
      <c r="C855" s="8" t="inlineStr">
        <is>
          <t>G3UBWZIRWU</t>
        </is>
      </c>
      <c r="D855" s="7" t="n">
        <v>23</v>
      </c>
      <c r="E855" s="7" t="n">
        <v>699</v>
      </c>
      <c r="F855" s="7" t="inlineStr">
        <is>
          <t>Yes</t>
        </is>
      </c>
      <c r="G855" s="12" t="inlineStr">
        <is>
          <t>specimen also sequenced as PGCV_0022_0699</t>
        </is>
      </c>
    </row>
    <row r="856">
      <c r="A856" s="8" t="inlineStr">
        <is>
          <t>PGCV_0023_0700</t>
        </is>
      </c>
      <c r="B856" s="8" t="inlineStr">
        <is>
          <t>COVID-SNL-22-63786</t>
        </is>
      </c>
      <c r="C856" s="8" t="inlineStr">
        <is>
          <t>FHYJ7R4QHA</t>
        </is>
      </c>
      <c r="D856" s="7" t="n">
        <v>23</v>
      </c>
      <c r="E856" s="7" t="n">
        <v>700</v>
      </c>
      <c r="F856" s="7" t="inlineStr">
        <is>
          <t>Yes</t>
        </is>
      </c>
      <c r="G856" s="12" t="inlineStr">
        <is>
          <t>specimen also sequenced as PGCV_0022_0700</t>
        </is>
      </c>
    </row>
    <row r="857">
      <c r="A857" s="8" t="inlineStr">
        <is>
          <t>PGCV_0023_0701</t>
        </is>
      </c>
      <c r="B857" s="8" t="inlineStr">
        <is>
          <t>COVID-SNL-22-63808</t>
        </is>
      </c>
      <c r="C857" s="8" t="inlineStr">
        <is>
          <t>C0TMELBTUS</t>
        </is>
      </c>
      <c r="D857" s="7" t="n">
        <v>23</v>
      </c>
      <c r="E857" s="7" t="n">
        <v>701</v>
      </c>
      <c r="F857" s="7" t="inlineStr">
        <is>
          <t>Yes</t>
        </is>
      </c>
      <c r="G857" s="12" t="inlineStr">
        <is>
          <t>specimen also sequenced as PGCV_0022_0701</t>
        </is>
      </c>
    </row>
    <row r="858">
      <c r="A858" s="8" t="inlineStr">
        <is>
          <t>PGCV_0023_0702</t>
        </is>
      </c>
      <c r="B858" s="8" t="inlineStr">
        <is>
          <t>COVID-SNL-22-63830</t>
        </is>
      </c>
      <c r="C858" s="8" t="inlineStr">
        <is>
          <t>WRTVKEIJB0</t>
        </is>
      </c>
      <c r="D858" s="7" t="n">
        <v>23</v>
      </c>
      <c r="E858" s="7" t="n">
        <v>702</v>
      </c>
      <c r="F858" s="7" t="inlineStr">
        <is>
          <t>Yes</t>
        </is>
      </c>
      <c r="G858" s="12" t="inlineStr">
        <is>
          <t>specimen also sequenced as PGCV_0022_0702</t>
        </is>
      </c>
    </row>
    <row r="859">
      <c r="A859" s="8" t="inlineStr">
        <is>
          <t>PGCV_0023_0703</t>
        </is>
      </c>
      <c r="B859" s="8" t="inlineStr">
        <is>
          <t>COVID-SNL-22-63612</t>
        </is>
      </c>
      <c r="C859" s="8" t="inlineStr">
        <is>
          <t>OHAWT7TYJB</t>
        </is>
      </c>
      <c r="D859" s="7" t="n">
        <v>23</v>
      </c>
      <c r="E859" s="7" t="n">
        <v>703</v>
      </c>
      <c r="F859" s="7" t="inlineStr">
        <is>
          <t>Yes</t>
        </is>
      </c>
      <c r="G859" s="12" t="inlineStr">
        <is>
          <t>specimen also sequenced as PGCV_0022_0703</t>
        </is>
      </c>
    </row>
    <row r="860">
      <c r="A860" s="8" t="inlineStr">
        <is>
          <t>PGCV_0023_0704</t>
        </is>
      </c>
      <c r="B860" s="8" t="inlineStr">
        <is>
          <t>COVID-SNL-22-63890</t>
        </is>
      </c>
      <c r="C860" s="8" t="inlineStr">
        <is>
          <t>IPPAOWGRQ8</t>
        </is>
      </c>
      <c r="D860" s="7" t="n">
        <v>23</v>
      </c>
      <c r="E860" s="7" t="n">
        <v>704</v>
      </c>
      <c r="F860" s="7" t="inlineStr">
        <is>
          <t>Yes</t>
        </is>
      </c>
      <c r="G860" s="12" t="inlineStr">
        <is>
          <t>specimen also sequenced as PGCV_0022_0704</t>
        </is>
      </c>
    </row>
    <row r="861">
      <c r="A861" s="8" t="inlineStr">
        <is>
          <t>PGCV_0023_0705</t>
        </is>
      </c>
      <c r="B861" s="8" t="inlineStr">
        <is>
          <t>COVID-SNL-22-63897</t>
        </is>
      </c>
      <c r="C861" s="8" t="inlineStr">
        <is>
          <t>9KVVSNB9NG</t>
        </is>
      </c>
      <c r="D861" s="7" t="n">
        <v>23</v>
      </c>
      <c r="E861" s="7" t="n">
        <v>705</v>
      </c>
      <c r="F861" s="7" t="inlineStr">
        <is>
          <t>Yes</t>
        </is>
      </c>
      <c r="G861" s="12" t="inlineStr">
        <is>
          <t>specimen also sequenced as PGCV_0022_0705</t>
        </is>
      </c>
    </row>
    <row r="862">
      <c r="A862" s="8" t="inlineStr">
        <is>
          <t>PGCV_0023_0706</t>
        </is>
      </c>
      <c r="B862" s="8" t="inlineStr">
        <is>
          <t>COVID-SNL-22-63985</t>
        </is>
      </c>
      <c r="C862" s="8" t="inlineStr">
        <is>
          <t>GIHCCVZWBB</t>
        </is>
      </c>
      <c r="D862" s="7" t="n">
        <v>23</v>
      </c>
      <c r="E862" s="7" t="n">
        <v>706</v>
      </c>
      <c r="F862" s="7" t="inlineStr">
        <is>
          <t>Yes</t>
        </is>
      </c>
      <c r="G862" s="12" t="inlineStr">
        <is>
          <t>specimen also sequenced as PGCV_0022_0706</t>
        </is>
      </c>
    </row>
    <row r="863">
      <c r="A863" s="8" t="inlineStr">
        <is>
          <t>PGCV_0023_0707</t>
        </is>
      </c>
      <c r="B863" s="8" t="inlineStr">
        <is>
          <t>COVID-SNL-22-63988</t>
        </is>
      </c>
      <c r="C863" s="8" t="inlineStr">
        <is>
          <t>KFQSZJFZST</t>
        </is>
      </c>
      <c r="D863" s="7" t="n">
        <v>23</v>
      </c>
      <c r="E863" s="7" t="n">
        <v>707</v>
      </c>
      <c r="F863" s="7" t="inlineStr">
        <is>
          <t>Yes</t>
        </is>
      </c>
      <c r="G863" s="12" t="inlineStr">
        <is>
          <t>specimen also sequenced as PGCV_0022_0707</t>
        </is>
      </c>
    </row>
    <row r="864">
      <c r="A864" s="8" t="inlineStr">
        <is>
          <t>PGCV_0023_0708</t>
        </is>
      </c>
      <c r="B864" s="8" t="inlineStr">
        <is>
          <t>COVID-SNL-22-64048</t>
        </is>
      </c>
      <c r="C864" s="8" t="inlineStr">
        <is>
          <t>JL7OVYKV4L</t>
        </is>
      </c>
      <c r="D864" s="7" t="n">
        <v>23</v>
      </c>
      <c r="E864" s="7" t="n">
        <v>708</v>
      </c>
      <c r="F864" s="7" t="inlineStr">
        <is>
          <t>Yes</t>
        </is>
      </c>
      <c r="G864" s="12" t="inlineStr">
        <is>
          <t>specimen also sequenced as PGCV_0022_0708</t>
        </is>
      </c>
    </row>
    <row r="865">
      <c r="A865" s="8" t="inlineStr">
        <is>
          <t>PGCV_0023_0709</t>
        </is>
      </c>
      <c r="B865" s="8" t="inlineStr">
        <is>
          <t>COVID-SNL-22-64097</t>
        </is>
      </c>
      <c r="C865" s="8" t="inlineStr">
        <is>
          <t>RMY2IX4AYR</t>
        </is>
      </c>
      <c r="D865" s="7" t="n">
        <v>23</v>
      </c>
      <c r="E865" s="7" t="n">
        <v>709</v>
      </c>
      <c r="F865" s="7" t="inlineStr">
        <is>
          <t>Yes</t>
        </is>
      </c>
      <c r="G865" s="12" t="inlineStr">
        <is>
          <t>specimen also sequenced as PGCV_0022_0709, PGCV_0022_0792</t>
        </is>
      </c>
    </row>
    <row r="866">
      <c r="A866" s="8" t="inlineStr">
        <is>
          <t>PGCV_0023_0710</t>
        </is>
      </c>
      <c r="B866" s="8" t="inlineStr">
        <is>
          <t>COVID-SNL-22-64133</t>
        </is>
      </c>
      <c r="C866" s="8" t="inlineStr">
        <is>
          <t>GA9QR6VP4E</t>
        </is>
      </c>
      <c r="D866" s="7" t="n">
        <v>23</v>
      </c>
      <c r="E866" s="7" t="n">
        <v>710</v>
      </c>
      <c r="F866" s="7" t="inlineStr">
        <is>
          <t>Yes</t>
        </is>
      </c>
      <c r="G866" s="12" t="inlineStr">
        <is>
          <t>specimen also sequenced as PGCV_0022_0710</t>
        </is>
      </c>
    </row>
    <row r="867">
      <c r="A867" s="8" t="inlineStr">
        <is>
          <t>PGCV_0023_0711</t>
        </is>
      </c>
      <c r="B867" s="8" t="inlineStr">
        <is>
          <t>COVID-SNL-22-64139</t>
        </is>
      </c>
      <c r="C867" s="8" t="inlineStr">
        <is>
          <t>PJPFY3MNGO</t>
        </is>
      </c>
      <c r="D867" s="7" t="n">
        <v>23</v>
      </c>
      <c r="E867" s="7" t="n">
        <v>711</v>
      </c>
      <c r="F867" s="7" t="inlineStr">
        <is>
          <t>Yes</t>
        </is>
      </c>
      <c r="G867" s="12" t="inlineStr">
        <is>
          <t>specimen also sequenced as PGCV_0022_0711</t>
        </is>
      </c>
    </row>
    <row r="868">
      <c r="A868" s="8" t="inlineStr">
        <is>
          <t>PGCV_0023_0712</t>
        </is>
      </c>
      <c r="B868" s="8" t="inlineStr">
        <is>
          <t>COVID-SNL-22-64153</t>
        </is>
      </c>
      <c r="C868" s="8" t="inlineStr">
        <is>
          <t>4PYFJ2Q5WE</t>
        </is>
      </c>
      <c r="D868" s="7" t="n">
        <v>23</v>
      </c>
      <c r="E868" s="7" t="n">
        <v>712</v>
      </c>
      <c r="F868" s="7" t="inlineStr">
        <is>
          <t>Yes</t>
        </is>
      </c>
      <c r="G868" s="12" t="inlineStr">
        <is>
          <t>specimen also sequenced as PGCV_0022_0712</t>
        </is>
      </c>
    </row>
    <row r="869">
      <c r="A869" s="8" t="inlineStr">
        <is>
          <t>PGCV_0023_0713</t>
        </is>
      </c>
      <c r="B869" s="8" t="inlineStr">
        <is>
          <t>COVID-SNL-22-64155</t>
        </is>
      </c>
      <c r="C869" s="8" t="inlineStr">
        <is>
          <t>DFTKOY17PU</t>
        </is>
      </c>
      <c r="D869" s="7" t="n">
        <v>23</v>
      </c>
      <c r="E869" s="7" t="n">
        <v>713</v>
      </c>
      <c r="F869" s="7" t="inlineStr">
        <is>
          <t>Yes</t>
        </is>
      </c>
      <c r="G869" s="12" t="inlineStr">
        <is>
          <t>specimen also sequenced as PGCV_0022_0713</t>
        </is>
      </c>
    </row>
    <row r="870">
      <c r="A870" s="8" t="inlineStr">
        <is>
          <t>PGCV_0023_0714</t>
        </is>
      </c>
      <c r="B870" s="8" t="inlineStr">
        <is>
          <t>COVID-SNL-22-64178</t>
        </is>
      </c>
      <c r="C870" s="8" t="inlineStr">
        <is>
          <t>6TWPGIFBWT</t>
        </is>
      </c>
      <c r="D870" s="7" t="n">
        <v>23</v>
      </c>
      <c r="E870" s="7" t="n">
        <v>714</v>
      </c>
      <c r="F870" s="7" t="inlineStr">
        <is>
          <t>Yes</t>
        </is>
      </c>
      <c r="G870" s="12" t="inlineStr">
        <is>
          <t>specimen also sequenced as PGCV_0022_0714</t>
        </is>
      </c>
    </row>
    <row r="871">
      <c r="A871" s="8" t="inlineStr">
        <is>
          <t>PGCV_0023_0715</t>
        </is>
      </c>
      <c r="B871" s="8" t="inlineStr">
        <is>
          <t>COVID-SNL-22-64116</t>
        </is>
      </c>
      <c r="C871" s="8" t="inlineStr">
        <is>
          <t>TBS1NODMID</t>
        </is>
      </c>
      <c r="D871" s="7" t="n">
        <v>23</v>
      </c>
      <c r="E871" s="7" t="n">
        <v>715</v>
      </c>
      <c r="F871" s="7" t="inlineStr">
        <is>
          <t>Yes</t>
        </is>
      </c>
      <c r="G871" s="12" t="inlineStr">
        <is>
          <t>specimen also sequenced as PGCV_0022_0715</t>
        </is>
      </c>
    </row>
    <row r="872">
      <c r="A872" s="8" t="inlineStr">
        <is>
          <t>PGCV_0023_0716</t>
        </is>
      </c>
      <c r="B872" s="8" t="inlineStr">
        <is>
          <t>COVID-SNL-22-64152</t>
        </is>
      </c>
      <c r="C872" s="8" t="inlineStr">
        <is>
          <t>YVEGFKB428</t>
        </is>
      </c>
      <c r="D872" s="7" t="n">
        <v>23</v>
      </c>
      <c r="E872" s="7" t="n">
        <v>716</v>
      </c>
      <c r="F872" s="7" t="inlineStr">
        <is>
          <t>Yes</t>
        </is>
      </c>
      <c r="G872" s="12" t="inlineStr">
        <is>
          <t>specimen also sequenced as PGCV_0022_0716</t>
        </is>
      </c>
    </row>
    <row r="873">
      <c r="A873" s="8" t="inlineStr">
        <is>
          <t>PGCV_0023_0717</t>
        </is>
      </c>
      <c r="B873" s="8" t="inlineStr">
        <is>
          <t>COVID-SNL-22-64273</t>
        </is>
      </c>
      <c r="C873" s="8" t="inlineStr">
        <is>
          <t>G4ITUXWOXH</t>
        </is>
      </c>
      <c r="D873" s="7" t="n">
        <v>23</v>
      </c>
      <c r="E873" s="7" t="n">
        <v>717</v>
      </c>
      <c r="F873" s="7" t="inlineStr">
        <is>
          <t>Yes</t>
        </is>
      </c>
      <c r="G873" s="12" t="inlineStr">
        <is>
          <t>specimen also sequenced as PGCV_0022_0717</t>
        </is>
      </c>
    </row>
    <row r="874">
      <c r="A874" s="8" t="inlineStr">
        <is>
          <t>PGCV_0023_0718</t>
        </is>
      </c>
      <c r="B874" s="8" t="inlineStr">
        <is>
          <t>COVID-SNL-22-64394</t>
        </is>
      </c>
      <c r="C874" s="8" t="inlineStr">
        <is>
          <t>AZFTQ7GSSU</t>
        </is>
      </c>
      <c r="D874" s="7" t="n">
        <v>23</v>
      </c>
      <c r="E874" s="7" t="n">
        <v>718</v>
      </c>
      <c r="F874" s="7" t="inlineStr">
        <is>
          <t>Yes</t>
        </is>
      </c>
      <c r="G874" s="12" t="inlineStr">
        <is>
          <t>specimen also sequenced as PGCV_0022_0718</t>
        </is>
      </c>
    </row>
    <row r="875">
      <c r="A875" s="8" t="inlineStr">
        <is>
          <t>PGCV_0023_0719</t>
        </is>
      </c>
      <c r="B875" s="8" t="inlineStr">
        <is>
          <t>COVID-SNL-22-64305</t>
        </is>
      </c>
      <c r="C875" s="8" t="inlineStr">
        <is>
          <t>190LNQWXFO</t>
        </is>
      </c>
      <c r="D875" s="7" t="n">
        <v>23</v>
      </c>
      <c r="E875" s="7" t="n">
        <v>719</v>
      </c>
      <c r="F875" s="7" t="inlineStr">
        <is>
          <t>Yes</t>
        </is>
      </c>
      <c r="G875" s="12" t="inlineStr">
        <is>
          <t>specimen also sequenced as PGCV_0022_0719</t>
        </is>
      </c>
    </row>
    <row r="876">
      <c r="A876" s="8" t="inlineStr">
        <is>
          <t>PGCV_0023_0720</t>
        </is>
      </c>
      <c r="B876" s="8" t="inlineStr">
        <is>
          <t>COVID-SNL-22-64306</t>
        </is>
      </c>
      <c r="C876" s="8" t="inlineStr">
        <is>
          <t>5ZMPWIK9MM</t>
        </is>
      </c>
      <c r="D876" s="7" t="n">
        <v>23</v>
      </c>
      <c r="E876" s="7" t="n">
        <v>720</v>
      </c>
      <c r="F876" s="7" t="inlineStr">
        <is>
          <t>Yes</t>
        </is>
      </c>
      <c r="G876" s="12" t="inlineStr">
        <is>
          <t>specimen also sequenced as PGCV_0022_0720</t>
        </is>
      </c>
    </row>
    <row r="877">
      <c r="A877" s="8" t="inlineStr">
        <is>
          <t>PGCV_0023_0721</t>
        </is>
      </c>
      <c r="B877" s="8" t="inlineStr">
        <is>
          <t>COVID-SNL-22-64423</t>
        </is>
      </c>
      <c r="C877" s="8" t="inlineStr">
        <is>
          <t>2DHYV5W0NL</t>
        </is>
      </c>
      <c r="D877" s="7" t="n">
        <v>23</v>
      </c>
      <c r="E877" s="7" t="n">
        <v>721</v>
      </c>
      <c r="F877" s="7" t="inlineStr">
        <is>
          <t>Yes</t>
        </is>
      </c>
      <c r="G877" s="12" t="inlineStr">
        <is>
          <t>specimen also sequenced as PGCV_0022_0721</t>
        </is>
      </c>
    </row>
    <row r="878">
      <c r="A878" s="8" t="inlineStr">
        <is>
          <t>PGCV_0023_0722</t>
        </is>
      </c>
      <c r="B878" s="8" t="inlineStr">
        <is>
          <t>COVID-SNL-22-64474</t>
        </is>
      </c>
      <c r="C878" s="8" t="inlineStr">
        <is>
          <t>CWOR9WHAKW</t>
        </is>
      </c>
      <c r="D878" s="7" t="n">
        <v>23</v>
      </c>
      <c r="E878" s="7" t="n">
        <v>722</v>
      </c>
      <c r="F878" s="7" t="inlineStr">
        <is>
          <t>Yes</t>
        </is>
      </c>
      <c r="G878" s="12" t="inlineStr">
        <is>
          <t>specimen also sequenced as PGCV_0022_0722</t>
        </is>
      </c>
    </row>
    <row r="879">
      <c r="A879" s="8" t="inlineStr">
        <is>
          <t>PGCV_0023_0723</t>
        </is>
      </c>
      <c r="B879" s="8" t="inlineStr">
        <is>
          <t>COVID-SNL-22-64512</t>
        </is>
      </c>
      <c r="C879" s="8" t="inlineStr">
        <is>
          <t>PBYGH95QKW</t>
        </is>
      </c>
      <c r="D879" s="7" t="n">
        <v>23</v>
      </c>
      <c r="E879" s="7" t="n">
        <v>723</v>
      </c>
      <c r="F879" s="7" t="inlineStr">
        <is>
          <t>Yes</t>
        </is>
      </c>
      <c r="G879" s="12" t="inlineStr">
        <is>
          <t>specimen also sequenced as PGCV_0022_0723</t>
        </is>
      </c>
    </row>
    <row r="880">
      <c r="A880" s="8" t="inlineStr">
        <is>
          <t>PGCV_0023_0724</t>
        </is>
      </c>
      <c r="B880" s="8" t="inlineStr">
        <is>
          <t>COVID-SNL-22-64546</t>
        </is>
      </c>
      <c r="C880" s="8" t="inlineStr">
        <is>
          <t>F8PUDPD23G</t>
        </is>
      </c>
      <c r="D880" s="7" t="n">
        <v>23</v>
      </c>
      <c r="E880" s="7" t="n">
        <v>724</v>
      </c>
      <c r="F880" s="7" t="inlineStr">
        <is>
          <t>Yes</t>
        </is>
      </c>
      <c r="G880" s="12" t="inlineStr">
        <is>
          <t>specimen also sequenced as PGCV_0022_0724</t>
        </is>
      </c>
    </row>
    <row r="881">
      <c r="A881" s="8" t="inlineStr">
        <is>
          <t>PGCV_0023_0725</t>
        </is>
      </c>
      <c r="B881" s="8" t="inlineStr">
        <is>
          <t>COVID-SNL-22-64573</t>
        </is>
      </c>
      <c r="C881" s="8" t="inlineStr">
        <is>
          <t>HUEBVBJEE5</t>
        </is>
      </c>
      <c r="D881" s="7" t="n">
        <v>23</v>
      </c>
      <c r="E881" s="7" t="n">
        <v>725</v>
      </c>
      <c r="F881" s="7" t="inlineStr">
        <is>
          <t>Yes</t>
        </is>
      </c>
      <c r="G881" s="12" t="inlineStr">
        <is>
          <t>specimen also sequenced as PGCV_0022_0725</t>
        </is>
      </c>
    </row>
    <row r="882">
      <c r="A882" s="8" t="inlineStr">
        <is>
          <t>PGCV_0023_0726</t>
        </is>
      </c>
      <c r="B882" s="8" t="inlineStr">
        <is>
          <t>COVID-SNL-22-64575</t>
        </is>
      </c>
      <c r="C882" s="8" t="inlineStr">
        <is>
          <t>ILPSVBLGD5</t>
        </is>
      </c>
      <c r="D882" s="7" t="n">
        <v>23</v>
      </c>
      <c r="E882" s="7" t="n">
        <v>726</v>
      </c>
      <c r="F882" s="7" t="inlineStr">
        <is>
          <t>Yes</t>
        </is>
      </c>
      <c r="G882" s="12" t="inlineStr">
        <is>
          <t>specimen also sequenced as PGCV_0022_0726</t>
        </is>
      </c>
    </row>
    <row r="883">
      <c r="A883" s="8" t="inlineStr">
        <is>
          <t>PGCV_0023_0727</t>
        </is>
      </c>
      <c r="B883" s="8" t="inlineStr">
        <is>
          <t>COVID-SNL-22-64576</t>
        </is>
      </c>
      <c r="C883" s="8" t="inlineStr">
        <is>
          <t>X8TRFEUKAD</t>
        </is>
      </c>
      <c r="D883" s="7" t="n">
        <v>23</v>
      </c>
      <c r="E883" s="7" t="n">
        <v>727</v>
      </c>
      <c r="F883" s="7" t="inlineStr">
        <is>
          <t>Yes</t>
        </is>
      </c>
      <c r="G883" s="12" t="inlineStr">
        <is>
          <t>specimen also sequenced as PGCV_0022_0727</t>
        </is>
      </c>
    </row>
    <row r="884">
      <c r="A884" s="8" t="inlineStr">
        <is>
          <t>PGCV_0023_0728</t>
        </is>
      </c>
      <c r="B884" s="8" t="inlineStr">
        <is>
          <t>COVID-SNL-22-64584</t>
        </is>
      </c>
      <c r="C884" s="8" t="inlineStr">
        <is>
          <t>C8LDACWS1N</t>
        </is>
      </c>
      <c r="D884" s="7" t="n">
        <v>23</v>
      </c>
      <c r="E884" s="7" t="n">
        <v>728</v>
      </c>
      <c r="F884" s="7" t="inlineStr">
        <is>
          <t>Yes</t>
        </is>
      </c>
      <c r="G884" s="12" t="inlineStr">
        <is>
          <t>specimen also sequenced as PGCV_0022_0728</t>
        </is>
      </c>
    </row>
    <row r="885">
      <c r="A885" s="8" t="inlineStr">
        <is>
          <t>PGCV_0023_0729</t>
        </is>
      </c>
      <c r="B885" s="8" t="inlineStr">
        <is>
          <t>COVID-SNL-22-64657</t>
        </is>
      </c>
      <c r="C885" s="8" t="inlineStr">
        <is>
          <t>CCAESCRBIZ</t>
        </is>
      </c>
      <c r="D885" s="7" t="n">
        <v>23</v>
      </c>
      <c r="E885" s="7" t="n">
        <v>729</v>
      </c>
      <c r="F885" s="7" t="inlineStr">
        <is>
          <t>Yes</t>
        </is>
      </c>
      <c r="G885" s="12" t="inlineStr">
        <is>
          <t>specimen also sequenced as PGCV_0022_0729</t>
        </is>
      </c>
    </row>
    <row r="886">
      <c r="A886" s="8" t="inlineStr">
        <is>
          <t>PGCV_0023_0730</t>
        </is>
      </c>
      <c r="B886" s="8" t="inlineStr">
        <is>
          <t>COVID-SNL-22-64658</t>
        </is>
      </c>
      <c r="C886" s="8" t="inlineStr">
        <is>
          <t>4ZJAFDHKE7</t>
        </is>
      </c>
      <c r="D886" s="7" t="n">
        <v>23</v>
      </c>
      <c r="E886" s="7" t="n">
        <v>730</v>
      </c>
      <c r="F886" s="7" t="inlineStr">
        <is>
          <t>Yes</t>
        </is>
      </c>
      <c r="G886" s="12" t="inlineStr">
        <is>
          <t>specimen also sequenced as PGCV_0022_0730</t>
        </is>
      </c>
    </row>
    <row r="887">
      <c r="A887" s="8" t="inlineStr">
        <is>
          <t>PGCV_0023_0731</t>
        </is>
      </c>
      <c r="B887" s="8" t="inlineStr">
        <is>
          <t>COVID-SNL-22-64661</t>
        </is>
      </c>
      <c r="C887" s="8" t="inlineStr">
        <is>
          <t>UGZX35ZASM</t>
        </is>
      </c>
      <c r="D887" s="7" t="n">
        <v>23</v>
      </c>
      <c r="E887" s="7" t="n">
        <v>731</v>
      </c>
      <c r="F887" s="7" t="inlineStr">
        <is>
          <t>Yes</t>
        </is>
      </c>
      <c r="G887" s="12" t="inlineStr">
        <is>
          <t>specimen also sequenced as PGCV_0022_0731</t>
        </is>
      </c>
    </row>
    <row r="888">
      <c r="A888" s="8" t="inlineStr">
        <is>
          <t>PGCV_0023_0732</t>
        </is>
      </c>
      <c r="B888" s="8" t="inlineStr">
        <is>
          <t>COVID-SNL-22-64744</t>
        </is>
      </c>
      <c r="C888" s="8" t="inlineStr">
        <is>
          <t>KHGBZFZINX</t>
        </is>
      </c>
      <c r="D888" s="7" t="n">
        <v>23</v>
      </c>
      <c r="E888" s="7" t="n">
        <v>732</v>
      </c>
      <c r="F888" s="7" t="inlineStr">
        <is>
          <t>Yes</t>
        </is>
      </c>
      <c r="G888" s="12" t="inlineStr">
        <is>
          <t>specimen also sequenced as PGCV_0022_0732</t>
        </is>
      </c>
    </row>
    <row r="889">
      <c r="A889" s="8" t="inlineStr">
        <is>
          <t>PGCV_0023_0733</t>
        </is>
      </c>
      <c r="B889" s="8" t="inlineStr">
        <is>
          <t>COVID-SNL-22-64748</t>
        </is>
      </c>
      <c r="C889" s="8" t="inlineStr">
        <is>
          <t>EE9SMVIJG9</t>
        </is>
      </c>
      <c r="D889" s="7" t="n">
        <v>23</v>
      </c>
      <c r="E889" s="7" t="n">
        <v>733</v>
      </c>
      <c r="F889" s="7" t="inlineStr">
        <is>
          <t>Yes</t>
        </is>
      </c>
      <c r="G889" s="12" t="inlineStr">
        <is>
          <t>specimen also sequenced as PGCV_0022_0733</t>
        </is>
      </c>
    </row>
    <row r="890">
      <c r="A890" s="8" t="inlineStr">
        <is>
          <t>PGCV_0023_0734</t>
        </is>
      </c>
      <c r="B890" s="8" t="inlineStr">
        <is>
          <t>COVID-SNL-22-64789</t>
        </is>
      </c>
      <c r="C890" s="8" t="inlineStr">
        <is>
          <t>LI22BDVFHI</t>
        </is>
      </c>
      <c r="D890" s="7" t="n">
        <v>23</v>
      </c>
      <c r="E890" s="7" t="n">
        <v>734</v>
      </c>
      <c r="F890" s="7" t="inlineStr">
        <is>
          <t>Yes</t>
        </is>
      </c>
      <c r="G890" s="12" t="inlineStr">
        <is>
          <t>specimen also sequenced as PGCV_0022_0734</t>
        </is>
      </c>
    </row>
    <row r="891">
      <c r="A891" s="8" t="inlineStr">
        <is>
          <t>PGCV_0023_0735</t>
        </is>
      </c>
      <c r="B891" s="8" t="inlineStr">
        <is>
          <t>COVID-SNL-22-64884</t>
        </is>
      </c>
      <c r="C891" s="8" t="inlineStr">
        <is>
          <t>XQ7UMPGBCT</t>
        </is>
      </c>
      <c r="D891" s="7" t="n">
        <v>23</v>
      </c>
      <c r="E891" s="7" t="n">
        <v>735</v>
      </c>
      <c r="F891" s="7" t="inlineStr">
        <is>
          <t>Yes</t>
        </is>
      </c>
      <c r="G891" s="12" t="inlineStr">
        <is>
          <t>specimen also sequenced as PGCV_0022_0735</t>
        </is>
      </c>
    </row>
    <row r="892">
      <c r="A892" s="8" t="inlineStr">
        <is>
          <t>PGCV_0023_0736</t>
        </is>
      </c>
      <c r="B892" s="8" t="inlineStr">
        <is>
          <t>COVID-SNL-22-64892</t>
        </is>
      </c>
      <c r="C892" s="8" t="inlineStr">
        <is>
          <t>6KN1QRLWVN</t>
        </is>
      </c>
      <c r="D892" s="7" t="n">
        <v>23</v>
      </c>
      <c r="E892" s="7" t="n">
        <v>736</v>
      </c>
      <c r="F892" s="7" t="inlineStr">
        <is>
          <t>Yes</t>
        </is>
      </c>
      <c r="G892" s="12" t="inlineStr">
        <is>
          <t>specimen also sequenced as PGCV_0022_0736</t>
        </is>
      </c>
    </row>
    <row r="893">
      <c r="A893" s="8" t="inlineStr">
        <is>
          <t>PGCV_0023_0737</t>
        </is>
      </c>
      <c r="B893" s="8" t="inlineStr">
        <is>
          <t>COVID-SNL-22-64893</t>
        </is>
      </c>
      <c r="C893" s="8" t="inlineStr">
        <is>
          <t>5JCSYAYJGQ</t>
        </is>
      </c>
      <c r="D893" s="7" t="n">
        <v>23</v>
      </c>
      <c r="E893" s="7" t="n">
        <v>737</v>
      </c>
      <c r="F893" s="7" t="inlineStr">
        <is>
          <t>Yes</t>
        </is>
      </c>
      <c r="G893" s="12" t="inlineStr">
        <is>
          <t>specimen also sequenced as PGCV_0022_0737</t>
        </is>
      </c>
    </row>
    <row r="894">
      <c r="A894" s="8" t="inlineStr">
        <is>
          <t>PGCV_0023_0738</t>
        </is>
      </c>
      <c r="B894" s="8" t="inlineStr">
        <is>
          <t>COVID-SNL-22-64894</t>
        </is>
      </c>
      <c r="C894" s="8" t="inlineStr">
        <is>
          <t>L3HFZYRZRW</t>
        </is>
      </c>
      <c r="D894" s="7" t="n">
        <v>23</v>
      </c>
      <c r="E894" s="7" t="n">
        <v>738</v>
      </c>
      <c r="F894" s="7" t="inlineStr">
        <is>
          <t>Yes</t>
        </is>
      </c>
      <c r="G894" s="12" t="inlineStr">
        <is>
          <t>specimen also sequenced as PGCV_0022_0738</t>
        </is>
      </c>
    </row>
    <row r="895">
      <c r="A895" s="8" t="inlineStr">
        <is>
          <t>PGCV_0023_0739</t>
        </is>
      </c>
      <c r="B895" s="8" t="inlineStr">
        <is>
          <t>COVID-SNL-22-64846</t>
        </is>
      </c>
      <c r="C895" s="8" t="inlineStr">
        <is>
          <t>CMXQGP6CJY</t>
        </is>
      </c>
      <c r="D895" s="7" t="n">
        <v>23</v>
      </c>
      <c r="E895" s="7" t="n">
        <v>739</v>
      </c>
      <c r="F895" s="7" t="inlineStr">
        <is>
          <t>No</t>
        </is>
      </c>
      <c r="G895" s="12" t="inlineStr">
        <is>
          <t>specimen also sequenced as PGCV_0022_0739</t>
        </is>
      </c>
    </row>
    <row r="896">
      <c r="A896" s="8" t="inlineStr">
        <is>
          <t>PGCV_0023_0740</t>
        </is>
      </c>
      <c r="B896" s="8" t="inlineStr">
        <is>
          <t>COVID-SNL-22-64847</t>
        </is>
      </c>
      <c r="C896" s="8" t="inlineStr">
        <is>
          <t>SKYR7P4QS4</t>
        </is>
      </c>
      <c r="D896" s="7" t="n">
        <v>23</v>
      </c>
      <c r="E896" s="7" t="n">
        <v>740</v>
      </c>
      <c r="F896" s="7" t="inlineStr">
        <is>
          <t>Yes</t>
        </is>
      </c>
      <c r="G896" s="12" t="inlineStr">
        <is>
          <t>specimen also sequenced as PGCV_0022_0740</t>
        </is>
      </c>
    </row>
    <row r="897">
      <c r="A897" s="8" t="inlineStr">
        <is>
          <t>PGCV_0023_0741</t>
        </is>
      </c>
      <c r="B897" s="8" t="inlineStr">
        <is>
          <t>COVID-SNL-22-64848</t>
        </is>
      </c>
      <c r="C897" s="8" t="inlineStr">
        <is>
          <t>OAJQCBAP37</t>
        </is>
      </c>
      <c r="D897" s="7" t="n">
        <v>23</v>
      </c>
      <c r="E897" s="7" t="n">
        <v>741</v>
      </c>
      <c r="F897" s="7" t="inlineStr">
        <is>
          <t>No</t>
        </is>
      </c>
      <c r="G897" s="12" t="inlineStr">
        <is>
          <t>specimen also sequenced as PGCV_0022_0741</t>
        </is>
      </c>
    </row>
    <row r="898">
      <c r="A898" s="8" t="inlineStr">
        <is>
          <t>PGCV_0023_0742</t>
        </is>
      </c>
      <c r="B898" s="8" t="inlineStr">
        <is>
          <t>COVID-SNL-22-64849</t>
        </is>
      </c>
      <c r="C898" s="8" t="inlineStr">
        <is>
          <t>1PZLT6B6YP</t>
        </is>
      </c>
      <c r="D898" s="7" t="n">
        <v>23</v>
      </c>
      <c r="E898" s="7" t="n">
        <v>742</v>
      </c>
      <c r="F898" s="7" t="inlineStr">
        <is>
          <t>No</t>
        </is>
      </c>
      <c r="G898" s="12" t="inlineStr">
        <is>
          <t>specimen also sequenced as PGCV_0022_0742</t>
        </is>
      </c>
    </row>
    <row r="899">
      <c r="A899" s="8" t="inlineStr">
        <is>
          <t>PGCV_0023_0743</t>
        </is>
      </c>
      <c r="B899" s="8" t="inlineStr">
        <is>
          <t>COVID-SNL-22-64878</t>
        </is>
      </c>
      <c r="C899" s="8" t="inlineStr">
        <is>
          <t>72LZED9LOU</t>
        </is>
      </c>
      <c r="D899" s="7" t="n">
        <v>23</v>
      </c>
      <c r="E899" s="7" t="n">
        <v>743</v>
      </c>
      <c r="F899" s="7" t="inlineStr">
        <is>
          <t>Yes</t>
        </is>
      </c>
      <c r="G899" s="12" t="inlineStr">
        <is>
          <t>specimen also sequenced as PGCV_0022_0743</t>
        </is>
      </c>
    </row>
    <row r="900">
      <c r="A900" s="8" t="inlineStr">
        <is>
          <t>PGCV_0023_0744</t>
        </is>
      </c>
      <c r="B900" s="8" t="inlineStr">
        <is>
          <t>COVID-SNL-22-64935</t>
        </is>
      </c>
      <c r="C900" s="8" t="inlineStr">
        <is>
          <t>ZNH5JC09IR</t>
        </is>
      </c>
      <c r="D900" s="7" t="n">
        <v>23</v>
      </c>
      <c r="E900" s="7" t="n">
        <v>744</v>
      </c>
      <c r="F900" s="7" t="inlineStr">
        <is>
          <t>Yes</t>
        </is>
      </c>
      <c r="G900" s="12" t="inlineStr">
        <is>
          <t>specimen also sequenced as PGCV_0022_0744</t>
        </is>
      </c>
    </row>
    <row r="901">
      <c r="A901" s="8" t="inlineStr">
        <is>
          <t>PGCV_0023_0745</t>
        </is>
      </c>
      <c r="B901" s="8" t="inlineStr">
        <is>
          <t>COVID-SNL-22-64963</t>
        </is>
      </c>
      <c r="C901" s="8" t="inlineStr">
        <is>
          <t>TX05ECFWAX</t>
        </is>
      </c>
      <c r="D901" s="7" t="n">
        <v>23</v>
      </c>
      <c r="E901" s="7" t="n">
        <v>745</v>
      </c>
      <c r="F901" s="7" t="inlineStr">
        <is>
          <t>Yes</t>
        </is>
      </c>
      <c r="G901" s="12" t="inlineStr">
        <is>
          <t>specimen also sequenced as PGCV_0022_0745</t>
        </is>
      </c>
    </row>
    <row r="902">
      <c r="A902" s="8" t="inlineStr">
        <is>
          <t>PGCV_0023_0746</t>
        </is>
      </c>
      <c r="B902" s="8" t="inlineStr">
        <is>
          <t>COVID-SNL-22-64964</t>
        </is>
      </c>
      <c r="C902" s="8" t="inlineStr">
        <is>
          <t>LL7XQR93TU</t>
        </is>
      </c>
      <c r="D902" s="7" t="n">
        <v>23</v>
      </c>
      <c r="E902" s="7" t="n">
        <v>746</v>
      </c>
      <c r="F902" s="7" t="inlineStr">
        <is>
          <t>Yes</t>
        </is>
      </c>
      <c r="G902" s="12" t="inlineStr">
        <is>
          <t>specimen also sequenced as PGCV_0022_0746</t>
        </is>
      </c>
    </row>
    <row r="903">
      <c r="A903" s="8" t="inlineStr">
        <is>
          <t>PGCV_0023_0747</t>
        </is>
      </c>
      <c r="B903" s="8" t="inlineStr">
        <is>
          <t>COVID-SNL-22-64981</t>
        </is>
      </c>
      <c r="C903" s="8" t="inlineStr">
        <is>
          <t>YQDHDZYXRB</t>
        </is>
      </c>
      <c r="D903" s="7" t="n">
        <v>23</v>
      </c>
      <c r="E903" s="7" t="n">
        <v>747</v>
      </c>
      <c r="F903" s="7" t="inlineStr">
        <is>
          <t>Yes</t>
        </is>
      </c>
      <c r="G903" s="12" t="inlineStr">
        <is>
          <t>specimen also sequenced as PGCV_0022_0747</t>
        </is>
      </c>
    </row>
    <row r="904">
      <c r="A904" s="8" t="inlineStr">
        <is>
          <t>PGCV_0023_0748</t>
        </is>
      </c>
      <c r="B904" s="8" t="inlineStr">
        <is>
          <t>COVID-SNL-22-64990</t>
        </is>
      </c>
      <c r="C904" s="8" t="inlineStr">
        <is>
          <t>ZAOKCZ90CG</t>
        </is>
      </c>
      <c r="D904" s="7" t="n">
        <v>23</v>
      </c>
      <c r="E904" s="7" t="n">
        <v>748</v>
      </c>
      <c r="F904" s="7" t="inlineStr">
        <is>
          <t>Yes</t>
        </is>
      </c>
      <c r="G904" s="12" t="inlineStr">
        <is>
          <t>specimen also sequenced as PGCV_0022_0748</t>
        </is>
      </c>
    </row>
    <row r="905">
      <c r="A905" s="8" t="inlineStr">
        <is>
          <t>PGCV_0023_0749</t>
        </is>
      </c>
      <c r="B905" s="8" t="inlineStr">
        <is>
          <t>COVID-SNL-22-65090</t>
        </is>
      </c>
      <c r="C905" s="8" t="inlineStr">
        <is>
          <t>HAJ1SQ6KCA</t>
        </is>
      </c>
      <c r="D905" s="7" t="n">
        <v>23</v>
      </c>
      <c r="E905" s="7" t="n">
        <v>749</v>
      </c>
      <c r="F905" s="7" t="inlineStr">
        <is>
          <t>Yes</t>
        </is>
      </c>
      <c r="G905" s="12" t="inlineStr">
        <is>
          <t>specimen also sequenced as PGCV_0022_0749</t>
        </is>
      </c>
    </row>
    <row r="906">
      <c r="A906" s="8" t="inlineStr">
        <is>
          <t>PGCV_0023_0750</t>
        </is>
      </c>
      <c r="B906" s="8" t="inlineStr">
        <is>
          <t>COVID-SNL-22-65093</t>
        </is>
      </c>
      <c r="C906" s="8" t="inlineStr">
        <is>
          <t>K4CCY60HWR</t>
        </is>
      </c>
      <c r="D906" s="7" t="n">
        <v>23</v>
      </c>
      <c r="E906" s="7" t="n">
        <v>750</v>
      </c>
      <c r="F906" s="7" t="inlineStr">
        <is>
          <t>Yes</t>
        </is>
      </c>
      <c r="G906" s="12" t="inlineStr">
        <is>
          <t>specimen also sequenced as PGCV_0022_0750</t>
        </is>
      </c>
    </row>
    <row r="907">
      <c r="A907" s="8" t="inlineStr">
        <is>
          <t>PGCV_0023_0751</t>
        </is>
      </c>
      <c r="B907" s="8" t="inlineStr">
        <is>
          <t>COVID-SNL-22-65142</t>
        </is>
      </c>
      <c r="C907" s="8" t="inlineStr">
        <is>
          <t>GA94AZRUJF</t>
        </is>
      </c>
      <c r="D907" s="7" t="n">
        <v>23</v>
      </c>
      <c r="E907" s="7" t="n">
        <v>751</v>
      </c>
      <c r="F907" s="7" t="inlineStr">
        <is>
          <t>Yes</t>
        </is>
      </c>
      <c r="G907" s="12" t="inlineStr">
        <is>
          <t>specimen also sequenced as PGCV_0022_0751</t>
        </is>
      </c>
    </row>
    <row r="908">
      <c r="A908" s="8" t="inlineStr">
        <is>
          <t>PGCV_0023_0752</t>
        </is>
      </c>
      <c r="B908" s="8" t="inlineStr">
        <is>
          <t>COVID-SNL-22-65159</t>
        </is>
      </c>
      <c r="C908" s="8" t="inlineStr">
        <is>
          <t>O2RBN8H17W</t>
        </is>
      </c>
      <c r="D908" s="7" t="n">
        <v>23</v>
      </c>
      <c r="E908" s="7" t="n">
        <v>752</v>
      </c>
      <c r="F908" s="7" t="inlineStr">
        <is>
          <t>Yes</t>
        </is>
      </c>
      <c r="G908" s="12" t="inlineStr">
        <is>
          <t>specimen also sequenced as PGCV_0022_0752</t>
        </is>
      </c>
    </row>
    <row r="909">
      <c r="A909" s="8" t="inlineStr">
        <is>
          <t>PGCV_0023_0753</t>
        </is>
      </c>
      <c r="B909" s="8" t="inlineStr">
        <is>
          <t>COVID-SNL-22-65161</t>
        </is>
      </c>
      <c r="C909" s="8" t="inlineStr">
        <is>
          <t>NMKT0ZQFE6</t>
        </is>
      </c>
      <c r="D909" s="7" t="n">
        <v>23</v>
      </c>
      <c r="E909" s="7" t="n">
        <v>753</v>
      </c>
      <c r="F909" s="7" t="inlineStr">
        <is>
          <t>Yes</t>
        </is>
      </c>
      <c r="G909" s="12" t="inlineStr">
        <is>
          <t>specimen also sequenced as PGCV_0022_0753</t>
        </is>
      </c>
    </row>
    <row r="910">
      <c r="A910" s="8" t="inlineStr">
        <is>
          <t>PGCV_0023_0754</t>
        </is>
      </c>
      <c r="B910" s="8" t="inlineStr">
        <is>
          <t>COVID-SNL-22-65162</t>
        </is>
      </c>
      <c r="C910" s="8" t="inlineStr">
        <is>
          <t>4P3PN51PC2</t>
        </is>
      </c>
      <c r="D910" s="7" t="n">
        <v>23</v>
      </c>
      <c r="E910" s="7" t="n">
        <v>754</v>
      </c>
      <c r="F910" s="7" t="inlineStr">
        <is>
          <t>Yes</t>
        </is>
      </c>
      <c r="G910" s="12" t="inlineStr">
        <is>
          <t>specimen also sequenced as PGCV_0022_0754</t>
        </is>
      </c>
    </row>
    <row r="911">
      <c r="A911" s="8" t="inlineStr">
        <is>
          <t>PGCV_0023_0755</t>
        </is>
      </c>
      <c r="B911" s="8" t="inlineStr">
        <is>
          <t>COVID-SNL-22-65165</t>
        </is>
      </c>
      <c r="C911" s="8" t="inlineStr">
        <is>
          <t>GZLCD7UGXV</t>
        </is>
      </c>
      <c r="D911" s="7" t="n">
        <v>23</v>
      </c>
      <c r="E911" s="7" t="n">
        <v>755</v>
      </c>
      <c r="F911" s="7" t="inlineStr">
        <is>
          <t>Yes</t>
        </is>
      </c>
      <c r="G911" s="12" t="inlineStr">
        <is>
          <t>specimen also sequenced as PGCV_0022_0755</t>
        </is>
      </c>
    </row>
    <row r="912">
      <c r="A912" s="8" t="inlineStr">
        <is>
          <t>PGCV_0023_0756</t>
        </is>
      </c>
      <c r="B912" s="8" t="inlineStr">
        <is>
          <t>COVID-SNL-22-65197</t>
        </is>
      </c>
      <c r="C912" s="8" t="inlineStr">
        <is>
          <t>74VLPGNOBJ</t>
        </is>
      </c>
      <c r="D912" s="7" t="n">
        <v>23</v>
      </c>
      <c r="E912" s="7" t="n">
        <v>756</v>
      </c>
      <c r="F912" s="7" t="inlineStr">
        <is>
          <t>Yes</t>
        </is>
      </c>
      <c r="G912" s="12" t="inlineStr">
        <is>
          <t>specimen also sequenced as PGCV_0022_0756</t>
        </is>
      </c>
    </row>
    <row r="913">
      <c r="A913" s="8" t="inlineStr">
        <is>
          <t>PGCV_0023_0757</t>
        </is>
      </c>
      <c r="B913" s="8" t="inlineStr">
        <is>
          <t>COVID-SNL-22-65200</t>
        </is>
      </c>
      <c r="C913" s="8" t="inlineStr">
        <is>
          <t>RUQUYEFWVH</t>
        </is>
      </c>
      <c r="D913" s="7" t="n">
        <v>23</v>
      </c>
      <c r="E913" s="7" t="n">
        <v>757</v>
      </c>
      <c r="F913" s="7" t="inlineStr">
        <is>
          <t>Yes</t>
        </is>
      </c>
      <c r="G913" s="12" t="inlineStr">
        <is>
          <t>specimen also sequenced as PGCV_0022_0757</t>
        </is>
      </c>
    </row>
    <row r="914">
      <c r="A914" s="8" t="inlineStr">
        <is>
          <t>PGCV_0023_0758</t>
        </is>
      </c>
      <c r="B914" s="8" t="inlineStr">
        <is>
          <t>COVID-SNL-22-65206</t>
        </is>
      </c>
      <c r="C914" s="8" t="inlineStr">
        <is>
          <t>SURMN0HZN7</t>
        </is>
      </c>
      <c r="D914" s="7" t="n">
        <v>23</v>
      </c>
      <c r="E914" s="7" t="n">
        <v>758</v>
      </c>
      <c r="F914" s="7" t="inlineStr">
        <is>
          <t>Yes</t>
        </is>
      </c>
      <c r="G914" s="12" t="inlineStr">
        <is>
          <t>specimen also sequenced as PGCV_0022_0758</t>
        </is>
      </c>
    </row>
    <row r="915">
      <c r="A915" s="8" t="inlineStr">
        <is>
          <t>PGCV_0023_0759</t>
        </is>
      </c>
      <c r="B915" s="8" t="inlineStr">
        <is>
          <t>COVID-SNL-22-65215</t>
        </is>
      </c>
      <c r="C915" s="8" t="inlineStr">
        <is>
          <t>H16CE6LKC3</t>
        </is>
      </c>
      <c r="D915" s="7" t="n">
        <v>23</v>
      </c>
      <c r="E915" s="7" t="n">
        <v>759</v>
      </c>
      <c r="F915" s="7" t="inlineStr">
        <is>
          <t>Yes</t>
        </is>
      </c>
      <c r="G915" s="12" t="inlineStr">
        <is>
          <t>specimen also sequenced as PGCV_0022_0759</t>
        </is>
      </c>
    </row>
    <row r="916">
      <c r="A916" s="8" t="inlineStr">
        <is>
          <t>PGCV_0023_0760</t>
        </is>
      </c>
      <c r="B916" s="8" t="inlineStr">
        <is>
          <t>COVID-SNL-22-65216</t>
        </is>
      </c>
      <c r="C916" s="8" t="inlineStr">
        <is>
          <t>CZAGTUIJFP</t>
        </is>
      </c>
      <c r="D916" s="7" t="n">
        <v>23</v>
      </c>
      <c r="E916" s="7" t="n">
        <v>760</v>
      </c>
      <c r="F916" s="7" t="inlineStr">
        <is>
          <t>Yes</t>
        </is>
      </c>
      <c r="G916" s="12" t="inlineStr">
        <is>
          <t>specimen also sequenced as PGCV_0022_0760</t>
        </is>
      </c>
    </row>
    <row r="917">
      <c r="A917" s="8" t="inlineStr">
        <is>
          <t>PGCV_0023_0761</t>
        </is>
      </c>
      <c r="B917" s="8" t="inlineStr">
        <is>
          <t>COVID-SNL-22-65217</t>
        </is>
      </c>
      <c r="C917" s="8" t="inlineStr">
        <is>
          <t>TZBO3LGQTJ</t>
        </is>
      </c>
      <c r="D917" s="7" t="n">
        <v>23</v>
      </c>
      <c r="E917" s="7" t="n">
        <v>761</v>
      </c>
      <c r="F917" s="7" t="inlineStr">
        <is>
          <t>Yes</t>
        </is>
      </c>
      <c r="G917" s="12" t="inlineStr">
        <is>
          <t>specimen also sequenced as PGCV_0022_0761</t>
        </is>
      </c>
    </row>
    <row r="918">
      <c r="A918" s="8" t="inlineStr">
        <is>
          <t>PGCV_0023_0762</t>
        </is>
      </c>
      <c r="B918" s="8" t="inlineStr">
        <is>
          <t>COVID-SNL-22-65293</t>
        </is>
      </c>
      <c r="C918" s="8" t="inlineStr">
        <is>
          <t>BBIY9YUFAW</t>
        </is>
      </c>
      <c r="D918" s="7" t="n">
        <v>23</v>
      </c>
      <c r="E918" s="7" t="n">
        <v>762</v>
      </c>
      <c r="F918" s="7" t="inlineStr">
        <is>
          <t>Yes</t>
        </is>
      </c>
      <c r="G918" s="12" t="inlineStr">
        <is>
          <t>specimen also sequenced as PGCV_0022_0762</t>
        </is>
      </c>
    </row>
    <row r="919">
      <c r="A919" s="8" t="inlineStr">
        <is>
          <t>PGCV_0023_0763</t>
        </is>
      </c>
      <c r="B919" s="8" t="inlineStr">
        <is>
          <t>COVID-SNL-22-65365</t>
        </is>
      </c>
      <c r="C919" s="8" t="inlineStr">
        <is>
          <t>B4CTRHYQOR</t>
        </is>
      </c>
      <c r="D919" s="7" t="n">
        <v>23</v>
      </c>
      <c r="E919" s="7" t="n">
        <v>763</v>
      </c>
      <c r="F919" s="7" t="inlineStr">
        <is>
          <t>Yes</t>
        </is>
      </c>
      <c r="G919" s="12" t="inlineStr">
        <is>
          <t>specimen also sequenced as PGCV_0022_0763</t>
        </is>
      </c>
    </row>
    <row r="920">
      <c r="A920" s="8" t="inlineStr">
        <is>
          <t>PGCV_0023_0764</t>
        </is>
      </c>
      <c r="B920" s="8" t="inlineStr">
        <is>
          <t>COVID-SNL-22-65443</t>
        </is>
      </c>
      <c r="C920" s="8" t="inlineStr">
        <is>
          <t>MBN01VV7FZ</t>
        </is>
      </c>
      <c r="D920" s="7" t="n">
        <v>23</v>
      </c>
      <c r="E920" s="7" t="n">
        <v>764</v>
      </c>
      <c r="F920" s="7" t="inlineStr">
        <is>
          <t>Yes</t>
        </is>
      </c>
      <c r="G920" s="12" t="inlineStr">
        <is>
          <t>specimen also sequenced as PGCV_0022_0764</t>
        </is>
      </c>
    </row>
    <row r="921">
      <c r="A921" s="8" t="inlineStr">
        <is>
          <t>PGCV_0023_0765</t>
        </is>
      </c>
      <c r="B921" s="8" t="inlineStr">
        <is>
          <t>COVID-SNL-22-65444</t>
        </is>
      </c>
      <c r="C921" s="8" t="inlineStr">
        <is>
          <t>HO6TUBHFGL</t>
        </is>
      </c>
      <c r="D921" s="7" t="n">
        <v>23</v>
      </c>
      <c r="E921" s="7" t="n">
        <v>765</v>
      </c>
      <c r="F921" s="7" t="inlineStr">
        <is>
          <t>Yes</t>
        </is>
      </c>
      <c r="G921" s="12" t="inlineStr">
        <is>
          <t>specimen also sequenced as PGCV_0022_0765</t>
        </is>
      </c>
    </row>
    <row r="922">
      <c r="A922" s="8" t="inlineStr">
        <is>
          <t>PGCV_0023_0766</t>
        </is>
      </c>
      <c r="B922" s="8" t="inlineStr">
        <is>
          <t>COVID-SNL-22-65488</t>
        </is>
      </c>
      <c r="C922" s="8" t="inlineStr">
        <is>
          <t>BIKBVRQA2V</t>
        </is>
      </c>
      <c r="D922" s="7" t="n">
        <v>23</v>
      </c>
      <c r="E922" s="7" t="n">
        <v>766</v>
      </c>
      <c r="F922" s="7" t="inlineStr">
        <is>
          <t>Yes</t>
        </is>
      </c>
      <c r="G922" s="12" t="inlineStr">
        <is>
          <t>specimen also sequenced as PGCV_0022_0766</t>
        </is>
      </c>
    </row>
    <row r="923">
      <c r="A923" s="8" t="inlineStr">
        <is>
          <t>PGCV_0023_0767</t>
        </is>
      </c>
      <c r="B923" s="8" t="inlineStr">
        <is>
          <t>COVID-SNL-22-65489</t>
        </is>
      </c>
      <c r="C923" s="8" t="inlineStr">
        <is>
          <t>HX3GOXAUBS</t>
        </is>
      </c>
      <c r="D923" s="7" t="n">
        <v>23</v>
      </c>
      <c r="E923" s="7" t="n">
        <v>767</v>
      </c>
      <c r="F923" s="7" t="inlineStr">
        <is>
          <t>Yes</t>
        </is>
      </c>
      <c r="G923" s="12" t="inlineStr">
        <is>
          <t>specimen also sequenced as PGCV_0022_0767</t>
        </is>
      </c>
    </row>
    <row r="924">
      <c r="A924" s="8" t="inlineStr">
        <is>
          <t>PGCV_0023_0768</t>
        </is>
      </c>
      <c r="B924" s="8" t="inlineStr">
        <is>
          <t>COVID-SNL-22-65490</t>
        </is>
      </c>
      <c r="C924" s="8" t="inlineStr">
        <is>
          <t>XI5GHZ5BVF</t>
        </is>
      </c>
      <c r="D924" s="7" t="n">
        <v>23</v>
      </c>
      <c r="E924" s="7" t="n">
        <v>768</v>
      </c>
      <c r="F924" s="7" t="inlineStr">
        <is>
          <t>Yes</t>
        </is>
      </c>
      <c r="G924" s="12" t="inlineStr">
        <is>
          <t>specimen also sequenced as PGCV_0022_0768</t>
        </is>
      </c>
    </row>
    <row r="925">
      <c r="A925" s="8" t="inlineStr">
        <is>
          <t>PGCV_0023_0769</t>
        </is>
      </c>
      <c r="B925" s="8" t="inlineStr">
        <is>
          <t>COVID-SNL-22-65491</t>
        </is>
      </c>
      <c r="C925" s="8" t="inlineStr">
        <is>
          <t>5M6AG0XLQR</t>
        </is>
      </c>
      <c r="D925" s="7" t="n">
        <v>23</v>
      </c>
      <c r="E925" s="7" t="n">
        <v>769</v>
      </c>
      <c r="F925" s="7" t="inlineStr">
        <is>
          <t>Yes</t>
        </is>
      </c>
      <c r="G925" s="12" t="inlineStr">
        <is>
          <t>specimen also sequenced as PGCV_0022_0769</t>
        </is>
      </c>
    </row>
    <row r="926">
      <c r="A926" s="8" t="inlineStr">
        <is>
          <t>PGCV_0023_0770</t>
        </is>
      </c>
      <c r="B926" s="8" t="inlineStr">
        <is>
          <t>COVID-SNL-22-65503</t>
        </is>
      </c>
      <c r="C926" s="8" t="inlineStr">
        <is>
          <t>WGEQVF1OVA</t>
        </is>
      </c>
      <c r="D926" s="7" t="n">
        <v>23</v>
      </c>
      <c r="E926" s="7" t="n">
        <v>770</v>
      </c>
      <c r="F926" s="7" t="inlineStr">
        <is>
          <t>Yes</t>
        </is>
      </c>
      <c r="G926" s="12" t="inlineStr">
        <is>
          <t>specimen also sequenced as PGCV_0022_0770</t>
        </is>
      </c>
    </row>
    <row r="927">
      <c r="A927" s="8" t="inlineStr">
        <is>
          <t>PGCV_0023_0771</t>
        </is>
      </c>
      <c r="B927" s="8" t="inlineStr">
        <is>
          <t>COVID-SNL-22-65508</t>
        </is>
      </c>
      <c r="C927" s="8" t="inlineStr">
        <is>
          <t>JI3RQKLZZT</t>
        </is>
      </c>
      <c r="D927" s="7" t="n">
        <v>23</v>
      </c>
      <c r="E927" s="7" t="n">
        <v>771</v>
      </c>
      <c r="F927" s="7" t="inlineStr">
        <is>
          <t>Yes</t>
        </is>
      </c>
      <c r="G927" s="12" t="inlineStr">
        <is>
          <t>specimen also sequenced as PGCV_0022_0771</t>
        </is>
      </c>
    </row>
    <row r="928">
      <c r="A928" s="8" t="inlineStr">
        <is>
          <t>PGCV_0023_0826</t>
        </is>
      </c>
      <c r="B928" s="8" t="inlineStr">
        <is>
          <t>22-34654</t>
        </is>
      </c>
      <c r="C928" s="8" t="inlineStr">
        <is>
          <t>CKOGTXPJBS</t>
        </is>
      </c>
      <c r="D928" s="7" t="n">
        <v>23</v>
      </c>
      <c r="E928" s="7" t="n">
        <v>826</v>
      </c>
      <c r="F928" s="7" t="inlineStr">
        <is>
          <t>No</t>
        </is>
      </c>
      <c r="G928" s="12" t="inlineStr">
        <is>
          <t>specimen also sequenced as PGCV_0022_0826</t>
        </is>
      </c>
    </row>
    <row r="929">
      <c r="A929" s="8" t="inlineStr">
        <is>
          <t>PGCV_0024_0850</t>
        </is>
      </c>
      <c r="B929" s="8" t="inlineStr">
        <is>
          <t>709B112144</t>
        </is>
      </c>
      <c r="C929" s="8" t="inlineStr">
        <is>
          <t>EGJKKCJ770</t>
        </is>
      </c>
      <c r="D929" s="7" t="n">
        <v>24</v>
      </c>
      <c r="E929" s="7" t="n">
        <v>850</v>
      </c>
      <c r="F929" s="7" t="inlineStr">
        <is>
          <t>Yes</t>
        </is>
      </c>
      <c r="G929" s="8" t="n"/>
    </row>
    <row r="930">
      <c r="A930" s="8" t="inlineStr">
        <is>
          <t>PGCV_0024_0851</t>
        </is>
      </c>
      <c r="B930" s="8" t="inlineStr">
        <is>
          <t>COVID-SNL-22-65737</t>
        </is>
      </c>
      <c r="C930" s="8" t="inlineStr">
        <is>
          <t>NF2NIUREB5</t>
        </is>
      </c>
      <c r="D930" s="7" t="n">
        <v>24</v>
      </c>
      <c r="E930" s="7" t="n">
        <v>851</v>
      </c>
      <c r="F930" s="7" t="inlineStr">
        <is>
          <t>Yes</t>
        </is>
      </c>
      <c r="G930" s="8" t="n"/>
    </row>
    <row r="931">
      <c r="A931" s="8" t="inlineStr">
        <is>
          <t>PGCV_0024_0852</t>
        </is>
      </c>
      <c r="B931" s="8" t="inlineStr">
        <is>
          <t>COVID-SNL-22-65752</t>
        </is>
      </c>
      <c r="C931" s="8" t="inlineStr">
        <is>
          <t>RDPYZGCLFY</t>
        </is>
      </c>
      <c r="D931" s="7" t="n">
        <v>24</v>
      </c>
      <c r="E931" s="7" t="n">
        <v>852</v>
      </c>
      <c r="F931" s="7" t="inlineStr">
        <is>
          <t>Yes</t>
        </is>
      </c>
      <c r="G931" s="8" t="n"/>
    </row>
    <row r="932">
      <c r="A932" s="8" t="inlineStr">
        <is>
          <t>PGCV_0024_0853</t>
        </is>
      </c>
      <c r="B932" s="8" t="inlineStr">
        <is>
          <t>COVID-SNL-22-65754</t>
        </is>
      </c>
      <c r="C932" s="8" t="inlineStr">
        <is>
          <t>MD29RQQGJL</t>
        </is>
      </c>
      <c r="D932" s="7" t="n">
        <v>24</v>
      </c>
      <c r="E932" s="7" t="n">
        <v>853</v>
      </c>
      <c r="F932" s="7" t="inlineStr">
        <is>
          <t>Yes</t>
        </is>
      </c>
      <c r="G932" s="8" t="n"/>
    </row>
    <row r="933">
      <c r="A933" s="8" t="inlineStr">
        <is>
          <t>PGCV_0024_0854</t>
        </is>
      </c>
      <c r="B933" s="8" t="inlineStr">
        <is>
          <t>COVID-SNL-22-65760</t>
        </is>
      </c>
      <c r="C933" s="8" t="inlineStr">
        <is>
          <t>VVNS6KY4</t>
        </is>
      </c>
      <c r="D933" s="7" t="n">
        <v>24</v>
      </c>
      <c r="E933" s="7" t="n">
        <v>854</v>
      </c>
      <c r="F933" s="7" t="inlineStr">
        <is>
          <t>Yes</t>
        </is>
      </c>
      <c r="G933" s="8" t="n"/>
    </row>
    <row r="934">
      <c r="A934" s="8" t="inlineStr">
        <is>
          <t>PGCV_0024_0855</t>
        </is>
      </c>
      <c r="B934" s="8" t="inlineStr">
        <is>
          <t>COVID-SNL-22-65761</t>
        </is>
      </c>
      <c r="C934" s="8" t="inlineStr">
        <is>
          <t>RAHVLLANVU</t>
        </is>
      </c>
      <c r="D934" s="7" t="n">
        <v>24</v>
      </c>
      <c r="E934" s="7" t="n">
        <v>855</v>
      </c>
      <c r="F934" s="7" t="inlineStr">
        <is>
          <t>Yes</t>
        </is>
      </c>
      <c r="G934" s="8" t="n"/>
    </row>
    <row r="935">
      <c r="A935" s="8" t="inlineStr">
        <is>
          <t>PGCV_0024_0856</t>
        </is>
      </c>
      <c r="B935" s="8" t="inlineStr">
        <is>
          <t>COVID-SNL-22-65786</t>
        </is>
      </c>
      <c r="C935" s="8" t="inlineStr">
        <is>
          <t>FVN3JLWOIY</t>
        </is>
      </c>
      <c r="D935" s="7" t="n">
        <v>24</v>
      </c>
      <c r="E935" s="7" t="n">
        <v>856</v>
      </c>
      <c r="F935" s="7" t="inlineStr">
        <is>
          <t>Yes</t>
        </is>
      </c>
      <c r="G935" s="8" t="n"/>
    </row>
    <row r="936">
      <c r="A936" s="8" t="inlineStr">
        <is>
          <t>PGCV_0024_0857</t>
        </is>
      </c>
      <c r="B936" s="8" t="inlineStr">
        <is>
          <t>COVID-SNL-22-65790</t>
        </is>
      </c>
      <c r="C936" s="8" t="inlineStr">
        <is>
          <t>EYR58LHC3P</t>
        </is>
      </c>
      <c r="D936" s="7" t="n">
        <v>24</v>
      </c>
      <c r="E936" s="7" t="n">
        <v>857</v>
      </c>
      <c r="F936" s="7" t="inlineStr">
        <is>
          <t>Yes</t>
        </is>
      </c>
      <c r="G936" s="8" t="n"/>
    </row>
    <row r="937">
      <c r="A937" s="8" t="inlineStr">
        <is>
          <t>PGCV_0024_0858</t>
        </is>
      </c>
      <c r="B937" s="8" t="inlineStr">
        <is>
          <t>COVID-SNL-22-65802</t>
        </is>
      </c>
      <c r="C937" s="8" t="inlineStr">
        <is>
          <t>IFH7YP3YWC</t>
        </is>
      </c>
      <c r="D937" s="7" t="n">
        <v>24</v>
      </c>
      <c r="E937" s="7" t="n">
        <v>858</v>
      </c>
      <c r="F937" s="7" t="inlineStr">
        <is>
          <t>Yes</t>
        </is>
      </c>
      <c r="G937" s="8" t="n"/>
    </row>
    <row r="938">
      <c r="A938" s="8" t="inlineStr">
        <is>
          <t>PGCV_0024_0859</t>
        </is>
      </c>
      <c r="B938" s="8" t="inlineStr">
        <is>
          <t>COVID-SNL-22-65848</t>
        </is>
      </c>
      <c r="C938" s="8" t="inlineStr">
        <is>
          <t>L27JRHCDT4</t>
        </is>
      </c>
      <c r="D938" s="7" t="n">
        <v>24</v>
      </c>
      <c r="E938" s="7" t="n">
        <v>859</v>
      </c>
      <c r="F938" s="7" t="inlineStr">
        <is>
          <t>Yes</t>
        </is>
      </c>
      <c r="G938" s="8" t="n"/>
    </row>
    <row r="939">
      <c r="A939" s="8" t="inlineStr">
        <is>
          <t>PGCV_0024_0860</t>
        </is>
      </c>
      <c r="B939" s="8" t="inlineStr">
        <is>
          <t>COVID-SNL-22-65851</t>
        </is>
      </c>
      <c r="C939" s="8" t="inlineStr">
        <is>
          <t>9ANKWH7PBY</t>
        </is>
      </c>
      <c r="D939" s="7" t="n">
        <v>24</v>
      </c>
      <c r="E939" s="7" t="n">
        <v>860</v>
      </c>
      <c r="F939" s="7" t="inlineStr">
        <is>
          <t>Yes</t>
        </is>
      </c>
      <c r="G939" s="8" t="n"/>
    </row>
    <row r="940">
      <c r="A940" s="8" t="inlineStr">
        <is>
          <t>PGCV_0024_0861</t>
        </is>
      </c>
      <c r="B940" s="8" t="inlineStr">
        <is>
          <t>COVID-SNL-22-65930</t>
        </is>
      </c>
      <c r="C940" s="8" t="inlineStr">
        <is>
          <t>U5VMK6OBXB</t>
        </is>
      </c>
      <c r="D940" s="7" t="n">
        <v>24</v>
      </c>
      <c r="E940" s="7" t="n">
        <v>861</v>
      </c>
      <c r="F940" s="7" t="inlineStr">
        <is>
          <t>Yes</t>
        </is>
      </c>
      <c r="G940" s="8" t="n"/>
    </row>
    <row r="941">
      <c r="A941" s="8" t="inlineStr">
        <is>
          <t>PGCV_0024_0862</t>
        </is>
      </c>
      <c r="B941" s="8" t="inlineStr">
        <is>
          <t>COVID-SNL-22-65970</t>
        </is>
      </c>
      <c r="C941" s="8" t="inlineStr">
        <is>
          <t>K6GPRX9MGE</t>
        </is>
      </c>
      <c r="D941" s="7" t="n">
        <v>24</v>
      </c>
      <c r="E941" s="7" t="n">
        <v>862</v>
      </c>
      <c r="F941" s="7" t="inlineStr">
        <is>
          <t>Yes</t>
        </is>
      </c>
      <c r="G941" s="8" t="n"/>
    </row>
    <row r="942">
      <c r="A942" s="8" t="inlineStr">
        <is>
          <t>PGCV_0024_0863</t>
        </is>
      </c>
      <c r="B942" s="8" t="inlineStr">
        <is>
          <t>COVID-SNL-22-66000</t>
        </is>
      </c>
      <c r="C942" s="8" t="inlineStr">
        <is>
          <t>DND1EZOK5Q</t>
        </is>
      </c>
      <c r="D942" s="7" t="n">
        <v>24</v>
      </c>
      <c r="E942" s="7" t="n">
        <v>863</v>
      </c>
      <c r="F942" s="7" t="inlineStr">
        <is>
          <t>Yes</t>
        </is>
      </c>
      <c r="G942" s="8" t="n"/>
    </row>
    <row r="943">
      <c r="A943" s="8" t="inlineStr">
        <is>
          <t>PGCV_0024_0864</t>
        </is>
      </c>
      <c r="B943" s="8" t="inlineStr">
        <is>
          <t>COVID-SNL-22-66066</t>
        </is>
      </c>
      <c r="C943" s="8" t="inlineStr">
        <is>
          <t>IUIUITCWCD</t>
        </is>
      </c>
      <c r="D943" s="7" t="n">
        <v>24</v>
      </c>
      <c r="E943" s="7" t="n">
        <v>864</v>
      </c>
      <c r="F943" s="7" t="inlineStr">
        <is>
          <t>Yes</t>
        </is>
      </c>
      <c r="G943" s="8" t="n"/>
    </row>
    <row r="944">
      <c r="A944" s="8" t="inlineStr">
        <is>
          <t>PGCV_0024_0865</t>
        </is>
      </c>
      <c r="B944" s="8" t="inlineStr">
        <is>
          <t>COVID-SNL-22-66068</t>
        </is>
      </c>
      <c r="C944" s="8" t="inlineStr">
        <is>
          <t>HAAW8XJI9U</t>
        </is>
      </c>
      <c r="D944" s="7" t="n">
        <v>24</v>
      </c>
      <c r="E944" s="7" t="n">
        <v>865</v>
      </c>
      <c r="F944" s="7" t="inlineStr">
        <is>
          <t>Yes</t>
        </is>
      </c>
      <c r="G944" s="8" t="n"/>
    </row>
    <row r="945">
      <c r="A945" s="8" t="inlineStr">
        <is>
          <t>PGCV_0024_0866</t>
        </is>
      </c>
      <c r="B945" s="8" t="inlineStr">
        <is>
          <t>COVID-SNL-22-66070</t>
        </is>
      </c>
      <c r="C945" s="8" t="inlineStr">
        <is>
          <t>DCP4VEWOXE</t>
        </is>
      </c>
      <c r="D945" s="7" t="n">
        <v>24</v>
      </c>
      <c r="E945" s="7" t="n">
        <v>866</v>
      </c>
      <c r="F945" s="7" t="inlineStr">
        <is>
          <t>Yes</t>
        </is>
      </c>
      <c r="G945" s="8" t="n"/>
    </row>
    <row r="946">
      <c r="A946" s="8" t="inlineStr">
        <is>
          <t>PGCV_0024_0867</t>
        </is>
      </c>
      <c r="B946" s="8" t="inlineStr">
        <is>
          <t>COVID-SNL-22-66126</t>
        </is>
      </c>
      <c r="C946" s="8" t="inlineStr">
        <is>
          <t>NXROXJKCCA</t>
        </is>
      </c>
      <c r="D946" s="7" t="n">
        <v>24</v>
      </c>
      <c r="E946" s="7" t="n">
        <v>867</v>
      </c>
      <c r="F946" s="7" t="inlineStr">
        <is>
          <t>Yes</t>
        </is>
      </c>
      <c r="G946" s="8" t="n"/>
    </row>
    <row r="947">
      <c r="A947" s="8" t="inlineStr">
        <is>
          <t>PGCV_0024_0868</t>
        </is>
      </c>
      <c r="B947" s="8" t="inlineStr">
        <is>
          <t>COVID-SNL-22-66131</t>
        </is>
      </c>
      <c r="C947" s="8" t="inlineStr">
        <is>
          <t>QUVDNA7DMZ</t>
        </is>
      </c>
      <c r="D947" s="7" t="n">
        <v>24</v>
      </c>
      <c r="E947" s="7" t="n">
        <v>868</v>
      </c>
      <c r="F947" s="7" t="inlineStr">
        <is>
          <t>Yes</t>
        </is>
      </c>
      <c r="G947" s="8" t="n"/>
    </row>
    <row r="948">
      <c r="A948" s="8" t="inlineStr">
        <is>
          <t>PGCV_0024_0869</t>
        </is>
      </c>
      <c r="B948" s="8" t="inlineStr">
        <is>
          <t>COVID-SNL-22-66135</t>
        </is>
      </c>
      <c r="C948" s="8" t="inlineStr">
        <is>
          <t>XEJKYKAI8I</t>
        </is>
      </c>
      <c r="D948" s="7" t="n">
        <v>24</v>
      </c>
      <c r="E948" s="7" t="n">
        <v>869</v>
      </c>
      <c r="F948" s="7" t="inlineStr">
        <is>
          <t>Yes</t>
        </is>
      </c>
      <c r="G948" s="8" t="n"/>
    </row>
    <row r="949">
      <c r="A949" s="8" t="inlineStr">
        <is>
          <t>PGCV_0024_0870</t>
        </is>
      </c>
      <c r="B949" s="8" t="inlineStr">
        <is>
          <t>COVID-SNL-22-66209</t>
        </is>
      </c>
      <c r="C949" s="8" t="inlineStr">
        <is>
          <t>D7KGYXQFER</t>
        </is>
      </c>
      <c r="D949" s="7" t="n">
        <v>24</v>
      </c>
      <c r="E949" s="7" t="n">
        <v>870</v>
      </c>
      <c r="F949" s="7" t="inlineStr">
        <is>
          <t>Yes</t>
        </is>
      </c>
      <c r="G949" s="8" t="n"/>
    </row>
    <row r="950">
      <c r="A950" s="8" t="inlineStr">
        <is>
          <t>PGCV_0024_0871</t>
        </is>
      </c>
      <c r="B950" s="8" t="inlineStr">
        <is>
          <t>COVID-SNL-22-66210</t>
        </is>
      </c>
      <c r="C950" s="8" t="inlineStr">
        <is>
          <t>QMDBSRJANU</t>
        </is>
      </c>
      <c r="D950" s="7" t="n">
        <v>24</v>
      </c>
      <c r="E950" s="7" t="n">
        <v>871</v>
      </c>
      <c r="F950" s="7" t="inlineStr">
        <is>
          <t>Yes</t>
        </is>
      </c>
      <c r="G950" s="8" t="n"/>
    </row>
    <row r="951">
      <c r="A951" s="8" t="inlineStr">
        <is>
          <t>PGCV_0024_0872</t>
        </is>
      </c>
      <c r="B951" s="8" t="inlineStr">
        <is>
          <t>COVID-SNL-22-66211</t>
        </is>
      </c>
      <c r="C951" s="8" t="inlineStr">
        <is>
          <t>AMXNQX6SGR</t>
        </is>
      </c>
      <c r="D951" s="7" t="n">
        <v>24</v>
      </c>
      <c r="E951" s="7" t="n">
        <v>872</v>
      </c>
      <c r="F951" s="7" t="inlineStr">
        <is>
          <t>Yes</t>
        </is>
      </c>
      <c r="G951" s="8" t="n"/>
    </row>
    <row r="952">
      <c r="A952" s="8" t="inlineStr">
        <is>
          <t>PGCV_0024_0873</t>
        </is>
      </c>
      <c r="B952" s="8" t="inlineStr">
        <is>
          <t>COVID-SNL-22-66216</t>
        </is>
      </c>
      <c r="C952" s="8" t="inlineStr">
        <is>
          <t>5PIH1ONOGJ</t>
        </is>
      </c>
      <c r="D952" s="7" t="n">
        <v>24</v>
      </c>
      <c r="E952" s="7" t="n">
        <v>873</v>
      </c>
      <c r="F952" s="7" t="inlineStr">
        <is>
          <t>Yes</t>
        </is>
      </c>
      <c r="G952" s="8" t="n"/>
    </row>
    <row r="953">
      <c r="A953" s="8" t="inlineStr">
        <is>
          <t>PGCV_0024_0874</t>
        </is>
      </c>
      <c r="B953" s="8" t="inlineStr">
        <is>
          <t>COVID-SNL-22-66239</t>
        </is>
      </c>
      <c r="C953" s="8" t="inlineStr">
        <is>
          <t>DYMSS0ZLF0</t>
        </is>
      </c>
      <c r="D953" s="7" t="n">
        <v>24</v>
      </c>
      <c r="E953" s="7" t="n">
        <v>874</v>
      </c>
      <c r="F953" s="7" t="inlineStr">
        <is>
          <t>Yes</t>
        </is>
      </c>
      <c r="G953" s="8" t="n"/>
    </row>
    <row r="954">
      <c r="A954" s="8" t="inlineStr">
        <is>
          <t>PGCV_0024_0875</t>
        </is>
      </c>
      <c r="B954" s="8" t="inlineStr">
        <is>
          <t>COVID-SNL-22-66244</t>
        </is>
      </c>
      <c r="C954" s="8" t="inlineStr">
        <is>
          <t>OQ08XK4AKS</t>
        </is>
      </c>
      <c r="D954" s="7" t="n">
        <v>24</v>
      </c>
      <c r="E954" s="7" t="n">
        <v>875</v>
      </c>
      <c r="F954" s="7" t="inlineStr">
        <is>
          <t>No</t>
        </is>
      </c>
      <c r="G954" s="8" t="n"/>
    </row>
    <row r="955">
      <c r="A955" s="8" t="inlineStr">
        <is>
          <t>PGCV_0024_0876</t>
        </is>
      </c>
      <c r="B955" s="8" t="inlineStr">
        <is>
          <t>COVID-SNL-22-66252</t>
        </is>
      </c>
      <c r="C955" s="8" t="inlineStr">
        <is>
          <t>A9SUDWDSRN</t>
        </is>
      </c>
      <c r="D955" s="7" t="n">
        <v>24</v>
      </c>
      <c r="E955" s="7" t="n">
        <v>876</v>
      </c>
      <c r="F955" s="7" t="inlineStr">
        <is>
          <t>Yes</t>
        </is>
      </c>
      <c r="G955" s="8" t="n"/>
    </row>
    <row r="956">
      <c r="A956" s="8" t="inlineStr">
        <is>
          <t>PGCV_0024_0877</t>
        </is>
      </c>
      <c r="B956" s="8" t="inlineStr">
        <is>
          <t>COVID-SNL-22-66258</t>
        </is>
      </c>
      <c r="C956" s="8" t="inlineStr">
        <is>
          <t>SWNDIPOJRF</t>
        </is>
      </c>
      <c r="D956" s="7" t="n">
        <v>24</v>
      </c>
      <c r="E956" s="7" t="n">
        <v>877</v>
      </c>
      <c r="F956" s="7" t="inlineStr">
        <is>
          <t>Yes</t>
        </is>
      </c>
      <c r="G956" s="8" t="n"/>
    </row>
    <row r="957">
      <c r="A957" s="8" t="inlineStr">
        <is>
          <t>PGCV_0024_0878</t>
        </is>
      </c>
      <c r="B957" s="8" t="inlineStr">
        <is>
          <t>COVID-SNL-22-66261</t>
        </is>
      </c>
      <c r="C957" s="8" t="inlineStr">
        <is>
          <t>M3DY2K36TQ</t>
        </is>
      </c>
      <c r="D957" s="7" t="n">
        <v>24</v>
      </c>
      <c r="E957" s="7" t="n">
        <v>878</v>
      </c>
      <c r="F957" s="7" t="inlineStr">
        <is>
          <t>Yes</t>
        </is>
      </c>
      <c r="G957" s="8" t="n"/>
    </row>
    <row r="958">
      <c r="A958" s="8" t="inlineStr">
        <is>
          <t>PGCV_0024_0879</t>
        </is>
      </c>
      <c r="B958" s="8" t="inlineStr">
        <is>
          <t>COVID-SNL-22-22264</t>
        </is>
      </c>
      <c r="C958" s="8" t="inlineStr">
        <is>
          <t>SL1BV8LULA</t>
        </is>
      </c>
      <c r="D958" s="7" t="n">
        <v>24</v>
      </c>
      <c r="E958" s="7" t="n">
        <v>879</v>
      </c>
      <c r="F958" s="7" t="inlineStr">
        <is>
          <t>Yes</t>
        </is>
      </c>
      <c r="G958" s="8" t="n"/>
    </row>
    <row r="959">
      <c r="A959" s="8" t="inlineStr">
        <is>
          <t>PGCV_0024_0880</t>
        </is>
      </c>
      <c r="B959" s="8" t="inlineStr">
        <is>
          <t>COVID-SNL-22-66265</t>
        </is>
      </c>
      <c r="C959" s="8" t="inlineStr">
        <is>
          <t>ZHORG8XYOR</t>
        </is>
      </c>
      <c r="D959" s="7" t="n">
        <v>24</v>
      </c>
      <c r="E959" s="7" t="n">
        <v>880</v>
      </c>
      <c r="F959" s="7" t="inlineStr">
        <is>
          <t>Yes</t>
        </is>
      </c>
      <c r="G959" s="8" t="n"/>
    </row>
    <row r="960">
      <c r="A960" s="8" t="inlineStr">
        <is>
          <t>PGCV_0024_0881</t>
        </is>
      </c>
      <c r="B960" s="8" t="inlineStr">
        <is>
          <t>COVID-SNL-22-66279</t>
        </is>
      </c>
      <c r="C960" s="8" t="inlineStr">
        <is>
          <t>QTHBLUZ0WK</t>
        </is>
      </c>
      <c r="D960" s="7" t="n">
        <v>24</v>
      </c>
      <c r="E960" s="7" t="n">
        <v>881</v>
      </c>
      <c r="F960" s="7" t="inlineStr">
        <is>
          <t>Yes</t>
        </is>
      </c>
      <c r="G960" s="8" t="n"/>
    </row>
    <row r="961">
      <c r="A961" s="8" t="inlineStr">
        <is>
          <t>PGCV_0024_0882</t>
        </is>
      </c>
      <c r="B961" s="8" t="inlineStr">
        <is>
          <t>COVID-SNL-22-66226</t>
        </is>
      </c>
      <c r="C961" s="8" t="inlineStr">
        <is>
          <t>SDBDUPCKJ7</t>
        </is>
      </c>
      <c r="D961" s="7" t="n">
        <v>24</v>
      </c>
      <c r="E961" s="7" t="n">
        <v>882</v>
      </c>
      <c r="F961" s="7" t="inlineStr">
        <is>
          <t>Yes</t>
        </is>
      </c>
      <c r="G961" s="8" t="n"/>
    </row>
    <row r="962">
      <c r="A962" s="8" t="inlineStr">
        <is>
          <t>PGCV_0024_0883</t>
        </is>
      </c>
      <c r="B962" s="8" t="inlineStr">
        <is>
          <t>COVID-SNL-22-66344</t>
        </is>
      </c>
      <c r="C962" s="8" t="inlineStr">
        <is>
          <t>ODETRP2KQN</t>
        </is>
      </c>
      <c r="D962" s="7" t="n">
        <v>24</v>
      </c>
      <c r="E962" s="7" t="n">
        <v>883</v>
      </c>
      <c r="F962" s="7" t="inlineStr">
        <is>
          <t>Yes</t>
        </is>
      </c>
      <c r="G962" s="8" t="n"/>
    </row>
    <row r="963">
      <c r="A963" s="8" t="inlineStr">
        <is>
          <t>PGCV_0024_0884</t>
        </is>
      </c>
      <c r="B963" s="8" t="inlineStr">
        <is>
          <t>COVID-SNL-22-66345</t>
        </is>
      </c>
      <c r="C963" s="8" t="inlineStr">
        <is>
          <t>YDOGK7UJCI</t>
        </is>
      </c>
      <c r="D963" s="7" t="n">
        <v>24</v>
      </c>
      <c r="E963" s="7" t="n">
        <v>884</v>
      </c>
      <c r="F963" s="7" t="inlineStr">
        <is>
          <t>Yes</t>
        </is>
      </c>
      <c r="G963" s="8" t="n"/>
    </row>
    <row r="964">
      <c r="A964" s="8" t="inlineStr">
        <is>
          <t>PGCV_0024_0885</t>
        </is>
      </c>
      <c r="B964" s="8" t="inlineStr">
        <is>
          <t>COVID-SNL-22-66346</t>
        </is>
      </c>
      <c r="C964" s="8" t="inlineStr">
        <is>
          <t>X3XJTCXQ5P</t>
        </is>
      </c>
      <c r="D964" s="7" t="n">
        <v>24</v>
      </c>
      <c r="E964" s="7" t="n">
        <v>885</v>
      </c>
      <c r="F964" s="7" t="inlineStr">
        <is>
          <t>Yes</t>
        </is>
      </c>
      <c r="G964" s="8" t="n"/>
    </row>
    <row r="965">
      <c r="A965" s="8" t="inlineStr">
        <is>
          <t>PGCV_0024_0886</t>
        </is>
      </c>
      <c r="B965" s="8" t="inlineStr">
        <is>
          <t>COVID-SNL-22-66347</t>
        </is>
      </c>
      <c r="C965" s="8" t="inlineStr">
        <is>
          <t>03UKP5OGBT</t>
        </is>
      </c>
      <c r="D965" s="7" t="n">
        <v>24</v>
      </c>
      <c r="E965" s="7" t="n">
        <v>886</v>
      </c>
      <c r="F965" s="7" t="inlineStr">
        <is>
          <t>Yes</t>
        </is>
      </c>
      <c r="G965" s="8" t="n"/>
    </row>
    <row r="966">
      <c r="A966" s="8" t="inlineStr">
        <is>
          <t>PGCV_0024_0887</t>
        </is>
      </c>
      <c r="B966" s="8" t="inlineStr">
        <is>
          <t>COVID-SNL-22-66372</t>
        </is>
      </c>
      <c r="C966" s="8" t="inlineStr">
        <is>
          <t>XVLVW1UU4A</t>
        </is>
      </c>
      <c r="D966" s="7" t="n">
        <v>24</v>
      </c>
      <c r="E966" s="7" t="n">
        <v>887</v>
      </c>
      <c r="F966" s="7" t="inlineStr">
        <is>
          <t>Yes</t>
        </is>
      </c>
      <c r="G966" s="8" t="n"/>
    </row>
    <row r="967">
      <c r="A967" s="8" t="inlineStr">
        <is>
          <t>PGCV_0024_0888</t>
        </is>
      </c>
      <c r="B967" s="8" t="inlineStr">
        <is>
          <t>COVID-SNL-22-66376</t>
        </is>
      </c>
      <c r="C967" s="8" t="inlineStr">
        <is>
          <t>YB3X7HLJQB</t>
        </is>
      </c>
      <c r="D967" s="7" t="n">
        <v>24</v>
      </c>
      <c r="E967" s="7" t="n">
        <v>888</v>
      </c>
      <c r="F967" s="7" t="inlineStr">
        <is>
          <t>No</t>
        </is>
      </c>
      <c r="G967" s="8" t="n"/>
    </row>
    <row r="968">
      <c r="A968" s="8" t="inlineStr">
        <is>
          <t>PGCV_0024_0889</t>
        </is>
      </c>
      <c r="B968" s="8" t="inlineStr">
        <is>
          <t>COVID-SNL-22-66400</t>
        </is>
      </c>
      <c r="C968" s="8" t="inlineStr">
        <is>
          <t>HI9ES5AAFS</t>
        </is>
      </c>
      <c r="D968" s="7" t="n">
        <v>24</v>
      </c>
      <c r="E968" s="7" t="n">
        <v>889</v>
      </c>
      <c r="F968" s="7" t="inlineStr">
        <is>
          <t>Yes</t>
        </is>
      </c>
      <c r="G968" s="8" t="n"/>
    </row>
    <row r="969">
      <c r="A969" s="8" t="inlineStr">
        <is>
          <t>PGCV_0024_0890</t>
        </is>
      </c>
      <c r="B969" s="8" t="inlineStr">
        <is>
          <t>COVID-SNL-22-66573</t>
        </is>
      </c>
      <c r="C969" s="8" t="inlineStr">
        <is>
          <t>JDAEFC02GI</t>
        </is>
      </c>
      <c r="D969" s="7" t="n">
        <v>24</v>
      </c>
      <c r="E969" s="7" t="n">
        <v>890</v>
      </c>
      <c r="F969" s="7" t="inlineStr">
        <is>
          <t>Yes</t>
        </is>
      </c>
      <c r="G969" s="8" t="n"/>
    </row>
    <row r="970">
      <c r="A970" s="8" t="inlineStr">
        <is>
          <t>PGCV_0024_0891</t>
        </is>
      </c>
      <c r="B970" s="8" t="inlineStr">
        <is>
          <t>COVID-SNL-22-66576</t>
        </is>
      </c>
      <c r="C970" s="8" t="inlineStr">
        <is>
          <t>5ND9ONU1DH</t>
        </is>
      </c>
      <c r="D970" s="7" t="n">
        <v>24</v>
      </c>
      <c r="E970" s="7" t="n">
        <v>891</v>
      </c>
      <c r="F970" s="7" t="inlineStr">
        <is>
          <t>Yes</t>
        </is>
      </c>
      <c r="G970" s="8" t="n"/>
    </row>
    <row r="971">
      <c r="A971" s="8" t="inlineStr">
        <is>
          <t>PGCV_0024_0892</t>
        </is>
      </c>
      <c r="B971" s="8" t="inlineStr">
        <is>
          <t>COVID-SNL-22-66443</t>
        </is>
      </c>
      <c r="C971" s="8" t="inlineStr">
        <is>
          <t>YFT64SW033</t>
        </is>
      </c>
      <c r="D971" s="7" t="n">
        <v>24</v>
      </c>
      <c r="E971" s="7" t="n">
        <v>892</v>
      </c>
      <c r="F971" s="7" t="inlineStr">
        <is>
          <t>Yes</t>
        </is>
      </c>
      <c r="G971" s="8" t="n"/>
    </row>
    <row r="972">
      <c r="A972" s="8" t="inlineStr">
        <is>
          <t>PGCV_0024_0893</t>
        </is>
      </c>
      <c r="B972" s="8" t="inlineStr">
        <is>
          <t>COVID-SNL-22-66444</t>
        </is>
      </c>
      <c r="C972" s="8" t="inlineStr">
        <is>
          <t>KTFYDRZJXS</t>
        </is>
      </c>
      <c r="D972" s="7" t="n">
        <v>24</v>
      </c>
      <c r="E972" s="7" t="n">
        <v>893</v>
      </c>
      <c r="F972" s="7" t="inlineStr">
        <is>
          <t>Yes</t>
        </is>
      </c>
      <c r="G972" s="8" t="n"/>
    </row>
    <row r="973">
      <c r="A973" s="8" t="inlineStr">
        <is>
          <t>PGCV_0024_0894</t>
        </is>
      </c>
      <c r="B973" s="8" t="inlineStr">
        <is>
          <t>COVID-SNL-22-66445</t>
        </is>
      </c>
      <c r="C973" s="8" t="inlineStr">
        <is>
          <t>LS33HZURX9</t>
        </is>
      </c>
      <c r="D973" s="7" t="n">
        <v>24</v>
      </c>
      <c r="E973" s="7" t="n">
        <v>894</v>
      </c>
      <c r="F973" s="7" t="inlineStr">
        <is>
          <t>Yes</t>
        </is>
      </c>
      <c r="G973" s="8" t="n"/>
    </row>
    <row r="974">
      <c r="A974" s="8" t="inlineStr">
        <is>
          <t>PGCV_0024_0895</t>
        </is>
      </c>
      <c r="B974" s="8" t="inlineStr">
        <is>
          <t>COVID-SNL-22-66446</t>
        </is>
      </c>
      <c r="C974" s="8" t="inlineStr">
        <is>
          <t>BK3KSYTODL</t>
        </is>
      </c>
      <c r="D974" s="7" t="n">
        <v>24</v>
      </c>
      <c r="E974" s="7" t="n">
        <v>895</v>
      </c>
      <c r="F974" s="7" t="inlineStr">
        <is>
          <t>Yes</t>
        </is>
      </c>
      <c r="G974" s="8" t="n"/>
    </row>
    <row r="975">
      <c r="A975" s="8" t="inlineStr">
        <is>
          <t>PGCV_0024_0896</t>
        </is>
      </c>
      <c r="B975" s="8" t="inlineStr">
        <is>
          <t>COVID-SNL-22-66454</t>
        </is>
      </c>
      <c r="C975" s="8" t="inlineStr">
        <is>
          <t>59ZHCIWI7U</t>
        </is>
      </c>
      <c r="D975" s="7" t="n">
        <v>24</v>
      </c>
      <c r="E975" s="7" t="n">
        <v>896</v>
      </c>
      <c r="F975" s="7" t="inlineStr">
        <is>
          <t>No</t>
        </is>
      </c>
      <c r="G975" s="8" t="n"/>
    </row>
    <row r="976">
      <c r="A976" s="8" t="inlineStr">
        <is>
          <t>PGCV_0024_0897</t>
        </is>
      </c>
      <c r="B976" s="8" t="inlineStr">
        <is>
          <t>COVID-SNL-22-66457</t>
        </is>
      </c>
      <c r="C976" s="8" t="inlineStr">
        <is>
          <t>PWSBXS0IGO</t>
        </is>
      </c>
      <c r="D976" s="7" t="n">
        <v>24</v>
      </c>
      <c r="E976" s="7" t="n">
        <v>897</v>
      </c>
      <c r="F976" s="7" t="inlineStr">
        <is>
          <t>Yes</t>
        </is>
      </c>
      <c r="G976" s="8" t="n"/>
    </row>
    <row r="977">
      <c r="A977" s="8" t="inlineStr">
        <is>
          <t>PGCV_0024_0898</t>
        </is>
      </c>
      <c r="B977" s="8" t="inlineStr">
        <is>
          <t>COVID-SNL-22-66465</t>
        </is>
      </c>
      <c r="C977" s="8" t="inlineStr">
        <is>
          <t>HECFKXTJ2R</t>
        </is>
      </c>
      <c r="D977" s="7" t="n">
        <v>24</v>
      </c>
      <c r="E977" s="7" t="n">
        <v>898</v>
      </c>
      <c r="F977" s="7" t="inlineStr">
        <is>
          <t>No</t>
        </is>
      </c>
      <c r="G977" s="8" t="n"/>
    </row>
    <row r="978">
      <c r="A978" s="8" t="inlineStr">
        <is>
          <t>PGCV_0024_0899</t>
        </is>
      </c>
      <c r="B978" s="8" t="inlineStr">
        <is>
          <t>COVID-SNL-22-66466</t>
        </is>
      </c>
      <c r="C978" s="8" t="inlineStr">
        <is>
          <t>JZQFYNLVML</t>
        </is>
      </c>
      <c r="D978" s="7" t="n">
        <v>24</v>
      </c>
      <c r="E978" s="7" t="n">
        <v>899</v>
      </c>
      <c r="F978" s="7" t="inlineStr">
        <is>
          <t>No</t>
        </is>
      </c>
      <c r="G978" s="8" t="n"/>
    </row>
    <row r="979">
      <c r="A979" s="8" t="inlineStr">
        <is>
          <t>PGCV_0024_0900</t>
        </is>
      </c>
      <c r="B979" s="8" t="inlineStr">
        <is>
          <t>COVID-SNL-22-66491</t>
        </is>
      </c>
      <c r="C979" s="8" t="inlineStr">
        <is>
          <t>RBQAQXYVXG</t>
        </is>
      </c>
      <c r="D979" s="7" t="n">
        <v>24</v>
      </c>
      <c r="E979" s="7" t="n">
        <v>900</v>
      </c>
      <c r="F979" s="7" t="inlineStr">
        <is>
          <t>Yes</t>
        </is>
      </c>
      <c r="G979" s="8" t="n"/>
    </row>
    <row r="980">
      <c r="A980" s="8" t="inlineStr">
        <is>
          <t>PGCV_0024_0901</t>
        </is>
      </c>
      <c r="B980" s="8" t="inlineStr">
        <is>
          <t>COVID-SNL-22-66497</t>
        </is>
      </c>
      <c r="C980" s="8" t="inlineStr">
        <is>
          <t>9EHFQMLDWG</t>
        </is>
      </c>
      <c r="D980" s="7" t="n">
        <v>24</v>
      </c>
      <c r="E980" s="7" t="n">
        <v>901</v>
      </c>
      <c r="F980" s="7" t="inlineStr">
        <is>
          <t>Yes</t>
        </is>
      </c>
      <c r="G980" s="8" t="n"/>
    </row>
    <row r="981">
      <c r="A981" s="8" t="inlineStr">
        <is>
          <t>PGCV_0024_0902</t>
        </is>
      </c>
      <c r="B981" s="8" t="inlineStr">
        <is>
          <t>COVID-SNL-22-66505</t>
        </is>
      </c>
      <c r="C981" s="8" t="inlineStr">
        <is>
          <t>Y12OYAJCQJ</t>
        </is>
      </c>
      <c r="D981" s="7" t="n">
        <v>24</v>
      </c>
      <c r="E981" s="7" t="n">
        <v>902</v>
      </c>
      <c r="F981" s="7" t="inlineStr">
        <is>
          <t>Yes</t>
        </is>
      </c>
      <c r="G981" s="8" t="n"/>
    </row>
    <row r="982">
      <c r="A982" s="8" t="inlineStr">
        <is>
          <t>PGCV_0024_0903</t>
        </is>
      </c>
      <c r="B982" s="8" t="inlineStr">
        <is>
          <t>COVID-SNL-22-66520</t>
        </is>
      </c>
      <c r="C982" s="8" t="inlineStr">
        <is>
          <t>YJAAUZFDLN</t>
        </is>
      </c>
      <c r="D982" s="7" t="n">
        <v>24</v>
      </c>
      <c r="E982" s="7" t="n">
        <v>903</v>
      </c>
      <c r="F982" s="7" t="inlineStr">
        <is>
          <t>Yes</t>
        </is>
      </c>
      <c r="G982" s="8" t="n"/>
    </row>
    <row r="983">
      <c r="A983" s="8" t="inlineStr">
        <is>
          <t>PGCV_0024_0904</t>
        </is>
      </c>
      <c r="B983" s="8" t="inlineStr">
        <is>
          <t>COVID-SNL-22-66526</t>
        </is>
      </c>
      <c r="C983" s="8" t="inlineStr">
        <is>
          <t>FKVYAHHZVT</t>
        </is>
      </c>
      <c r="D983" s="7" t="n">
        <v>24</v>
      </c>
      <c r="E983" s="7" t="n">
        <v>904</v>
      </c>
      <c r="F983" s="7" t="inlineStr">
        <is>
          <t>Yes</t>
        </is>
      </c>
      <c r="G983" s="8" t="n"/>
    </row>
    <row r="984">
      <c r="A984" s="8" t="inlineStr">
        <is>
          <t>PGCV_0024_0905</t>
        </is>
      </c>
      <c r="B984" s="8" t="inlineStr">
        <is>
          <t>COVID-SNL-22-66528</t>
        </is>
      </c>
      <c r="C984" s="8" t="inlineStr">
        <is>
          <t>B3RQY26QDZ</t>
        </is>
      </c>
      <c r="D984" s="7" t="n">
        <v>24</v>
      </c>
      <c r="E984" s="7" t="n">
        <v>905</v>
      </c>
      <c r="F984" s="7" t="inlineStr">
        <is>
          <t>Yes</t>
        </is>
      </c>
      <c r="G984" s="8" t="n"/>
    </row>
    <row r="985">
      <c r="A985" s="8" t="inlineStr">
        <is>
          <t>PGCV_0024_0906</t>
        </is>
      </c>
      <c r="B985" s="8" t="inlineStr">
        <is>
          <t>COVID-SNL-22-66619</t>
        </is>
      </c>
      <c r="C985" s="8" t="inlineStr">
        <is>
          <t>MLMT84E9QZ</t>
        </is>
      </c>
      <c r="D985" s="7" t="n">
        <v>24</v>
      </c>
      <c r="E985" s="7" t="n">
        <v>906</v>
      </c>
      <c r="F985" s="7" t="inlineStr">
        <is>
          <t>Yes</t>
        </is>
      </c>
      <c r="G985" s="8" t="n"/>
    </row>
    <row r="986">
      <c r="A986" s="8" t="inlineStr">
        <is>
          <t>PGCV_0024_0907</t>
        </is>
      </c>
      <c r="B986" s="8" t="inlineStr">
        <is>
          <t>COVID-SNL-22-66630</t>
        </is>
      </c>
      <c r="C986" s="8" t="inlineStr">
        <is>
          <t>DVCIQ2EMIP</t>
        </is>
      </c>
      <c r="D986" s="7" t="n">
        <v>24</v>
      </c>
      <c r="E986" s="7" t="n">
        <v>907</v>
      </c>
      <c r="F986" s="7" t="inlineStr">
        <is>
          <t>Yes</t>
        </is>
      </c>
      <c r="G986" s="8" t="n"/>
    </row>
    <row r="987">
      <c r="A987" s="8" t="inlineStr">
        <is>
          <t>PGCV_0024_0908</t>
        </is>
      </c>
      <c r="B987" s="8" t="inlineStr">
        <is>
          <t>COVID-SNL-22-66667</t>
        </is>
      </c>
      <c r="C987" s="8" t="inlineStr">
        <is>
          <t>OC3NN0A2WL</t>
        </is>
      </c>
      <c r="D987" s="7" t="n">
        <v>24</v>
      </c>
      <c r="E987" s="7" t="n">
        <v>908</v>
      </c>
      <c r="F987" s="7" t="inlineStr">
        <is>
          <t>Yes</t>
        </is>
      </c>
      <c r="G987" s="8" t="n"/>
    </row>
    <row r="988">
      <c r="A988" s="8" t="inlineStr">
        <is>
          <t>PGCV_0024_0909</t>
        </is>
      </c>
      <c r="B988" s="8" t="inlineStr">
        <is>
          <t>COVID-SNL-22-66682</t>
        </is>
      </c>
      <c r="C988" s="8" t="inlineStr">
        <is>
          <t>XSNM91OHBC</t>
        </is>
      </c>
      <c r="D988" s="7" t="n">
        <v>24</v>
      </c>
      <c r="E988" s="7" t="n">
        <v>909</v>
      </c>
      <c r="F988" s="7" t="inlineStr">
        <is>
          <t>Yes</t>
        </is>
      </c>
      <c r="G988" s="8" t="n"/>
    </row>
    <row r="989">
      <c r="A989" s="8" t="inlineStr">
        <is>
          <t>PGCV_0024_0910</t>
        </is>
      </c>
      <c r="B989" s="8" t="inlineStr">
        <is>
          <t>COVID-SNL-22-66728</t>
        </is>
      </c>
      <c r="C989" s="8" t="inlineStr">
        <is>
          <t>98WK8PAKSW</t>
        </is>
      </c>
      <c r="D989" s="7" t="n">
        <v>24</v>
      </c>
      <c r="E989" s="7" t="n">
        <v>910</v>
      </c>
      <c r="F989" s="7" t="inlineStr">
        <is>
          <t>Yes</t>
        </is>
      </c>
      <c r="G989" s="8" t="n"/>
    </row>
    <row r="990">
      <c r="A990" s="8" t="inlineStr">
        <is>
          <t>PGCV_0024_0911</t>
        </is>
      </c>
      <c r="B990" s="8" t="inlineStr">
        <is>
          <t>COVID-SNL-22-66751</t>
        </is>
      </c>
      <c r="C990" s="8" t="inlineStr">
        <is>
          <t>72MOOQSVWT</t>
        </is>
      </c>
      <c r="D990" s="7" t="n">
        <v>24</v>
      </c>
      <c r="E990" s="7" t="n">
        <v>911</v>
      </c>
      <c r="F990" s="7" t="inlineStr">
        <is>
          <t>Yes</t>
        </is>
      </c>
      <c r="G990" s="8" t="n"/>
    </row>
    <row r="991">
      <c r="A991" s="8" t="inlineStr">
        <is>
          <t>PGCV_0024_0912</t>
        </is>
      </c>
      <c r="B991" s="8" t="inlineStr">
        <is>
          <t>COVID-SNL-22-66826</t>
        </is>
      </c>
      <c r="C991" s="8" t="inlineStr">
        <is>
          <t>NZ3PNTXRHH</t>
        </is>
      </c>
      <c r="D991" s="7" t="n">
        <v>24</v>
      </c>
      <c r="E991" s="7" t="n">
        <v>912</v>
      </c>
      <c r="F991" s="7" t="inlineStr">
        <is>
          <t>Yes</t>
        </is>
      </c>
      <c r="G991" s="8" t="n"/>
    </row>
    <row r="992">
      <c r="A992" s="8" t="inlineStr">
        <is>
          <t>PGCV_0024_0913</t>
        </is>
      </c>
      <c r="B992" s="8" t="inlineStr">
        <is>
          <t>COVID-SNL-22-66827</t>
        </is>
      </c>
      <c r="C992" s="8" t="inlineStr">
        <is>
          <t>KHEULNPY33</t>
        </is>
      </c>
      <c r="D992" s="7" t="n">
        <v>24</v>
      </c>
      <c r="E992" s="7" t="n">
        <v>913</v>
      </c>
      <c r="F992" s="7" t="inlineStr">
        <is>
          <t>Yes</t>
        </is>
      </c>
      <c r="G992" s="8" t="n"/>
    </row>
    <row r="993">
      <c r="A993" s="8" t="inlineStr">
        <is>
          <t>PGCV_0024_0914</t>
        </is>
      </c>
      <c r="B993" s="8" t="inlineStr">
        <is>
          <t>COVID-SNL-22-66824</t>
        </is>
      </c>
      <c r="C993" s="8" t="inlineStr">
        <is>
          <t>LH94QH3PQL</t>
        </is>
      </c>
      <c r="D993" s="7" t="n">
        <v>24</v>
      </c>
      <c r="E993" s="7" t="n">
        <v>914</v>
      </c>
      <c r="F993" s="7" t="inlineStr">
        <is>
          <t>Yes</t>
        </is>
      </c>
      <c r="G993" s="8" t="n"/>
    </row>
    <row r="994">
      <c r="A994" s="8" t="inlineStr">
        <is>
          <t>PGCV_0024_0915</t>
        </is>
      </c>
      <c r="B994" s="8" t="inlineStr">
        <is>
          <t>COVID-SNL-22-66830</t>
        </is>
      </c>
      <c r="C994" s="8" t="inlineStr">
        <is>
          <t>XKBWOE3V5D</t>
        </is>
      </c>
      <c r="D994" s="7" t="n">
        <v>24</v>
      </c>
      <c r="E994" s="7" t="n">
        <v>915</v>
      </c>
      <c r="F994" s="7" t="inlineStr">
        <is>
          <t>Yes</t>
        </is>
      </c>
      <c r="G994" s="8" t="n"/>
    </row>
    <row r="995">
      <c r="A995" s="8" t="inlineStr">
        <is>
          <t>PGCV_0024_0916</t>
        </is>
      </c>
      <c r="B995" s="8" t="inlineStr">
        <is>
          <t>COVID-SNL-22-66836</t>
        </is>
      </c>
      <c r="C995" s="8" t="inlineStr">
        <is>
          <t>5MV4EXI3MU</t>
        </is>
      </c>
      <c r="D995" s="7" t="n">
        <v>24</v>
      </c>
      <c r="E995" s="7" t="n">
        <v>916</v>
      </c>
      <c r="F995" s="7" t="inlineStr">
        <is>
          <t>Yes</t>
        </is>
      </c>
      <c r="G995" s="8" t="n"/>
    </row>
    <row r="996">
      <c r="A996" s="8" t="inlineStr">
        <is>
          <t>PGCV_0024_0917</t>
        </is>
      </c>
      <c r="B996" s="8" t="inlineStr">
        <is>
          <t>COVID-SNL-22-66864</t>
        </is>
      </c>
      <c r="C996" s="8" t="inlineStr">
        <is>
          <t>DNA80PWYCO</t>
        </is>
      </c>
      <c r="D996" s="7" t="n">
        <v>24</v>
      </c>
      <c r="E996" s="7" t="n">
        <v>917</v>
      </c>
      <c r="F996" s="7" t="inlineStr">
        <is>
          <t>Yes</t>
        </is>
      </c>
      <c r="G996" s="8" t="n"/>
    </row>
    <row r="997">
      <c r="A997" s="8" t="inlineStr">
        <is>
          <t>PGCV_0024_0918</t>
        </is>
      </c>
      <c r="B997" s="8" t="inlineStr">
        <is>
          <t>COVID-SNL-22-66865</t>
        </is>
      </c>
      <c r="C997" s="8" t="inlineStr">
        <is>
          <t>BYFII5GAFT</t>
        </is>
      </c>
      <c r="D997" s="7" t="n">
        <v>24</v>
      </c>
      <c r="E997" s="7" t="n">
        <v>918</v>
      </c>
      <c r="F997" s="7" t="inlineStr">
        <is>
          <t>Yes</t>
        </is>
      </c>
      <c r="G997" s="8" t="n"/>
    </row>
    <row r="998">
      <c r="A998" s="8" t="inlineStr">
        <is>
          <t>PGCV_0024_0919</t>
        </is>
      </c>
      <c r="B998" s="8" t="inlineStr">
        <is>
          <t>COVID-SNL-22-66866</t>
        </is>
      </c>
      <c r="C998" s="8" t="inlineStr">
        <is>
          <t>WJG1GCUKSD</t>
        </is>
      </c>
      <c r="D998" s="7" t="n">
        <v>24</v>
      </c>
      <c r="E998" s="7" t="n">
        <v>919</v>
      </c>
      <c r="F998" s="7" t="inlineStr">
        <is>
          <t>Yes</t>
        </is>
      </c>
      <c r="G998" s="8" t="n"/>
    </row>
    <row r="999">
      <c r="A999" s="8" t="inlineStr">
        <is>
          <t>PGCV_0024_0920</t>
        </is>
      </c>
      <c r="B999" s="8" t="inlineStr">
        <is>
          <t>COVID-SNL-22-66868</t>
        </is>
      </c>
      <c r="C999" s="8" t="inlineStr">
        <is>
          <t>NS3BEWBY9L</t>
        </is>
      </c>
      <c r="D999" s="7" t="n">
        <v>24</v>
      </c>
      <c r="E999" s="7" t="n">
        <v>920</v>
      </c>
      <c r="F999" s="7" t="inlineStr">
        <is>
          <t>Yes</t>
        </is>
      </c>
      <c r="G999" s="8" t="n"/>
    </row>
    <row r="1000">
      <c r="A1000" s="8" t="inlineStr">
        <is>
          <t>PGCV_0024_0921</t>
        </is>
      </c>
      <c r="B1000" s="8" t="inlineStr">
        <is>
          <t>COVID-SNL-22-66976</t>
        </is>
      </c>
      <c r="C1000" s="8" t="inlineStr">
        <is>
          <t>STBUEGWLQA</t>
        </is>
      </c>
      <c r="D1000" s="7" t="n">
        <v>24</v>
      </c>
      <c r="E1000" s="7" t="n">
        <v>921</v>
      </c>
      <c r="F1000" s="7" t="inlineStr">
        <is>
          <t>Yes</t>
        </is>
      </c>
      <c r="G1000" s="8" t="n"/>
    </row>
    <row r="1001">
      <c r="A1001" s="8" t="inlineStr">
        <is>
          <t>PGCV_0024_0922</t>
        </is>
      </c>
      <c r="B1001" s="8" t="inlineStr">
        <is>
          <t>COVID-SNL-22-67015</t>
        </is>
      </c>
      <c r="C1001" s="8" t="inlineStr">
        <is>
          <t>RCJ8NAVZFZ</t>
        </is>
      </c>
      <c r="D1001" s="7" t="n">
        <v>24</v>
      </c>
      <c r="E1001" s="7" t="n">
        <v>922</v>
      </c>
      <c r="F1001" s="7" t="inlineStr">
        <is>
          <t>Yes</t>
        </is>
      </c>
      <c r="G1001" s="8" t="n"/>
    </row>
    <row r="1002">
      <c r="A1002" s="8" t="inlineStr">
        <is>
          <t>PGCV_0024_0923</t>
        </is>
      </c>
      <c r="B1002" s="8" t="inlineStr">
        <is>
          <t>COVID-SNL-22-67017</t>
        </is>
      </c>
      <c r="C1002" s="8" t="inlineStr">
        <is>
          <t>XJ5TX9ZDHP</t>
        </is>
      </c>
      <c r="D1002" s="7" t="n">
        <v>24</v>
      </c>
      <c r="E1002" s="7" t="n">
        <v>923</v>
      </c>
      <c r="F1002" s="7" t="inlineStr">
        <is>
          <t>Yes</t>
        </is>
      </c>
      <c r="G1002" s="8" t="n"/>
    </row>
    <row r="1003">
      <c r="A1003" s="8" t="inlineStr">
        <is>
          <t>PGCV_0024_0924</t>
        </is>
      </c>
      <c r="B1003" s="8" t="inlineStr">
        <is>
          <t>COVID-SNL-22-67019</t>
        </is>
      </c>
      <c r="C1003" s="8" t="inlineStr">
        <is>
          <t>WERVVD8DPP</t>
        </is>
      </c>
      <c r="D1003" s="7" t="n">
        <v>24</v>
      </c>
      <c r="E1003" s="7" t="n">
        <v>924</v>
      </c>
      <c r="F1003" s="7" t="inlineStr">
        <is>
          <t>Yes</t>
        </is>
      </c>
      <c r="G1003" s="8" t="n"/>
    </row>
    <row r="1004">
      <c r="A1004" s="8" t="inlineStr">
        <is>
          <t>PGCV_0024_0925</t>
        </is>
      </c>
      <c r="B1004" s="8" t="inlineStr">
        <is>
          <t>COVID-SNL-22-67022</t>
        </is>
      </c>
      <c r="C1004" s="8" t="inlineStr">
        <is>
          <t>7CKJVERWXY</t>
        </is>
      </c>
      <c r="D1004" s="7" t="n">
        <v>24</v>
      </c>
      <c r="E1004" s="7" t="n">
        <v>925</v>
      </c>
      <c r="F1004" s="7" t="inlineStr">
        <is>
          <t>Yes</t>
        </is>
      </c>
      <c r="G1004" s="8" t="n"/>
    </row>
    <row r="1005">
      <c r="A1005" s="8" t="inlineStr">
        <is>
          <t>PGCV_0024_0926</t>
        </is>
      </c>
      <c r="B1005" s="8" t="inlineStr">
        <is>
          <t>COVID-SNL-22-67027</t>
        </is>
      </c>
      <c r="C1005" s="8" t="inlineStr">
        <is>
          <t>1YPZZ4UXYO</t>
        </is>
      </c>
      <c r="D1005" s="7" t="n">
        <v>24</v>
      </c>
      <c r="E1005" s="7" t="n">
        <v>926</v>
      </c>
      <c r="F1005" s="7" t="inlineStr">
        <is>
          <t>Yes</t>
        </is>
      </c>
      <c r="G1005" s="8" t="n"/>
    </row>
    <row r="1006">
      <c r="A1006" s="8" t="inlineStr">
        <is>
          <t>PGCV_0024_0927</t>
        </is>
      </c>
      <c r="B1006" s="8" t="inlineStr">
        <is>
          <t>COVID-SNL-22-67028</t>
        </is>
      </c>
      <c r="C1006" s="8" t="inlineStr">
        <is>
          <t>JD7WMXLJVA</t>
        </is>
      </c>
      <c r="D1006" s="7" t="n">
        <v>24</v>
      </c>
      <c r="E1006" s="7" t="n">
        <v>927</v>
      </c>
      <c r="F1006" s="7" t="inlineStr">
        <is>
          <t>Yes</t>
        </is>
      </c>
      <c r="G1006" s="8" t="n"/>
    </row>
    <row r="1007">
      <c r="A1007" s="8" t="inlineStr">
        <is>
          <t>PGCV_0024_0928</t>
        </is>
      </c>
      <c r="B1007" s="8" t="inlineStr">
        <is>
          <t>COVID-SNL-22-66825</t>
        </is>
      </c>
      <c r="C1007" s="8" t="inlineStr">
        <is>
          <t>IXG7AY2ANU</t>
        </is>
      </c>
      <c r="D1007" s="7" t="n">
        <v>24</v>
      </c>
      <c r="E1007" s="7" t="n">
        <v>928</v>
      </c>
      <c r="F1007" s="7" t="inlineStr">
        <is>
          <t>Yes</t>
        </is>
      </c>
      <c r="G1007" s="8" t="n"/>
    </row>
    <row r="1008">
      <c r="A1008" s="8" t="inlineStr">
        <is>
          <t>PGCV_0024_0929</t>
        </is>
      </c>
      <c r="B1008" s="8" t="inlineStr">
        <is>
          <t>COVID-SNL-22-67121</t>
        </is>
      </c>
      <c r="C1008" s="8" t="inlineStr">
        <is>
          <t>NOMNCINPAG</t>
        </is>
      </c>
      <c r="D1008" s="7" t="n">
        <v>24</v>
      </c>
      <c r="E1008" s="7" t="n">
        <v>929</v>
      </c>
      <c r="F1008" s="7" t="inlineStr">
        <is>
          <t>Yes</t>
        </is>
      </c>
      <c r="G1008" s="8" t="n"/>
    </row>
    <row r="1009">
      <c r="A1009" s="8" t="inlineStr">
        <is>
          <t>PGCV_0024_0930</t>
        </is>
      </c>
      <c r="B1009" s="8" t="inlineStr">
        <is>
          <t>COVID-SNL-22-67122</t>
        </is>
      </c>
      <c r="C1009" s="8" t="inlineStr">
        <is>
          <t>QDOV99SOIK</t>
        </is>
      </c>
      <c r="D1009" s="7" t="n">
        <v>24</v>
      </c>
      <c r="E1009" s="7" t="n">
        <v>930</v>
      </c>
      <c r="F1009" s="7" t="inlineStr">
        <is>
          <t>Yes</t>
        </is>
      </c>
      <c r="G1009" s="8" t="n"/>
    </row>
    <row r="1010">
      <c r="A1010" s="8" t="inlineStr">
        <is>
          <t>PGCV_0024_0931</t>
        </is>
      </c>
      <c r="B1010" s="8" t="inlineStr">
        <is>
          <t>COVID-SNL-22-67155</t>
        </is>
      </c>
      <c r="C1010" s="8" t="inlineStr">
        <is>
          <t>6TRSWYD7QM</t>
        </is>
      </c>
      <c r="D1010" s="7" t="n">
        <v>24</v>
      </c>
      <c r="E1010" s="7" t="n">
        <v>931</v>
      </c>
      <c r="F1010" s="7" t="inlineStr">
        <is>
          <t>No</t>
        </is>
      </c>
      <c r="G1010" s="8" t="n"/>
    </row>
    <row r="1011">
      <c r="A1011" s="8" t="inlineStr">
        <is>
          <t>PGCV_0024_0932</t>
        </is>
      </c>
      <c r="B1011" s="8" t="inlineStr">
        <is>
          <t>COVID-SNL-22-67160</t>
        </is>
      </c>
      <c r="C1011" s="8" t="inlineStr">
        <is>
          <t>KV3GUNBI57</t>
        </is>
      </c>
      <c r="D1011" s="7" t="n">
        <v>24</v>
      </c>
      <c r="E1011" s="7" t="n">
        <v>932</v>
      </c>
      <c r="F1011" s="7" t="inlineStr">
        <is>
          <t>Yes</t>
        </is>
      </c>
      <c r="G1011" s="8" t="n"/>
    </row>
    <row r="1012">
      <c r="A1012" s="8" t="inlineStr">
        <is>
          <t>PGCV_0024_0933</t>
        </is>
      </c>
      <c r="B1012" s="8" t="inlineStr">
        <is>
          <t>COVID-SNL-22-67163</t>
        </is>
      </c>
      <c r="C1012" s="8" t="inlineStr">
        <is>
          <t>WTYHYYMWDY</t>
        </is>
      </c>
      <c r="D1012" s="7" t="n">
        <v>24</v>
      </c>
      <c r="E1012" s="7" t="n">
        <v>933</v>
      </c>
      <c r="F1012" s="7" t="inlineStr">
        <is>
          <t>Yes</t>
        </is>
      </c>
      <c r="G1012" s="8" t="n"/>
    </row>
    <row r="1013">
      <c r="A1013" s="8" t="inlineStr">
        <is>
          <t>PGCV_0024_0934</t>
        </is>
      </c>
      <c r="B1013" s="8" t="inlineStr">
        <is>
          <t>COVID-SNL-22-67190</t>
        </is>
      </c>
      <c r="C1013" s="8" t="inlineStr">
        <is>
          <t>EHBCSUKHE3</t>
        </is>
      </c>
      <c r="D1013" s="7" t="n">
        <v>24</v>
      </c>
      <c r="E1013" s="7" t="n">
        <v>934</v>
      </c>
      <c r="F1013" s="7" t="inlineStr">
        <is>
          <t>Yes</t>
        </is>
      </c>
      <c r="G1013" s="8" t="n"/>
    </row>
    <row r="1014">
      <c r="A1014" s="8" t="inlineStr">
        <is>
          <t>PGCV_0024_0935</t>
        </is>
      </c>
      <c r="B1014" s="8" t="inlineStr">
        <is>
          <t>COVID-SNL-22-67222</t>
        </is>
      </c>
      <c r="C1014" s="8" t="inlineStr">
        <is>
          <t>TRIQ16NK75</t>
        </is>
      </c>
      <c r="D1014" s="7" t="n">
        <v>24</v>
      </c>
      <c r="E1014" s="7" t="n">
        <v>935</v>
      </c>
      <c r="F1014" s="7" t="inlineStr">
        <is>
          <t>Yes</t>
        </is>
      </c>
      <c r="G1014" s="8" t="n"/>
    </row>
    <row r="1015">
      <c r="A1015" s="8" t="inlineStr">
        <is>
          <t>PGCV_0024_0936</t>
        </is>
      </c>
      <c r="B1015" s="8" t="inlineStr">
        <is>
          <t>COVID-SNL-22-67235</t>
        </is>
      </c>
      <c r="C1015" s="8" t="inlineStr">
        <is>
          <t>PXWTWI0LA8</t>
        </is>
      </c>
      <c r="D1015" s="7" t="n">
        <v>24</v>
      </c>
      <c r="E1015" s="7" t="n">
        <v>936</v>
      </c>
      <c r="F1015" s="7" t="inlineStr">
        <is>
          <t>Yes</t>
        </is>
      </c>
      <c r="G1015" s="8" t="n"/>
    </row>
    <row r="1016">
      <c r="A1016" s="8" t="inlineStr">
        <is>
          <t>PGCV_0024_0937</t>
        </is>
      </c>
      <c r="B1016" s="8" t="inlineStr">
        <is>
          <t>COVID-SNL-22-67238</t>
        </is>
      </c>
      <c r="C1016" s="8" t="inlineStr">
        <is>
          <t>BWUI9XMSAV</t>
        </is>
      </c>
      <c r="D1016" s="7" t="n">
        <v>24</v>
      </c>
      <c r="E1016" s="7" t="n">
        <v>937</v>
      </c>
      <c r="F1016" s="7" t="inlineStr">
        <is>
          <t>Yes</t>
        </is>
      </c>
      <c r="G1016" s="8" t="n"/>
    </row>
    <row r="1017">
      <c r="A1017" s="8" t="inlineStr">
        <is>
          <t>PGCV_0024_0938</t>
        </is>
      </c>
      <c r="B1017" s="8" t="inlineStr">
        <is>
          <t>COVID-SNL-22-67256</t>
        </is>
      </c>
      <c r="C1017" s="8" t="inlineStr">
        <is>
          <t>CGNT35XXA2</t>
        </is>
      </c>
      <c r="D1017" s="7" t="n">
        <v>24</v>
      </c>
      <c r="E1017" s="7" t="n">
        <v>938</v>
      </c>
      <c r="F1017" s="7" t="inlineStr">
        <is>
          <t>Yes</t>
        </is>
      </c>
      <c r="G1017" s="8" t="n"/>
    </row>
    <row r="1018">
      <c r="A1018" s="8" t="inlineStr">
        <is>
          <t>PGCV_0024_0939</t>
        </is>
      </c>
      <c r="B1018" s="8" t="inlineStr">
        <is>
          <t>COVID-SNL-22-67257</t>
        </is>
      </c>
      <c r="C1018" s="8" t="inlineStr">
        <is>
          <t>CH9PRHN9DB</t>
        </is>
      </c>
      <c r="D1018" s="7" t="n">
        <v>24</v>
      </c>
      <c r="E1018" s="7" t="n">
        <v>939</v>
      </c>
      <c r="F1018" s="7" t="inlineStr">
        <is>
          <t>Yes</t>
        </is>
      </c>
      <c r="G1018" s="8" t="n"/>
    </row>
    <row r="1019">
      <c r="A1019" s="8" t="inlineStr">
        <is>
          <t>PGCV_0024_0940</t>
        </is>
      </c>
      <c r="B1019" s="8" t="inlineStr">
        <is>
          <t>COVID-SNL-22-67266</t>
        </is>
      </c>
      <c r="C1019" s="8" t="inlineStr">
        <is>
          <t>NZOEGLZY19</t>
        </is>
      </c>
      <c r="D1019" s="7" t="n">
        <v>24</v>
      </c>
      <c r="E1019" s="7" t="n">
        <v>940</v>
      </c>
      <c r="F1019" s="7" t="inlineStr">
        <is>
          <t>Yes</t>
        </is>
      </c>
      <c r="G1019" s="8" t="n"/>
    </row>
    <row r="1020">
      <c r="A1020" s="8" t="inlineStr">
        <is>
          <t>PGCV_0024_0941</t>
        </is>
      </c>
      <c r="B1020" s="8" t="inlineStr">
        <is>
          <t>COVID-SNL-22-67302</t>
        </is>
      </c>
      <c r="C1020" s="8" t="inlineStr">
        <is>
          <t>N2FGBOZZAW</t>
        </is>
      </c>
      <c r="D1020" s="7" t="n">
        <v>24</v>
      </c>
      <c r="E1020" s="7" t="n">
        <v>941</v>
      </c>
      <c r="F1020" s="7" t="inlineStr">
        <is>
          <t>Yes</t>
        </is>
      </c>
      <c r="G1020" s="8" t="n"/>
    </row>
    <row r="1021">
      <c r="A1021" s="8" t="inlineStr">
        <is>
          <t>PGCV_0024_0942</t>
        </is>
      </c>
      <c r="B1021" s="8" t="inlineStr">
        <is>
          <t>COVID-SNL-22-67320</t>
        </is>
      </c>
      <c r="C1021" s="8" t="inlineStr">
        <is>
          <t>46QPNXNOAW</t>
        </is>
      </c>
      <c r="D1021" s="7" t="n">
        <v>24</v>
      </c>
      <c r="E1021" s="7" t="n">
        <v>942</v>
      </c>
      <c r="F1021" s="7" t="inlineStr">
        <is>
          <t>Yes</t>
        </is>
      </c>
      <c r="G1021" s="8" t="n"/>
    </row>
    <row r="1022">
      <c r="A1022" s="8" t="inlineStr">
        <is>
          <t>PGCV_0024_0943</t>
        </is>
      </c>
      <c r="B1022" s="8" t="inlineStr">
        <is>
          <t>COVID-SNL-22-67321</t>
        </is>
      </c>
      <c r="C1022" s="8" t="inlineStr">
        <is>
          <t>3XYBMX9RZM</t>
        </is>
      </c>
      <c r="D1022" s="7" t="n">
        <v>24</v>
      </c>
      <c r="E1022" s="7" t="n">
        <v>943</v>
      </c>
      <c r="F1022" s="7" t="inlineStr">
        <is>
          <t>Yes</t>
        </is>
      </c>
      <c r="G1022" s="8" t="n"/>
    </row>
    <row r="1023">
      <c r="A1023" s="8" t="inlineStr">
        <is>
          <t>PGCV_0024_0944</t>
        </is>
      </c>
      <c r="B1023" s="8" t="inlineStr">
        <is>
          <t>COVID-SNL-22-67354</t>
        </is>
      </c>
      <c r="C1023" s="8" t="inlineStr">
        <is>
          <t>01GRXGKVDT</t>
        </is>
      </c>
      <c r="D1023" s="7" t="n">
        <v>24</v>
      </c>
      <c r="E1023" s="7" t="n">
        <v>944</v>
      </c>
      <c r="F1023" s="7" t="inlineStr">
        <is>
          <t>No</t>
        </is>
      </c>
      <c r="G1023" s="8" t="n"/>
    </row>
    <row r="1024">
      <c r="A1024" s="8" t="inlineStr">
        <is>
          <t>PGCV_0024_0945</t>
        </is>
      </c>
      <c r="B1024" s="8" t="inlineStr">
        <is>
          <t>COVID-SNL-22-67362</t>
        </is>
      </c>
      <c r="C1024" s="8" t="inlineStr">
        <is>
          <t>DD0G2GOPKP</t>
        </is>
      </c>
      <c r="D1024" s="7" t="n">
        <v>24</v>
      </c>
      <c r="E1024" s="7" t="n">
        <v>945</v>
      </c>
      <c r="F1024" s="7" t="inlineStr">
        <is>
          <t>Yes</t>
        </is>
      </c>
      <c r="G1024" s="8" t="n"/>
    </row>
    <row r="1025">
      <c r="A1025" s="8" t="inlineStr">
        <is>
          <t>PGCV_0024_0946</t>
        </is>
      </c>
      <c r="B1025" s="8" t="inlineStr">
        <is>
          <t>COVID-SNL-22-67370</t>
        </is>
      </c>
      <c r="C1025" s="8" t="inlineStr">
        <is>
          <t>AC7P39IC3U</t>
        </is>
      </c>
      <c r="D1025" s="7" t="n">
        <v>24</v>
      </c>
      <c r="E1025" s="7" t="n">
        <v>946</v>
      </c>
      <c r="F1025" s="7" t="inlineStr">
        <is>
          <t>Yes</t>
        </is>
      </c>
      <c r="G1025" s="8" t="n"/>
    </row>
    <row r="1026">
      <c r="A1026" s="8" t="inlineStr">
        <is>
          <t>PGCV_0024_0947</t>
        </is>
      </c>
      <c r="B1026" s="8" t="inlineStr">
        <is>
          <t>COVID-SNL-22-67371</t>
        </is>
      </c>
      <c r="C1026" s="8" t="inlineStr">
        <is>
          <t>IPPME58XSK</t>
        </is>
      </c>
      <c r="D1026" s="7" t="n">
        <v>24</v>
      </c>
      <c r="E1026" s="7" t="n">
        <v>947</v>
      </c>
      <c r="F1026" s="7" t="inlineStr">
        <is>
          <t>No</t>
        </is>
      </c>
      <c r="G1026" s="8" t="n"/>
    </row>
    <row r="1027">
      <c r="A1027" s="8" t="inlineStr">
        <is>
          <t>PGCV_0024_0948</t>
        </is>
      </c>
      <c r="B1027" s="8" t="inlineStr">
        <is>
          <t>COVID-SNL-22-67326</t>
        </is>
      </c>
      <c r="C1027" s="8" t="inlineStr">
        <is>
          <t>TA2TVYCRRF</t>
        </is>
      </c>
      <c r="D1027" s="7" t="n">
        <v>24</v>
      </c>
      <c r="E1027" s="7" t="n">
        <v>948</v>
      </c>
      <c r="F1027" s="7" t="inlineStr">
        <is>
          <t>Yes</t>
        </is>
      </c>
      <c r="G1027" s="8" t="n"/>
    </row>
    <row r="1028">
      <c r="A1028" s="8" t="inlineStr">
        <is>
          <t>PGCV_0024_0949</t>
        </is>
      </c>
      <c r="B1028" s="8" t="inlineStr">
        <is>
          <t>COVID-SNL-22-67328</t>
        </is>
      </c>
      <c r="C1028" s="8" t="inlineStr">
        <is>
          <t>NNRDXRR5FC</t>
        </is>
      </c>
      <c r="D1028" s="7" t="n">
        <v>24</v>
      </c>
      <c r="E1028" s="7" t="n">
        <v>949</v>
      </c>
      <c r="F1028" s="7" t="inlineStr">
        <is>
          <t>Yes</t>
        </is>
      </c>
      <c r="G1028" s="8" t="n"/>
    </row>
    <row r="1029">
      <c r="A1029" s="8" t="inlineStr">
        <is>
          <t>PGCV_0024_0950</t>
        </is>
      </c>
      <c r="B1029" s="8" t="inlineStr">
        <is>
          <t>COVID-SNL-22-67332</t>
        </is>
      </c>
      <c r="C1029" s="8" t="inlineStr">
        <is>
          <t>SXATJQJ6VA</t>
        </is>
      </c>
      <c r="D1029" s="7" t="n">
        <v>24</v>
      </c>
      <c r="E1029" s="7" t="n">
        <v>950</v>
      </c>
      <c r="F1029" s="7" t="inlineStr">
        <is>
          <t>Yes</t>
        </is>
      </c>
      <c r="G1029" s="8" t="n"/>
    </row>
    <row r="1030">
      <c r="A1030" s="8" t="inlineStr">
        <is>
          <t>PGCV_0024_0951</t>
        </is>
      </c>
      <c r="B1030" s="8" t="inlineStr">
        <is>
          <t>COVID-SNL-22-67383</t>
        </is>
      </c>
      <c r="C1030" s="8" t="inlineStr">
        <is>
          <t>ZPNDUQOMU5</t>
        </is>
      </c>
      <c r="D1030" s="7" t="n">
        <v>24</v>
      </c>
      <c r="E1030" s="7" t="n">
        <v>951</v>
      </c>
      <c r="F1030" s="7" t="inlineStr">
        <is>
          <t>Yes</t>
        </is>
      </c>
      <c r="G1030" s="8" t="n"/>
    </row>
    <row r="1031">
      <c r="A1031" s="8" t="inlineStr">
        <is>
          <t>PGCV_0024_0952</t>
        </is>
      </c>
      <c r="B1031" s="8" t="inlineStr">
        <is>
          <t>COVID-SNL-22-67392</t>
        </is>
      </c>
      <c r="C1031" s="8" t="inlineStr">
        <is>
          <t>OIW3AXHTJM</t>
        </is>
      </c>
      <c r="D1031" s="7" t="n">
        <v>24</v>
      </c>
      <c r="E1031" s="7" t="n">
        <v>952</v>
      </c>
      <c r="F1031" s="7" t="inlineStr">
        <is>
          <t>Yes</t>
        </is>
      </c>
      <c r="G1031" s="8" t="n"/>
    </row>
    <row r="1032">
      <c r="A1032" s="8" t="inlineStr">
        <is>
          <t>PGCV_0024_0953</t>
        </is>
      </c>
      <c r="B1032" s="8" t="inlineStr">
        <is>
          <t>COVID-SNL-22-67476</t>
        </is>
      </c>
      <c r="C1032" s="8" t="inlineStr">
        <is>
          <t>KAUIWQVALO</t>
        </is>
      </c>
      <c r="D1032" s="7" t="n">
        <v>24</v>
      </c>
      <c r="E1032" s="7" t="n">
        <v>953</v>
      </c>
      <c r="F1032" s="7" t="inlineStr">
        <is>
          <t>Yes</t>
        </is>
      </c>
      <c r="G1032" s="8" t="n"/>
    </row>
    <row r="1033">
      <c r="A1033" s="8" t="inlineStr">
        <is>
          <t>PGCV_0024_0954</t>
        </is>
      </c>
      <c r="B1033" s="8" t="inlineStr">
        <is>
          <t>COVID-SNL-22-67488</t>
        </is>
      </c>
      <c r="C1033" s="8" t="inlineStr">
        <is>
          <t>AWPUVQNXPO</t>
        </is>
      </c>
      <c r="D1033" s="7" t="n">
        <v>24</v>
      </c>
      <c r="E1033" s="7" t="n">
        <v>954</v>
      </c>
      <c r="F1033" s="7" t="inlineStr">
        <is>
          <t>Yes</t>
        </is>
      </c>
      <c r="G1033" s="8" t="n"/>
    </row>
    <row r="1034">
      <c r="A1034" s="8" t="inlineStr">
        <is>
          <t>PGCV_0024_0955</t>
        </is>
      </c>
      <c r="B1034" s="8" t="inlineStr">
        <is>
          <t>COVID-SNL-22-67495</t>
        </is>
      </c>
      <c r="C1034" s="8" t="inlineStr">
        <is>
          <t>MRELW0MJGA</t>
        </is>
      </c>
      <c r="D1034" s="7" t="n">
        <v>24</v>
      </c>
      <c r="E1034" s="7" t="n">
        <v>955</v>
      </c>
      <c r="F1034" s="7" t="inlineStr">
        <is>
          <t>Yes</t>
        </is>
      </c>
      <c r="G1034" s="8" t="n"/>
    </row>
    <row r="1035">
      <c r="A1035" s="8" t="inlineStr">
        <is>
          <t>PGCV_0024_0956</t>
        </is>
      </c>
      <c r="B1035" s="8" t="inlineStr">
        <is>
          <t>COVID-SNL-22-67553</t>
        </is>
      </c>
      <c r="C1035" s="8" t="inlineStr">
        <is>
          <t>TX05ECFWAX</t>
        </is>
      </c>
      <c r="D1035" s="7" t="n">
        <v>24</v>
      </c>
      <c r="E1035" s="7" t="n">
        <v>956</v>
      </c>
      <c r="F1035" s="7" t="inlineStr">
        <is>
          <t>Yes</t>
        </is>
      </c>
      <c r="G1035" s="8" t="n"/>
    </row>
    <row r="1036">
      <c r="A1036" s="8" t="inlineStr">
        <is>
          <t>PGCV_0024_0957</t>
        </is>
      </c>
      <c r="B1036" s="8" t="inlineStr">
        <is>
          <t>COVID-SNL-22-67453</t>
        </is>
      </c>
      <c r="C1036" s="8" t="inlineStr">
        <is>
          <t>0THPZKDAPC</t>
        </is>
      </c>
      <c r="D1036" s="7" t="n">
        <v>24</v>
      </c>
      <c r="E1036" s="7" t="n">
        <v>957</v>
      </c>
      <c r="F1036" s="7" t="inlineStr">
        <is>
          <t>Yes</t>
        </is>
      </c>
      <c r="G1036" s="8" t="n"/>
    </row>
    <row r="1037">
      <c r="A1037" s="8" t="inlineStr">
        <is>
          <t>PGCV_0024_0958</t>
        </is>
      </c>
      <c r="B1037" s="8" t="inlineStr">
        <is>
          <t>COVID-SNL-22-67469</t>
        </is>
      </c>
      <c r="C1037" s="8" t="inlineStr">
        <is>
          <t>VTUZT9PWVY</t>
        </is>
      </c>
      <c r="D1037" s="7" t="n">
        <v>24</v>
      </c>
      <c r="E1037" s="7" t="n">
        <v>958</v>
      </c>
      <c r="F1037" s="7" t="inlineStr">
        <is>
          <t>Yes</t>
        </is>
      </c>
      <c r="G1037" s="8" t="n"/>
    </row>
    <row r="1038">
      <c r="A1038" s="8" t="inlineStr">
        <is>
          <t>PGCV_0024_0959</t>
        </is>
      </c>
      <c r="B1038" s="8" t="inlineStr">
        <is>
          <t>COVID-SNL-22-67660</t>
        </is>
      </c>
      <c r="C1038" s="8" t="inlineStr">
        <is>
          <t>OCFVKT0TQL</t>
        </is>
      </c>
      <c r="D1038" s="7" t="n">
        <v>24</v>
      </c>
      <c r="E1038" s="7" t="n">
        <v>959</v>
      </c>
      <c r="F1038" s="7" t="inlineStr">
        <is>
          <t>Yes</t>
        </is>
      </c>
      <c r="G1038" s="8" t="n"/>
    </row>
    <row r="1039">
      <c r="A1039" s="8" t="inlineStr">
        <is>
          <t>PGCV_0024_0960</t>
        </is>
      </c>
      <c r="B1039" s="8" t="inlineStr">
        <is>
          <t>COVID-SNL-22-67664</t>
        </is>
      </c>
      <c r="C1039" s="8" t="inlineStr">
        <is>
          <t>EJLV2DQI78</t>
        </is>
      </c>
      <c r="D1039" s="7" t="n">
        <v>24</v>
      </c>
      <c r="E1039" s="7" t="n">
        <v>960</v>
      </c>
      <c r="F1039" s="7" t="inlineStr">
        <is>
          <t>Yes</t>
        </is>
      </c>
      <c r="G1039" s="8" t="n"/>
    </row>
    <row r="1040">
      <c r="A1040" s="8" t="inlineStr">
        <is>
          <t>PGCV_0024_0961</t>
        </is>
      </c>
      <c r="B1040" s="8" t="inlineStr">
        <is>
          <t>COVID-SNL-22-67679</t>
        </is>
      </c>
      <c r="C1040" s="8" t="inlineStr">
        <is>
          <t>GCTIPG8R4G</t>
        </is>
      </c>
      <c r="D1040" s="7" t="n">
        <v>24</v>
      </c>
      <c r="E1040" s="7" t="n">
        <v>961</v>
      </c>
      <c r="F1040" s="7" t="inlineStr">
        <is>
          <t>Yes</t>
        </is>
      </c>
      <c r="G1040" s="8" t="n"/>
    </row>
    <row r="1041">
      <c r="A1041" s="8" t="inlineStr">
        <is>
          <t>PGCV_0024_0962</t>
        </is>
      </c>
      <c r="B1041" s="8" t="inlineStr">
        <is>
          <t>COVID-SNL-22-67681</t>
        </is>
      </c>
      <c r="C1041" s="8" t="inlineStr">
        <is>
          <t>HHUIRET7DV</t>
        </is>
      </c>
      <c r="D1041" s="7" t="n">
        <v>24</v>
      </c>
      <c r="E1041" s="7" t="n">
        <v>962</v>
      </c>
      <c r="F1041" s="7" t="inlineStr">
        <is>
          <t>Yes</t>
        </is>
      </c>
      <c r="G1041" s="8" t="n"/>
    </row>
    <row r="1042">
      <c r="A1042" s="8" t="inlineStr">
        <is>
          <t>PGCV_0024_0963</t>
        </is>
      </c>
      <c r="B1042" s="8" t="inlineStr">
        <is>
          <t>COVID-SNL-22-67689</t>
        </is>
      </c>
      <c r="C1042" s="8" t="inlineStr">
        <is>
          <t>2S7FXPIJAF</t>
        </is>
      </c>
      <c r="D1042" s="7" t="n">
        <v>24</v>
      </c>
      <c r="E1042" s="7" t="n">
        <v>963</v>
      </c>
      <c r="F1042" s="7" t="inlineStr">
        <is>
          <t>Yes</t>
        </is>
      </c>
      <c r="G1042" s="8" t="n"/>
    </row>
    <row r="1043">
      <c r="A1043" s="8" t="inlineStr">
        <is>
          <t>PGCV_0024_0964</t>
        </is>
      </c>
      <c r="B1043" s="8" t="inlineStr">
        <is>
          <t>COVID-SNL-22-67692</t>
        </is>
      </c>
      <c r="C1043" s="8" t="inlineStr">
        <is>
          <t>1VLRFIHJYG</t>
        </is>
      </c>
      <c r="D1043" s="7" t="n">
        <v>24</v>
      </c>
      <c r="E1043" s="7" t="n">
        <v>964</v>
      </c>
      <c r="F1043" s="7" t="inlineStr">
        <is>
          <t>Yes</t>
        </is>
      </c>
      <c r="G1043" s="8" t="n"/>
    </row>
    <row r="1044">
      <c r="A1044" s="8" t="inlineStr">
        <is>
          <t>PGCV_0024_0965</t>
        </is>
      </c>
      <c r="B1044" s="8" t="inlineStr">
        <is>
          <t>COVID-SNL-22-67694</t>
        </is>
      </c>
      <c r="C1044" s="8" t="inlineStr">
        <is>
          <t>YVTCBLSUB5</t>
        </is>
      </c>
      <c r="D1044" s="7" t="n">
        <v>24</v>
      </c>
      <c r="E1044" s="7" t="n">
        <v>965</v>
      </c>
      <c r="F1044" s="7" t="inlineStr">
        <is>
          <t>Yes</t>
        </is>
      </c>
      <c r="G1044" s="8" t="n"/>
    </row>
    <row r="1045">
      <c r="A1045" s="8" t="inlineStr">
        <is>
          <t>PGCV_0024_0966</t>
        </is>
      </c>
      <c r="B1045" s="8" t="inlineStr">
        <is>
          <t>COVID-SNL-22-67760</t>
        </is>
      </c>
      <c r="C1045" s="8" t="inlineStr">
        <is>
          <t>1LRGBC3R3K</t>
        </is>
      </c>
      <c r="D1045" s="7" t="n">
        <v>24</v>
      </c>
      <c r="E1045" s="7" t="n">
        <v>966</v>
      </c>
      <c r="F1045" s="7" t="inlineStr">
        <is>
          <t>Yes</t>
        </is>
      </c>
      <c r="G1045" s="8" t="n"/>
    </row>
    <row r="1046">
      <c r="A1046" s="8" t="inlineStr">
        <is>
          <t>PGCV_0024_0967</t>
        </is>
      </c>
      <c r="B1046" s="8" t="inlineStr">
        <is>
          <t>COVID-SNL-22-67763</t>
        </is>
      </c>
      <c r="C1046" s="8" t="inlineStr">
        <is>
          <t>YLMWMRWBLM</t>
        </is>
      </c>
      <c r="D1046" s="7" t="n">
        <v>24</v>
      </c>
      <c r="E1046" s="7" t="n">
        <v>967</v>
      </c>
      <c r="F1046" s="7" t="inlineStr">
        <is>
          <t>Yes</t>
        </is>
      </c>
      <c r="G1046" s="8" t="n"/>
    </row>
    <row r="1047">
      <c r="A1047" s="8" t="inlineStr">
        <is>
          <t>PGCV_0024_0968</t>
        </is>
      </c>
      <c r="B1047" s="8" t="inlineStr">
        <is>
          <t>COVID-SNL-22-67764</t>
        </is>
      </c>
      <c r="C1047" s="8" t="inlineStr">
        <is>
          <t>JMDZW5HKQF</t>
        </is>
      </c>
      <c r="D1047" s="7" t="n">
        <v>24</v>
      </c>
      <c r="E1047" s="7" t="n">
        <v>968</v>
      </c>
      <c r="F1047" s="7" t="inlineStr">
        <is>
          <t>Yes</t>
        </is>
      </c>
      <c r="G1047" s="8" t="n"/>
    </row>
    <row r="1048">
      <c r="A1048" s="8" t="inlineStr">
        <is>
          <t>PGCV_0024_0969</t>
        </is>
      </c>
      <c r="B1048" s="8" t="inlineStr">
        <is>
          <t>COVID-SNL-22-67765</t>
        </is>
      </c>
      <c r="C1048" s="8" t="inlineStr">
        <is>
          <t>4JULJNRIUG</t>
        </is>
      </c>
      <c r="D1048" s="7" t="n">
        <v>24</v>
      </c>
      <c r="E1048" s="7" t="n">
        <v>969</v>
      </c>
      <c r="F1048" s="7" t="inlineStr">
        <is>
          <t>Yes</t>
        </is>
      </c>
      <c r="G1048" s="8" t="n"/>
    </row>
    <row r="1049">
      <c r="A1049" s="8" t="inlineStr">
        <is>
          <t>PGCV_0024_0970</t>
        </is>
      </c>
      <c r="B1049" s="8" t="inlineStr">
        <is>
          <t>COVID-SNL-22-67766</t>
        </is>
      </c>
      <c r="C1049" s="8" t="inlineStr">
        <is>
          <t>AV6VHEO90W</t>
        </is>
      </c>
      <c r="D1049" s="7" t="n">
        <v>24</v>
      </c>
      <c r="E1049" s="7" t="n">
        <v>970</v>
      </c>
      <c r="F1049" s="7" t="inlineStr">
        <is>
          <t>Yes</t>
        </is>
      </c>
      <c r="G1049" s="8" t="n"/>
    </row>
    <row r="1050">
      <c r="A1050" s="8" t="inlineStr">
        <is>
          <t>PGCV_0024_0971</t>
        </is>
      </c>
      <c r="B1050" s="8" t="inlineStr">
        <is>
          <t>COVID-SNL-22-67768</t>
        </is>
      </c>
      <c r="C1050" s="8" t="inlineStr">
        <is>
          <t>ZXKIG8SHDQ</t>
        </is>
      </c>
      <c r="D1050" s="7" t="n">
        <v>24</v>
      </c>
      <c r="E1050" s="7" t="n">
        <v>971</v>
      </c>
      <c r="F1050" s="7" t="inlineStr">
        <is>
          <t>Yes</t>
        </is>
      </c>
      <c r="G1050" s="8" t="n"/>
    </row>
    <row r="1051">
      <c r="A1051" s="8" t="inlineStr">
        <is>
          <t>PGCV_0024_0972</t>
        </is>
      </c>
      <c r="B1051" s="8" t="inlineStr">
        <is>
          <t>COVID-SNL-22-67772</t>
        </is>
      </c>
      <c r="C1051" s="8" t="inlineStr">
        <is>
          <t>UQ31SAJ3U7</t>
        </is>
      </c>
      <c r="D1051" s="7" t="n">
        <v>24</v>
      </c>
      <c r="E1051" s="7" t="n">
        <v>972</v>
      </c>
      <c r="F1051" s="7" t="inlineStr">
        <is>
          <t>Yes</t>
        </is>
      </c>
      <c r="G1051" s="8" t="n"/>
    </row>
    <row r="1052">
      <c r="A1052" s="8" t="inlineStr">
        <is>
          <t>PGCV_0024_0973</t>
        </is>
      </c>
      <c r="B1052" s="8" t="inlineStr">
        <is>
          <t>COVID-SNL-22-67773</t>
        </is>
      </c>
      <c r="C1052" s="8" t="inlineStr">
        <is>
          <t>AYFF7ECDAJ</t>
        </is>
      </c>
      <c r="D1052" s="7" t="n">
        <v>24</v>
      </c>
      <c r="E1052" s="7" t="n">
        <v>973</v>
      </c>
      <c r="F1052" s="7" t="inlineStr">
        <is>
          <t>Yes</t>
        </is>
      </c>
      <c r="G1052" s="8" t="n"/>
    </row>
    <row r="1053">
      <c r="A1053" s="8" t="inlineStr">
        <is>
          <t>PGCV_0024_0974</t>
        </is>
      </c>
      <c r="B1053" s="8" t="inlineStr">
        <is>
          <t>COVID-SNL-22-67777</t>
        </is>
      </c>
      <c r="C1053" s="8" t="inlineStr">
        <is>
          <t>DFNE3ZFDN5</t>
        </is>
      </c>
      <c r="D1053" s="7" t="n">
        <v>24</v>
      </c>
      <c r="E1053" s="7" t="n">
        <v>974</v>
      </c>
      <c r="F1053" s="7" t="inlineStr">
        <is>
          <t>Yes</t>
        </is>
      </c>
      <c r="G1053" s="8" t="n"/>
    </row>
    <row r="1054">
      <c r="A1054" s="8" t="inlineStr">
        <is>
          <t>PGCV_0024_0975</t>
        </is>
      </c>
      <c r="B1054" s="8" t="inlineStr">
        <is>
          <t>COVID-SNL-22-67778</t>
        </is>
      </c>
      <c r="C1054" s="8" t="inlineStr">
        <is>
          <t>3FO3AYLK6P</t>
        </is>
      </c>
      <c r="D1054" s="7" t="n">
        <v>24</v>
      </c>
      <c r="E1054" s="7" t="n">
        <v>975</v>
      </c>
      <c r="F1054" s="7" t="inlineStr">
        <is>
          <t>Yes</t>
        </is>
      </c>
      <c r="G1054" s="8" t="n"/>
    </row>
    <row r="1055">
      <c r="A1055" s="8" t="inlineStr">
        <is>
          <t>PGCV_0024_0976</t>
        </is>
      </c>
      <c r="B1055" s="8" t="inlineStr">
        <is>
          <t>COVID-SNL-22-67779</t>
        </is>
      </c>
      <c r="C1055" s="8" t="inlineStr">
        <is>
          <t>WSHCJMS41J</t>
        </is>
      </c>
      <c r="D1055" s="7" t="n">
        <v>24</v>
      </c>
      <c r="E1055" s="7" t="n">
        <v>976</v>
      </c>
      <c r="F1055" s="7" t="inlineStr">
        <is>
          <t>Yes</t>
        </is>
      </c>
      <c r="G1055" s="8" t="n"/>
    </row>
    <row r="1056">
      <c r="A1056" s="8" t="inlineStr">
        <is>
          <t>PGCV_0024_0977</t>
        </is>
      </c>
      <c r="B1056" s="8" t="inlineStr">
        <is>
          <t>COVID-SNL-22-67782</t>
        </is>
      </c>
      <c r="C1056" s="8" t="inlineStr">
        <is>
          <t>BCER3XCASI</t>
        </is>
      </c>
      <c r="D1056" s="7" t="n">
        <v>24</v>
      </c>
      <c r="E1056" s="7" t="n">
        <v>977</v>
      </c>
      <c r="F1056" s="7" t="inlineStr">
        <is>
          <t>Yes</t>
        </is>
      </c>
      <c r="G1056" s="8" t="n"/>
    </row>
    <row r="1057">
      <c r="A1057" s="8" t="inlineStr">
        <is>
          <t>PGCV_0024_0978</t>
        </is>
      </c>
      <c r="B1057" s="8" t="inlineStr">
        <is>
          <t>COVID-SNL-22-67795</t>
        </is>
      </c>
      <c r="C1057" s="8" t="inlineStr">
        <is>
          <t>B96OL9KIBV</t>
        </is>
      </c>
      <c r="D1057" s="7" t="n">
        <v>24</v>
      </c>
      <c r="E1057" s="7" t="n">
        <v>978</v>
      </c>
      <c r="F1057" s="7" t="inlineStr">
        <is>
          <t>Yes</t>
        </is>
      </c>
      <c r="G1057" s="8" t="n"/>
    </row>
    <row r="1058">
      <c r="A1058" s="8" t="inlineStr">
        <is>
          <t>PGCV_0024_0979</t>
        </is>
      </c>
      <c r="B1058" s="8" t="inlineStr">
        <is>
          <t>COVID-SNL-22-67804</t>
        </is>
      </c>
      <c r="C1058" s="8" t="inlineStr">
        <is>
          <t>IK3PAXVZW4</t>
        </is>
      </c>
      <c r="D1058" s="7" t="n">
        <v>24</v>
      </c>
      <c r="E1058" s="7" t="n">
        <v>979</v>
      </c>
      <c r="F1058" s="7" t="inlineStr">
        <is>
          <t>Yes</t>
        </is>
      </c>
      <c r="G1058" s="8" t="n"/>
    </row>
    <row r="1059">
      <c r="A1059" s="8" t="inlineStr">
        <is>
          <t>PGCV_0024_0980</t>
        </is>
      </c>
      <c r="B1059" s="8" t="inlineStr">
        <is>
          <t>COVID-SNL-22-67868</t>
        </is>
      </c>
      <c r="C1059" s="8" t="inlineStr">
        <is>
          <t>5AAF2I3PTF</t>
        </is>
      </c>
      <c r="D1059" s="7" t="n">
        <v>24</v>
      </c>
      <c r="E1059" s="7" t="n">
        <v>980</v>
      </c>
      <c r="F1059" s="7" t="inlineStr">
        <is>
          <t>Yes</t>
        </is>
      </c>
      <c r="G1059" s="8" t="n"/>
    </row>
    <row r="1060">
      <c r="A1060" s="8" t="inlineStr">
        <is>
          <t>PGCV_0024_0981</t>
        </is>
      </c>
      <c r="B1060" s="8" t="inlineStr">
        <is>
          <t>COVID-SNL-22-67887</t>
        </is>
      </c>
      <c r="C1060" s="8" t="inlineStr">
        <is>
          <t>KWSGKRMCAO</t>
        </is>
      </c>
      <c r="D1060" s="7" t="n">
        <v>24</v>
      </c>
      <c r="E1060" s="7" t="n">
        <v>981</v>
      </c>
      <c r="F1060" s="7" t="inlineStr">
        <is>
          <t>Yes</t>
        </is>
      </c>
      <c r="G1060" s="8" t="n"/>
    </row>
    <row r="1061">
      <c r="A1061" s="8" t="inlineStr">
        <is>
          <t>PGCV_0024_0982</t>
        </is>
      </c>
      <c r="B1061" s="8" t="inlineStr">
        <is>
          <t>COVID-SNL-22-67893</t>
        </is>
      </c>
      <c r="C1061" s="8" t="inlineStr">
        <is>
          <t>EXHQVM10MR</t>
        </is>
      </c>
      <c r="D1061" s="7" t="n">
        <v>24</v>
      </c>
      <c r="E1061" s="7" t="n">
        <v>982</v>
      </c>
      <c r="F1061" s="7" t="inlineStr">
        <is>
          <t>Yes</t>
        </is>
      </c>
      <c r="G1061" s="8" t="n"/>
    </row>
    <row r="1062">
      <c r="A1062" s="8" t="inlineStr">
        <is>
          <t>PGCV_0024_0983</t>
        </is>
      </c>
      <c r="B1062" s="8" t="inlineStr">
        <is>
          <t>COVID-SNL-22-67968</t>
        </is>
      </c>
      <c r="C1062" s="8" t="inlineStr">
        <is>
          <t>Z9JAQYKEUJ</t>
        </is>
      </c>
      <c r="D1062" s="7" t="n">
        <v>24</v>
      </c>
      <c r="E1062" s="7" t="n">
        <v>983</v>
      </c>
      <c r="F1062" s="7" t="inlineStr">
        <is>
          <t>Yes</t>
        </is>
      </c>
      <c r="G1062" s="8" t="n"/>
    </row>
    <row r="1063">
      <c r="A1063" s="8" t="inlineStr">
        <is>
          <t>PGCV_0024_0984</t>
        </is>
      </c>
      <c r="B1063" s="8" t="inlineStr">
        <is>
          <t>COVID-SNL-22-67969</t>
        </is>
      </c>
      <c r="C1063" s="8" t="inlineStr">
        <is>
          <t>WT0XWYJFA1</t>
        </is>
      </c>
      <c r="D1063" s="7" t="n">
        <v>24</v>
      </c>
      <c r="E1063" s="7" t="n">
        <v>984</v>
      </c>
      <c r="F1063" s="7" t="inlineStr">
        <is>
          <t>Yes</t>
        </is>
      </c>
      <c r="G1063" s="8" t="n"/>
    </row>
    <row r="1064">
      <c r="A1064" s="8" t="inlineStr">
        <is>
          <t>PGCV_0024_0985</t>
        </is>
      </c>
      <c r="B1064" s="8" t="inlineStr">
        <is>
          <t>COVID-SNL-22-67960</t>
        </is>
      </c>
      <c r="C1064" s="8" t="inlineStr">
        <is>
          <t>MYZIOQVVXR</t>
        </is>
      </c>
      <c r="D1064" s="7" t="n">
        <v>24</v>
      </c>
      <c r="E1064" s="7" t="n">
        <v>985</v>
      </c>
      <c r="F1064" s="7" t="inlineStr">
        <is>
          <t>Yes</t>
        </is>
      </c>
      <c r="G1064" s="8" t="n"/>
    </row>
    <row r="1065">
      <c r="A1065" s="8" t="inlineStr">
        <is>
          <t>PGCV_0024_0986</t>
        </is>
      </c>
      <c r="B1065" s="8" t="inlineStr">
        <is>
          <t>COVID-SNL-22-67964</t>
        </is>
      </c>
      <c r="C1065" s="8" t="inlineStr">
        <is>
          <t>VHE2HJI4D0</t>
        </is>
      </c>
      <c r="D1065" s="7" t="n">
        <v>24</v>
      </c>
      <c r="E1065" s="7" t="n">
        <v>986</v>
      </c>
      <c r="F1065" s="7" t="inlineStr">
        <is>
          <t>Yes</t>
        </is>
      </c>
      <c r="G1065" s="8" t="n"/>
    </row>
    <row r="1066">
      <c r="A1066" s="8" t="inlineStr">
        <is>
          <t>PGCV_0024_0987</t>
        </is>
      </c>
      <c r="B1066" s="8" t="inlineStr">
        <is>
          <t>COVID-SNL-22-67961</t>
        </is>
      </c>
      <c r="C1066" s="8" t="inlineStr">
        <is>
          <t>QYX89HNQKI</t>
        </is>
      </c>
      <c r="D1066" s="7" t="n">
        <v>24</v>
      </c>
      <c r="E1066" s="7" t="n">
        <v>987</v>
      </c>
      <c r="F1066" s="7" t="inlineStr">
        <is>
          <t>Yes</t>
        </is>
      </c>
      <c r="G1066" s="8" t="n"/>
    </row>
    <row r="1067">
      <c r="A1067" s="8" t="inlineStr">
        <is>
          <t>PGCV_0024_0988</t>
        </is>
      </c>
      <c r="B1067" s="8" t="inlineStr">
        <is>
          <t>COVID-SNL-22-68079</t>
        </is>
      </c>
      <c r="C1067" s="8" t="inlineStr">
        <is>
          <t>HPR3K2FVLG</t>
        </is>
      </c>
      <c r="D1067" s="7" t="n">
        <v>24</v>
      </c>
      <c r="E1067" s="7" t="n">
        <v>988</v>
      </c>
      <c r="F1067" s="7" t="inlineStr">
        <is>
          <t>Yes</t>
        </is>
      </c>
      <c r="G1067" s="8" t="n"/>
    </row>
    <row r="1068">
      <c r="A1068" s="8" t="inlineStr">
        <is>
          <t>PGCV_0024_0989</t>
        </is>
      </c>
      <c r="B1068" s="8" t="inlineStr">
        <is>
          <t>COVID-SNL-22-68084</t>
        </is>
      </c>
      <c r="C1068" s="8" t="inlineStr">
        <is>
          <t>MMSY0OIYES</t>
        </is>
      </c>
      <c r="D1068" s="7" t="n">
        <v>24</v>
      </c>
      <c r="E1068" s="7" t="n">
        <v>989</v>
      </c>
      <c r="F1068" s="7" t="inlineStr">
        <is>
          <t>Yes</t>
        </is>
      </c>
      <c r="G1068" s="8" t="n"/>
    </row>
    <row r="1069">
      <c r="A1069" s="8" t="inlineStr">
        <is>
          <t>PGCV_0024_0990</t>
        </is>
      </c>
      <c r="B1069" s="8" t="inlineStr">
        <is>
          <t>COVID-SNL-22-68088</t>
        </is>
      </c>
      <c r="C1069" s="8" t="inlineStr">
        <is>
          <t>IHPU5CMNBK</t>
        </is>
      </c>
      <c r="D1069" s="7" t="n">
        <v>24</v>
      </c>
      <c r="E1069" s="7" t="n">
        <v>990</v>
      </c>
      <c r="F1069" s="7" t="inlineStr">
        <is>
          <t>Yes</t>
        </is>
      </c>
      <c r="G1069" s="8" t="n"/>
    </row>
    <row r="1070">
      <c r="A1070" s="8" t="inlineStr">
        <is>
          <t>PGCV_0024_0991</t>
        </is>
      </c>
      <c r="B1070" s="8" t="inlineStr">
        <is>
          <t>COVID-SNL-22-68101</t>
        </is>
      </c>
      <c r="C1070" s="8" t="inlineStr">
        <is>
          <t>3VUUKXBILM</t>
        </is>
      </c>
      <c r="D1070" s="7" t="n">
        <v>24</v>
      </c>
      <c r="E1070" s="7" t="n">
        <v>991</v>
      </c>
      <c r="F1070" s="7" t="inlineStr">
        <is>
          <t>Yes</t>
        </is>
      </c>
      <c r="G1070" s="8" t="n"/>
    </row>
    <row r="1071">
      <c r="A1071" s="8" t="inlineStr">
        <is>
          <t>PGCV_0024_0992</t>
        </is>
      </c>
      <c r="B1071" s="8" t="inlineStr">
        <is>
          <t>COVID-SNL-22-68104</t>
        </is>
      </c>
      <c r="C1071" s="8" t="inlineStr">
        <is>
          <t>Y6HTCEEJGV</t>
        </is>
      </c>
      <c r="D1071" s="7" t="n">
        <v>24</v>
      </c>
      <c r="E1071" s="7" t="n">
        <v>992</v>
      </c>
      <c r="F1071" s="7" t="inlineStr">
        <is>
          <t>Yes</t>
        </is>
      </c>
      <c r="G1071" s="8" t="n"/>
    </row>
    <row r="1072">
      <c r="A1072" s="8" t="inlineStr">
        <is>
          <t>PGCV_0024_0993</t>
        </is>
      </c>
      <c r="B1072" s="8" t="inlineStr">
        <is>
          <t>COVID-SNL-22-68111</t>
        </is>
      </c>
      <c r="C1072" s="8" t="inlineStr">
        <is>
          <t>RLGZGUGO3M</t>
        </is>
      </c>
      <c r="D1072" s="7" t="n">
        <v>24</v>
      </c>
      <c r="E1072" s="7" t="n">
        <v>993</v>
      </c>
      <c r="F1072" s="7" t="inlineStr">
        <is>
          <t>Yes</t>
        </is>
      </c>
      <c r="G1072" s="8" t="n"/>
    </row>
    <row r="1073">
      <c r="A1073" s="8" t="inlineStr">
        <is>
          <t>PGCV_0024_0994</t>
        </is>
      </c>
      <c r="B1073" s="8" t="inlineStr">
        <is>
          <t>COVID-SNL-22-68112</t>
        </is>
      </c>
      <c r="C1073" s="8" t="inlineStr">
        <is>
          <t>KYL2N0QWMD</t>
        </is>
      </c>
      <c r="D1073" s="7" t="n">
        <v>24</v>
      </c>
      <c r="E1073" s="7" t="n">
        <v>994</v>
      </c>
      <c r="F1073" s="7" t="inlineStr">
        <is>
          <t>Yes</t>
        </is>
      </c>
      <c r="G1073" s="8" t="n"/>
    </row>
    <row r="1074">
      <c r="A1074" s="8" t="inlineStr">
        <is>
          <t>PGCV_0024_0995</t>
        </is>
      </c>
      <c r="B1074" s="8" t="inlineStr">
        <is>
          <t>COVID-SNL-22-68118</t>
        </is>
      </c>
      <c r="C1074" s="8" t="inlineStr">
        <is>
          <t>DB6DBIHET1</t>
        </is>
      </c>
      <c r="D1074" s="7" t="n">
        <v>24</v>
      </c>
      <c r="E1074" s="7" t="n">
        <v>995</v>
      </c>
      <c r="F1074" s="7" t="inlineStr">
        <is>
          <t>Yes</t>
        </is>
      </c>
      <c r="G1074" s="8" t="n"/>
    </row>
    <row r="1075">
      <c r="A1075" s="8" t="inlineStr">
        <is>
          <t>PGCV_0024_0996</t>
        </is>
      </c>
      <c r="B1075" s="8" t="inlineStr">
        <is>
          <t>COVID-SNL-22-68119</t>
        </is>
      </c>
      <c r="C1075" s="8" t="inlineStr">
        <is>
          <t>MJB59PBDWV</t>
        </is>
      </c>
      <c r="D1075" s="7" t="n">
        <v>24</v>
      </c>
      <c r="E1075" s="7" t="n">
        <v>996</v>
      </c>
      <c r="F1075" s="7" t="inlineStr">
        <is>
          <t>Yes</t>
        </is>
      </c>
      <c r="G1075" s="8" t="n"/>
    </row>
    <row r="1076">
      <c r="A1076" s="8" t="inlineStr">
        <is>
          <t>PGCV_0024_0997</t>
        </is>
      </c>
      <c r="B1076" s="8" t="inlineStr">
        <is>
          <t>COVID-SNL-22-68124</t>
        </is>
      </c>
      <c r="C1076" s="8" t="inlineStr">
        <is>
          <t>8NTVGHHRLQ</t>
        </is>
      </c>
      <c r="D1076" s="7" t="n">
        <v>24</v>
      </c>
      <c r="E1076" s="7" t="n">
        <v>997</v>
      </c>
      <c r="F1076" s="7" t="inlineStr">
        <is>
          <t>Yes</t>
        </is>
      </c>
      <c r="G1076" s="8" t="n"/>
    </row>
    <row r="1077">
      <c r="A1077" s="8" t="inlineStr">
        <is>
          <t>PGCV_0024_0998</t>
        </is>
      </c>
      <c r="B1077" s="8" t="inlineStr">
        <is>
          <t>COVID-SNL-22-68137</t>
        </is>
      </c>
      <c r="C1077" s="8" t="inlineStr">
        <is>
          <t>6MMAL11NST</t>
        </is>
      </c>
      <c r="D1077" s="7" t="n">
        <v>24</v>
      </c>
      <c r="E1077" s="7" t="n">
        <v>998</v>
      </c>
      <c r="F1077" s="7" t="inlineStr">
        <is>
          <t>Yes</t>
        </is>
      </c>
      <c r="G1077" s="8" t="n"/>
    </row>
    <row r="1078">
      <c r="A1078" s="8" t="inlineStr">
        <is>
          <t>PGCV_0024_0999</t>
        </is>
      </c>
      <c r="B1078" s="8" t="inlineStr">
        <is>
          <t>COVID-SNL-22-68148</t>
        </is>
      </c>
      <c r="C1078" s="8" t="inlineStr">
        <is>
          <t>N4IJR1SKV5</t>
        </is>
      </c>
      <c r="D1078" s="7" t="n">
        <v>24</v>
      </c>
      <c r="E1078" s="7" t="n">
        <v>999</v>
      </c>
      <c r="F1078" s="7" t="inlineStr">
        <is>
          <t>Yes</t>
        </is>
      </c>
      <c r="G1078" s="8" t="n"/>
    </row>
    <row r="1079">
      <c r="A1079" s="8" t="inlineStr">
        <is>
          <t>PGCV_0024_1000</t>
        </is>
      </c>
      <c r="B1079" s="8" t="inlineStr">
        <is>
          <t>COVID-SNL-22-68191</t>
        </is>
      </c>
      <c r="C1079" s="8" t="inlineStr">
        <is>
          <t>NUTDLHOA3X</t>
        </is>
      </c>
      <c r="D1079" s="7" t="n">
        <v>24</v>
      </c>
      <c r="E1079" s="7" t="n">
        <v>1000</v>
      </c>
      <c r="F1079" s="7" t="inlineStr">
        <is>
          <t>Yes</t>
        </is>
      </c>
      <c r="G1079" s="8" t="n"/>
    </row>
    <row r="1080">
      <c r="A1080" s="8" t="inlineStr">
        <is>
          <t>PGCV_0024_1001</t>
        </is>
      </c>
      <c r="B1080" s="8" t="inlineStr">
        <is>
          <t>COVID-SNL-22-68196</t>
        </is>
      </c>
      <c r="C1080" s="8" t="inlineStr">
        <is>
          <t>KFDKBJWSSE</t>
        </is>
      </c>
      <c r="D1080" s="7" t="n">
        <v>24</v>
      </c>
      <c r="E1080" s="7" t="n">
        <v>1001</v>
      </c>
      <c r="F1080" s="7" t="inlineStr">
        <is>
          <t>Yes</t>
        </is>
      </c>
      <c r="G1080" s="8" t="n"/>
    </row>
    <row r="1081">
      <c r="A1081" s="8" t="inlineStr">
        <is>
          <t>PGCV_0024_1002</t>
        </is>
      </c>
      <c r="B1081" s="8" t="inlineStr">
        <is>
          <t>COVID-SNL-22-68216</t>
        </is>
      </c>
      <c r="C1081" s="8" t="inlineStr">
        <is>
          <t>O2DK2AIRCR</t>
        </is>
      </c>
      <c r="D1081" s="7" t="n">
        <v>24</v>
      </c>
      <c r="E1081" s="7" t="n">
        <v>1002</v>
      </c>
      <c r="F1081" s="7" t="inlineStr">
        <is>
          <t>Yes</t>
        </is>
      </c>
      <c r="G1081" s="8" t="n"/>
    </row>
    <row r="1082">
      <c r="A1082" s="8" t="inlineStr">
        <is>
          <t>PGCV_0024_1003</t>
        </is>
      </c>
      <c r="B1082" s="8" t="inlineStr">
        <is>
          <t>COVID-SNL-22-68217</t>
        </is>
      </c>
      <c r="C1082" s="8" t="inlineStr">
        <is>
          <t>OYGG5YMEQ8</t>
        </is>
      </c>
      <c r="D1082" s="7" t="n">
        <v>24</v>
      </c>
      <c r="E1082" s="7" t="n">
        <v>1003</v>
      </c>
      <c r="F1082" s="7" t="inlineStr">
        <is>
          <t>Yes</t>
        </is>
      </c>
      <c r="G1082" s="8" t="n"/>
    </row>
    <row r="1083">
      <c r="A1083" s="8" t="inlineStr">
        <is>
          <t>PGCV_0024_1004</t>
        </is>
      </c>
      <c r="B1083" s="8" t="inlineStr">
        <is>
          <t>COVID-SNL-22-68247</t>
        </is>
      </c>
      <c r="C1083" s="8" t="inlineStr">
        <is>
          <t>VWIK7EAS7R</t>
        </is>
      </c>
      <c r="D1083" s="7" t="n">
        <v>24</v>
      </c>
      <c r="E1083" s="7" t="n">
        <v>1004</v>
      </c>
      <c r="F1083" s="7" t="inlineStr">
        <is>
          <t>Yes</t>
        </is>
      </c>
      <c r="G1083" s="8" t="n"/>
    </row>
    <row r="1084">
      <c r="A1084" s="8" t="inlineStr">
        <is>
          <t>PGCV_0024_1005</t>
        </is>
      </c>
      <c r="B1084" s="8" t="inlineStr">
        <is>
          <t>C31696</t>
        </is>
      </c>
      <c r="C1084" s="8" t="inlineStr">
        <is>
          <t>LVZIJTDCTM</t>
        </is>
      </c>
      <c r="D1084" s="7" t="n">
        <v>24</v>
      </c>
      <c r="E1084" s="7" t="n">
        <v>1005</v>
      </c>
      <c r="F1084" s="7" t="inlineStr">
        <is>
          <t>Yes</t>
        </is>
      </c>
      <c r="G1084" s="8" t="n"/>
    </row>
    <row r="1085">
      <c r="A1085" s="8" t="inlineStr">
        <is>
          <t>PGCV_0024_1006</t>
        </is>
      </c>
      <c r="B1085" s="8" t="inlineStr">
        <is>
          <t>C31827</t>
        </is>
      </c>
      <c r="C1085" s="8" t="inlineStr">
        <is>
          <t>4EBLYEMVUH</t>
        </is>
      </c>
      <c r="D1085" s="7" t="n">
        <v>24</v>
      </c>
      <c r="E1085" s="7" t="n">
        <v>1006</v>
      </c>
      <c r="F1085" s="7" t="inlineStr">
        <is>
          <t>Yes</t>
        </is>
      </c>
      <c r="G1085" s="8" t="n"/>
    </row>
    <row r="1086">
      <c r="A1086" s="8" t="inlineStr">
        <is>
          <t>PGCV_0024_1007</t>
        </is>
      </c>
      <c r="B1086" s="8" t="inlineStr">
        <is>
          <t>C31948</t>
        </is>
      </c>
      <c r="C1086" s="8" t="inlineStr">
        <is>
          <t>FJL5Z6QDOR</t>
        </is>
      </c>
      <c r="D1086" s="7" t="n">
        <v>24</v>
      </c>
      <c r="E1086" s="7" t="n">
        <v>1007</v>
      </c>
      <c r="F1086" s="7" t="inlineStr">
        <is>
          <t>Yes</t>
        </is>
      </c>
      <c r="G1086" s="8" t="n"/>
    </row>
    <row r="1087">
      <c r="A1087" s="8" t="inlineStr">
        <is>
          <t>PGCV_0024_1008</t>
        </is>
      </c>
      <c r="B1087" s="8" t="inlineStr">
        <is>
          <t>C32022</t>
        </is>
      </c>
      <c r="C1087" s="8" t="inlineStr">
        <is>
          <t>WD4SBGTUUJ</t>
        </is>
      </c>
      <c r="D1087" s="7" t="n">
        <v>24</v>
      </c>
      <c r="E1087" s="7" t="n">
        <v>1008</v>
      </c>
      <c r="F1087" s="7" t="inlineStr">
        <is>
          <t>Yes</t>
        </is>
      </c>
      <c r="G1087" s="8" t="n"/>
    </row>
    <row r="1088">
      <c r="A1088" s="8" t="inlineStr">
        <is>
          <t>PGCV_0024_1009</t>
        </is>
      </c>
      <c r="B1088" s="8" t="inlineStr">
        <is>
          <t>C32043</t>
        </is>
      </c>
      <c r="C1088" s="8" t="inlineStr">
        <is>
          <t>D2CFJSUKB5</t>
        </is>
      </c>
      <c r="D1088" s="7" t="n">
        <v>24</v>
      </c>
      <c r="E1088" s="7" t="n">
        <v>1009</v>
      </c>
      <c r="F1088" s="7" t="inlineStr">
        <is>
          <t>Yes</t>
        </is>
      </c>
      <c r="G1088" s="8" t="n"/>
    </row>
    <row r="1089">
      <c r="A1089" s="8" t="inlineStr">
        <is>
          <t>PGCV_0024_1010</t>
        </is>
      </c>
      <c r="B1089" s="8" t="inlineStr">
        <is>
          <t>C32192</t>
        </is>
      </c>
      <c r="C1089" s="8" t="inlineStr">
        <is>
          <t>JMQTFYVXFY</t>
        </is>
      </c>
      <c r="D1089" s="7" t="n">
        <v>24</v>
      </c>
      <c r="E1089" s="7" t="n">
        <v>1010</v>
      </c>
      <c r="F1089" s="7" t="inlineStr">
        <is>
          <t>Yes</t>
        </is>
      </c>
      <c r="G1089" s="8" t="n"/>
    </row>
    <row r="1090">
      <c r="A1090" s="8" t="inlineStr">
        <is>
          <t>PGCV_0025_1011</t>
        </is>
      </c>
      <c r="B1090" s="8" t="inlineStr">
        <is>
          <t>RPMVI25656</t>
        </is>
      </c>
      <c r="C1090" s="8" t="inlineStr">
        <is>
          <t>ZDS9CRL0HQ</t>
        </is>
      </c>
      <c r="D1090" s="7" t="n">
        <v>25</v>
      </c>
      <c r="E1090" s="7" t="n">
        <v>1011</v>
      </c>
      <c r="F1090" s="7" t="inlineStr">
        <is>
          <t>Yes</t>
        </is>
      </c>
      <c r="G1090" s="8" t="n"/>
    </row>
    <row r="1091">
      <c r="A1091" s="8" t="inlineStr">
        <is>
          <t>PGCV_0025_1012</t>
        </is>
      </c>
      <c r="B1091" s="8" t="inlineStr">
        <is>
          <t>RPMVI25662</t>
        </is>
      </c>
      <c r="C1091" s="8" t="inlineStr">
        <is>
          <t>SWIM40WQ0G</t>
        </is>
      </c>
      <c r="D1091" s="7" t="n">
        <v>25</v>
      </c>
      <c r="E1091" s="7" t="n">
        <v>1012</v>
      </c>
      <c r="F1091" s="7" t="inlineStr">
        <is>
          <t>Yes</t>
        </is>
      </c>
      <c r="G1091" s="8" t="n"/>
    </row>
    <row r="1092">
      <c r="A1092" s="8" t="inlineStr">
        <is>
          <t>PGCV_0025_1013</t>
        </is>
      </c>
      <c r="B1092" s="8" t="inlineStr">
        <is>
          <t>RPMVI25663</t>
        </is>
      </c>
      <c r="C1092" s="8" t="inlineStr">
        <is>
          <t>SMOCGUWXFL</t>
        </is>
      </c>
      <c r="D1092" s="7" t="n">
        <v>25</v>
      </c>
      <c r="E1092" s="7" t="n">
        <v>1013</v>
      </c>
      <c r="F1092" s="7" t="inlineStr">
        <is>
          <t>Yes</t>
        </is>
      </c>
      <c r="G1092" s="8" t="n"/>
    </row>
    <row r="1093">
      <c r="A1093" s="8" t="inlineStr">
        <is>
          <t>PGCV_0025_1014</t>
        </is>
      </c>
      <c r="B1093" s="8" t="inlineStr">
        <is>
          <t>RPMVI25590</t>
        </is>
      </c>
      <c r="C1093" s="8" t="inlineStr">
        <is>
          <t>9N7EQXGQ6A</t>
        </is>
      </c>
      <c r="D1093" s="7" t="n">
        <v>25</v>
      </c>
      <c r="E1093" s="7" t="n">
        <v>1014</v>
      </c>
      <c r="F1093" s="7" t="inlineStr">
        <is>
          <t>Yes</t>
        </is>
      </c>
      <c r="G1093" s="8" t="n"/>
    </row>
    <row r="1094">
      <c r="A1094" s="8" t="inlineStr">
        <is>
          <t>PGCV_0025_1015</t>
        </is>
      </c>
      <c r="B1094" s="8" t="inlineStr">
        <is>
          <t>RPMVI25603</t>
        </is>
      </c>
      <c r="C1094" s="8" t="inlineStr">
        <is>
          <t>VIJ11LZLSJ</t>
        </is>
      </c>
      <c r="D1094" s="7" t="n">
        <v>25</v>
      </c>
      <c r="E1094" s="7" t="n">
        <v>1015</v>
      </c>
      <c r="F1094" s="7" t="inlineStr">
        <is>
          <t>Yes</t>
        </is>
      </c>
      <c r="G1094" s="8" t="n"/>
    </row>
    <row r="1095">
      <c r="A1095" s="8" t="inlineStr">
        <is>
          <t>PGCV_0025_1016</t>
        </is>
      </c>
      <c r="B1095" s="8" t="inlineStr">
        <is>
          <t>RPMVI25614</t>
        </is>
      </c>
      <c r="C1095" s="8" t="inlineStr">
        <is>
          <t>AY0MFP73ZE</t>
        </is>
      </c>
      <c r="D1095" s="7" t="n">
        <v>25</v>
      </c>
      <c r="E1095" s="7" t="n">
        <v>1016</v>
      </c>
      <c r="F1095" s="7" t="inlineStr">
        <is>
          <t>Yes</t>
        </is>
      </c>
      <c r="G1095" s="8" t="n"/>
    </row>
    <row r="1096">
      <c r="A1096" s="8" t="inlineStr">
        <is>
          <t>PGCV_0025_1017</t>
        </is>
      </c>
      <c r="B1096" s="8" t="inlineStr">
        <is>
          <t>RPMVI25607</t>
        </is>
      </c>
      <c r="C1096" s="8" t="inlineStr">
        <is>
          <t>TZUJZTF9IA</t>
        </is>
      </c>
      <c r="D1096" s="7" t="n">
        <v>25</v>
      </c>
      <c r="E1096" s="7" t="n">
        <v>1017</v>
      </c>
      <c r="F1096" s="7" t="inlineStr">
        <is>
          <t>Yes</t>
        </is>
      </c>
      <c r="G1096" s="8" t="n"/>
    </row>
    <row r="1097">
      <c r="A1097" s="8" t="inlineStr">
        <is>
          <t>PGCV_0025_1018</t>
        </is>
      </c>
      <c r="B1097" s="8" t="inlineStr">
        <is>
          <t>RPMVI25314</t>
        </is>
      </c>
      <c r="C1097" s="8" t="inlineStr">
        <is>
          <t>D6IIXESMNU</t>
        </is>
      </c>
      <c r="D1097" s="7" t="n">
        <v>25</v>
      </c>
      <c r="E1097" s="7" t="n">
        <v>1018</v>
      </c>
      <c r="F1097" s="7" t="inlineStr">
        <is>
          <t>Yes</t>
        </is>
      </c>
      <c r="G1097" s="8" t="n"/>
    </row>
    <row r="1098">
      <c r="A1098" s="8" t="inlineStr">
        <is>
          <t>PGCV_0025_1019</t>
        </is>
      </c>
      <c r="B1098" s="8" t="inlineStr">
        <is>
          <t>RPMVI25307</t>
        </is>
      </c>
      <c r="C1098" s="8" t="inlineStr">
        <is>
          <t>T9TPSH2VX5</t>
        </is>
      </c>
      <c r="D1098" s="7" t="n">
        <v>25</v>
      </c>
      <c r="E1098" s="7" t="n">
        <v>1019</v>
      </c>
      <c r="F1098" s="7" t="inlineStr">
        <is>
          <t>Yes</t>
        </is>
      </c>
      <c r="G1098" s="8" t="n"/>
    </row>
    <row r="1099">
      <c r="A1099" s="8" t="inlineStr">
        <is>
          <t>PGCV_0025_1020</t>
        </is>
      </c>
      <c r="B1099" s="8" t="inlineStr">
        <is>
          <t>RMMCI1358</t>
        </is>
      </c>
      <c r="C1099" s="8" t="inlineStr">
        <is>
          <t>YDYW5XSU4I</t>
        </is>
      </c>
      <c r="D1099" s="7" t="n">
        <v>25</v>
      </c>
      <c r="E1099" s="7" t="n">
        <v>1020</v>
      </c>
      <c r="F1099" s="7" t="inlineStr">
        <is>
          <t>Yes</t>
        </is>
      </c>
      <c r="G1099" s="8" t="n"/>
    </row>
    <row r="1100">
      <c r="A1100" s="8" t="inlineStr">
        <is>
          <t>PGCV_0025_1021</t>
        </is>
      </c>
      <c r="B1100" s="8" t="inlineStr">
        <is>
          <t>RMMCI1359</t>
        </is>
      </c>
      <c r="C1100" s="8" t="inlineStr">
        <is>
          <t>NYHQZYXDSU</t>
        </is>
      </c>
      <c r="D1100" s="7" t="n">
        <v>25</v>
      </c>
      <c r="E1100" s="7" t="n">
        <v>1021</v>
      </c>
      <c r="F1100" s="7" t="inlineStr">
        <is>
          <t>Yes</t>
        </is>
      </c>
      <c r="G1100" s="8" t="n"/>
    </row>
    <row r="1101">
      <c r="A1101" s="8" t="inlineStr">
        <is>
          <t>PGCV_0025_1022</t>
        </is>
      </c>
      <c r="B1101" s="8" t="inlineStr">
        <is>
          <t>RPMVI25249</t>
        </is>
      </c>
      <c r="C1101" s="8" t="inlineStr">
        <is>
          <t>LF6V9IYDEK</t>
        </is>
      </c>
      <c r="D1101" s="7" t="n">
        <v>25</v>
      </c>
      <c r="E1101" s="7" t="n">
        <v>1022</v>
      </c>
      <c r="F1101" s="7" t="inlineStr">
        <is>
          <t>Yes</t>
        </is>
      </c>
      <c r="G1101" s="8" t="n"/>
    </row>
    <row r="1102">
      <c r="A1102" s="8" t="inlineStr">
        <is>
          <t>PGCV_0024_1023</t>
        </is>
      </c>
      <c r="B1102" s="8" t="inlineStr">
        <is>
          <t>22-35365</t>
        </is>
      </c>
      <c r="C1102" s="8" t="inlineStr">
        <is>
          <t>RTTEO0KWWL</t>
        </is>
      </c>
      <c r="D1102" s="7" t="n">
        <v>24</v>
      </c>
      <c r="E1102" s="7" t="n">
        <v>1023</v>
      </c>
      <c r="F1102" s="7" t="inlineStr">
        <is>
          <t>Yes</t>
        </is>
      </c>
      <c r="G1102" s="8" t="n"/>
    </row>
    <row r="1103">
      <c r="A1103" s="8" t="inlineStr">
        <is>
          <t>PGCV_0024_1024</t>
        </is>
      </c>
      <c r="B1103" s="8" t="inlineStr">
        <is>
          <t>22-35410</t>
        </is>
      </c>
      <c r="C1103" s="8" t="inlineStr">
        <is>
          <t>BZQPYXCRXM</t>
        </is>
      </c>
      <c r="D1103" s="7" t="n">
        <v>24</v>
      </c>
      <c r="E1103" s="7" t="n">
        <v>1024</v>
      </c>
      <c r="F1103" s="7" t="inlineStr">
        <is>
          <t>Yes</t>
        </is>
      </c>
      <c r="G1103" s="8" t="n"/>
    </row>
    <row r="1104">
      <c r="A1104" s="8" t="inlineStr">
        <is>
          <t>PGCV_0024_1025</t>
        </is>
      </c>
      <c r="B1104" s="8" t="inlineStr">
        <is>
          <t>22-35569</t>
        </is>
      </c>
      <c r="C1104" s="8" t="inlineStr">
        <is>
          <t>SXAJJN2D86</t>
        </is>
      </c>
      <c r="D1104" s="7" t="n">
        <v>24</v>
      </c>
      <c r="E1104" s="7" t="n">
        <v>1025</v>
      </c>
      <c r="F1104" s="7" t="inlineStr">
        <is>
          <t>Yes</t>
        </is>
      </c>
      <c r="G1104" s="8" t="n"/>
    </row>
    <row r="1105">
      <c r="A1105" s="8" t="inlineStr">
        <is>
          <t>PGCV_0024_1026</t>
        </is>
      </c>
      <c r="B1105" s="8" t="inlineStr">
        <is>
          <t>22-35571</t>
        </is>
      </c>
      <c r="C1105" s="8" t="inlineStr">
        <is>
          <t>3W0KPFL6G8</t>
        </is>
      </c>
      <c r="D1105" s="7" t="n">
        <v>24</v>
      </c>
      <c r="E1105" s="7" t="n">
        <v>1026</v>
      </c>
      <c r="F1105" s="7" t="inlineStr">
        <is>
          <t>Yes</t>
        </is>
      </c>
      <c r="G1105" s="8" t="n"/>
    </row>
    <row r="1106">
      <c r="A1106" s="8" t="inlineStr">
        <is>
          <t>PGCV_0024_1027</t>
        </is>
      </c>
      <c r="B1106" s="8" t="inlineStr">
        <is>
          <t>22-35572</t>
        </is>
      </c>
      <c r="C1106" s="8" t="inlineStr">
        <is>
          <t>YIUWJKPWCA</t>
        </is>
      </c>
      <c r="D1106" s="7" t="n">
        <v>24</v>
      </c>
      <c r="E1106" s="7" t="n">
        <v>1027</v>
      </c>
      <c r="F1106" s="7" t="inlineStr">
        <is>
          <t>Yes</t>
        </is>
      </c>
      <c r="G1106" s="8" t="n"/>
    </row>
    <row r="1107">
      <c r="A1107" s="8" t="inlineStr">
        <is>
          <t>PGCV_0024_1028</t>
        </is>
      </c>
      <c r="B1107" s="8" t="inlineStr">
        <is>
          <t>22-35713</t>
        </is>
      </c>
      <c r="C1107" s="8" t="inlineStr">
        <is>
          <t>MZDY7QYP2V</t>
        </is>
      </c>
      <c r="D1107" s="7" t="n">
        <v>24</v>
      </c>
      <c r="E1107" s="7" t="n">
        <v>1028</v>
      </c>
      <c r="F1107" s="7" t="inlineStr">
        <is>
          <t>Yes</t>
        </is>
      </c>
      <c r="G1107" s="8" t="n"/>
    </row>
    <row r="1108">
      <c r="A1108" s="8" t="inlineStr">
        <is>
          <t>PGCV_0024_1029</t>
        </is>
      </c>
      <c r="B1108" s="8" t="inlineStr">
        <is>
          <t>22-35758</t>
        </is>
      </c>
      <c r="C1108" s="8" t="inlineStr">
        <is>
          <t>CDL5N7KWX1</t>
        </is>
      </c>
      <c r="D1108" s="7" t="n">
        <v>24</v>
      </c>
      <c r="E1108" s="7" t="n">
        <v>1029</v>
      </c>
      <c r="F1108" s="7" t="inlineStr">
        <is>
          <t>Yes</t>
        </is>
      </c>
      <c r="G1108" s="8" t="n"/>
    </row>
    <row r="1109">
      <c r="A1109" s="8" t="inlineStr">
        <is>
          <t>PGCV_0024_1030</t>
        </is>
      </c>
      <c r="B1109" s="8" t="inlineStr">
        <is>
          <t>22-35793</t>
        </is>
      </c>
      <c r="C1109" s="8" t="inlineStr">
        <is>
          <t>9NPG99U7V1</t>
        </is>
      </c>
      <c r="D1109" s="7" t="n">
        <v>24</v>
      </c>
      <c r="E1109" s="7" t="n">
        <v>1030</v>
      </c>
      <c r="F1109" s="7" t="inlineStr">
        <is>
          <t>Yes</t>
        </is>
      </c>
      <c r="G1109" s="8" t="n"/>
    </row>
    <row r="1110">
      <c r="A1110" s="8" t="inlineStr">
        <is>
          <t>PGCV_0024_1031</t>
        </is>
      </c>
      <c r="B1110" s="8" t="inlineStr">
        <is>
          <t>22-35794</t>
        </is>
      </c>
      <c r="C1110" s="8" t="inlineStr">
        <is>
          <t>G8IWC9EG2O</t>
        </is>
      </c>
      <c r="D1110" s="7" t="n">
        <v>24</v>
      </c>
      <c r="E1110" s="7" t="n">
        <v>1031</v>
      </c>
      <c r="F1110" s="7" t="inlineStr">
        <is>
          <t>Yes</t>
        </is>
      </c>
      <c r="G1110" s="8" t="n"/>
    </row>
    <row r="1111">
      <c r="A1111" s="8" t="inlineStr">
        <is>
          <t>PGCV_0024_1032</t>
        </is>
      </c>
      <c r="B1111" s="8" t="inlineStr">
        <is>
          <t>22-35799</t>
        </is>
      </c>
      <c r="C1111" s="8" t="inlineStr">
        <is>
          <t>FGYUCHT9DE</t>
        </is>
      </c>
      <c r="D1111" s="7" t="n">
        <v>24</v>
      </c>
      <c r="E1111" s="7" t="n">
        <v>1032</v>
      </c>
      <c r="F1111" s="7" t="inlineStr">
        <is>
          <t>Yes</t>
        </is>
      </c>
      <c r="G1111" s="8" t="n"/>
    </row>
    <row r="1112">
      <c r="A1112" s="8" t="inlineStr">
        <is>
          <t>PGCV_0024_1033</t>
        </is>
      </c>
      <c r="B1112" s="8" t="inlineStr">
        <is>
          <t>22-35855</t>
        </is>
      </c>
      <c r="C1112" s="8" t="inlineStr">
        <is>
          <t>J2WTHQBYCE</t>
        </is>
      </c>
      <c r="D1112" s="7" t="n">
        <v>24</v>
      </c>
      <c r="E1112" s="7" t="n">
        <v>1033</v>
      </c>
      <c r="F1112" s="7" t="inlineStr">
        <is>
          <t>Yes</t>
        </is>
      </c>
      <c r="G1112" s="8" t="n"/>
    </row>
    <row r="1113">
      <c r="A1113" s="8" t="inlineStr">
        <is>
          <t>PGCV_0024_1034</t>
        </is>
      </c>
      <c r="B1113" s="8" t="inlineStr">
        <is>
          <t>22-35858</t>
        </is>
      </c>
      <c r="C1113" s="8" t="inlineStr">
        <is>
          <t>9KZSJ2RKOC</t>
        </is>
      </c>
      <c r="D1113" s="7" t="n">
        <v>24</v>
      </c>
      <c r="E1113" s="7" t="n">
        <v>1034</v>
      </c>
      <c r="F1113" s="7" t="inlineStr">
        <is>
          <t>Yes</t>
        </is>
      </c>
      <c r="G1113" s="8" t="n"/>
    </row>
    <row r="1114">
      <c r="A1114" s="8" t="inlineStr">
        <is>
          <t>PGCV_0024_1035</t>
        </is>
      </c>
      <c r="B1114" s="8" t="inlineStr">
        <is>
          <t>22-35900</t>
        </is>
      </c>
      <c r="C1114" s="8" t="inlineStr">
        <is>
          <t>SPALXQRHOX</t>
        </is>
      </c>
      <c r="D1114" s="7" t="n">
        <v>24</v>
      </c>
      <c r="E1114" s="7" t="n">
        <v>1035</v>
      </c>
      <c r="F1114" s="7" t="inlineStr">
        <is>
          <t>Yes</t>
        </is>
      </c>
      <c r="G1114" s="8" t="n"/>
    </row>
    <row r="1115">
      <c r="A1115" s="8" t="inlineStr">
        <is>
          <t>PGCV_0024_1036</t>
        </is>
      </c>
      <c r="B1115" s="8" t="inlineStr">
        <is>
          <t>22-35903</t>
        </is>
      </c>
      <c r="C1115" s="8" t="inlineStr">
        <is>
          <t>LLMPBORDN3</t>
        </is>
      </c>
      <c r="D1115" s="7" t="n">
        <v>24</v>
      </c>
      <c r="E1115" s="7" t="n">
        <v>1036</v>
      </c>
      <c r="F1115" s="7" t="inlineStr">
        <is>
          <t>Yes</t>
        </is>
      </c>
      <c r="G1115" s="8" t="n"/>
    </row>
    <row r="1116">
      <c r="A1116" s="8" t="inlineStr">
        <is>
          <t>PGCV_0024_1037</t>
        </is>
      </c>
      <c r="B1116" s="8" t="inlineStr">
        <is>
          <t>22-35907</t>
        </is>
      </c>
      <c r="C1116" s="8" t="inlineStr">
        <is>
          <t>48KBY0QY6D</t>
        </is>
      </c>
      <c r="D1116" s="7" t="n">
        <v>24</v>
      </c>
      <c r="E1116" s="7" t="n">
        <v>1037</v>
      </c>
      <c r="F1116" s="7" t="inlineStr">
        <is>
          <t>Yes</t>
        </is>
      </c>
      <c r="G1116" s="8" t="n"/>
    </row>
    <row r="1117">
      <c r="A1117" s="8" t="inlineStr">
        <is>
          <t>PGCV_0024_1038</t>
        </is>
      </c>
      <c r="B1117" s="8" t="inlineStr">
        <is>
          <t>22-35931</t>
        </is>
      </c>
      <c r="C1117" s="8" t="inlineStr">
        <is>
          <t>NLQL1HWD5F</t>
        </is>
      </c>
      <c r="D1117" s="7" t="n">
        <v>24</v>
      </c>
      <c r="E1117" s="7" t="n">
        <v>1038</v>
      </c>
      <c r="F1117" s="7" t="inlineStr">
        <is>
          <t>Yes</t>
        </is>
      </c>
      <c r="G1117" s="8" t="n"/>
    </row>
    <row r="1118">
      <c r="A1118" s="8" t="inlineStr">
        <is>
          <t>PGCV_0024_1039</t>
        </is>
      </c>
      <c r="B1118" s="8" t="inlineStr">
        <is>
          <t>22-35932</t>
        </is>
      </c>
      <c r="C1118" s="8" t="inlineStr">
        <is>
          <t>KPXS8VCJXO</t>
        </is>
      </c>
      <c r="D1118" s="7" t="n">
        <v>24</v>
      </c>
      <c r="E1118" s="7" t="n">
        <v>1039</v>
      </c>
      <c r="F1118" s="7" t="inlineStr">
        <is>
          <t>Yes</t>
        </is>
      </c>
      <c r="G1118" s="8" t="n"/>
    </row>
    <row r="1119">
      <c r="A1119" s="8" t="inlineStr">
        <is>
          <t>PGCV_0024_1040</t>
        </is>
      </c>
      <c r="B1119" s="8" t="inlineStr">
        <is>
          <t>22-35938</t>
        </is>
      </c>
      <c r="C1119" s="8" t="inlineStr">
        <is>
          <t>NYFKZF2ILU</t>
        </is>
      </c>
      <c r="D1119" s="7" t="n">
        <v>24</v>
      </c>
      <c r="E1119" s="7" t="n">
        <v>1040</v>
      </c>
      <c r="F1119" s="7" t="inlineStr">
        <is>
          <t>Yes</t>
        </is>
      </c>
      <c r="G1119" s="8" t="n"/>
    </row>
    <row r="1120">
      <c r="A1120" s="8" t="inlineStr">
        <is>
          <t>PGCV_0024_1041</t>
        </is>
      </c>
      <c r="B1120" s="8" t="inlineStr">
        <is>
          <t>22-35991</t>
        </is>
      </c>
      <c r="C1120" s="8" t="inlineStr">
        <is>
          <t>B1KULMOQKE</t>
        </is>
      </c>
      <c r="D1120" s="7" t="n">
        <v>24</v>
      </c>
      <c r="E1120" s="7" t="n">
        <v>1041</v>
      </c>
      <c r="F1120" s="7" t="inlineStr">
        <is>
          <t>Yes</t>
        </is>
      </c>
      <c r="G1120" s="8" t="n"/>
    </row>
    <row r="1121">
      <c r="A1121" s="8" t="inlineStr">
        <is>
          <t>PGCV_0024_1042</t>
        </is>
      </c>
      <c r="B1121" s="8" t="inlineStr">
        <is>
          <t>22-36010</t>
        </is>
      </c>
      <c r="C1121" s="8" t="inlineStr">
        <is>
          <t>EPFCEZ8H0W</t>
        </is>
      </c>
      <c r="D1121" s="7" t="n">
        <v>24</v>
      </c>
      <c r="E1121" s="7" t="n">
        <v>1042</v>
      </c>
      <c r="F1121" s="7" t="inlineStr">
        <is>
          <t>Yes</t>
        </is>
      </c>
      <c r="G1121" s="8" t="n"/>
    </row>
    <row r="1122">
      <c r="A1122" s="8" t="inlineStr">
        <is>
          <t>PGCV_0024_1043</t>
        </is>
      </c>
      <c r="B1122" s="8" t="inlineStr">
        <is>
          <t>22-36011</t>
        </is>
      </c>
      <c r="C1122" s="8" t="inlineStr">
        <is>
          <t>ADQ1IGJPS5</t>
        </is>
      </c>
      <c r="D1122" s="7" t="n">
        <v>24</v>
      </c>
      <c r="E1122" s="7" t="n">
        <v>1043</v>
      </c>
      <c r="F1122" s="7" t="inlineStr">
        <is>
          <t>Yes</t>
        </is>
      </c>
      <c r="G1122" s="8" t="n"/>
    </row>
    <row r="1123">
      <c r="A1123" s="8" t="inlineStr">
        <is>
          <t>PGCV_0024_1044</t>
        </is>
      </c>
      <c r="B1123" s="8" t="inlineStr">
        <is>
          <t>22-36013</t>
        </is>
      </c>
      <c r="C1123" s="8" t="inlineStr">
        <is>
          <t>MWQPDC3IDJ</t>
        </is>
      </c>
      <c r="D1123" s="7" t="n">
        <v>24</v>
      </c>
      <c r="E1123" s="7" t="n">
        <v>1044</v>
      </c>
      <c r="F1123" s="7" t="inlineStr">
        <is>
          <t>Yes</t>
        </is>
      </c>
      <c r="G1123" s="8" t="n"/>
    </row>
    <row r="1124">
      <c r="A1124" s="8" t="inlineStr">
        <is>
          <t>PGCV_0024_1045</t>
        </is>
      </c>
      <c r="B1124" s="8" t="inlineStr">
        <is>
          <t>22-36063</t>
        </is>
      </c>
      <c r="C1124" s="8" t="inlineStr">
        <is>
          <t>W08GJTLZTM</t>
        </is>
      </c>
      <c r="D1124" s="7" t="n">
        <v>24</v>
      </c>
      <c r="E1124" s="7" t="n">
        <v>1045</v>
      </c>
      <c r="F1124" s="7" t="inlineStr">
        <is>
          <t>Yes</t>
        </is>
      </c>
      <c r="G1124" s="8" t="n"/>
    </row>
    <row r="1125">
      <c r="A1125" s="8" t="inlineStr">
        <is>
          <t>PGCV_0024_1046</t>
        </is>
      </c>
      <c r="B1125" s="8" t="inlineStr">
        <is>
          <t>22-36076</t>
        </is>
      </c>
      <c r="C1125" s="8" t="inlineStr">
        <is>
          <t>U9TR2KPMXV</t>
        </is>
      </c>
      <c r="D1125" s="7" t="n">
        <v>24</v>
      </c>
      <c r="E1125" s="7" t="n">
        <v>1046</v>
      </c>
      <c r="F1125" s="7" t="inlineStr">
        <is>
          <t>Yes</t>
        </is>
      </c>
      <c r="G1125" s="8" t="n"/>
    </row>
    <row r="1126">
      <c r="A1126" s="8" t="inlineStr">
        <is>
          <t>PGCV_0024_1047</t>
        </is>
      </c>
      <c r="B1126" s="8" t="inlineStr">
        <is>
          <t>22-36216</t>
        </is>
      </c>
      <c r="C1126" s="8" t="inlineStr">
        <is>
          <t>9HGUJEA0CS</t>
        </is>
      </c>
      <c r="D1126" s="7" t="n">
        <v>24</v>
      </c>
      <c r="E1126" s="7" t="n">
        <v>1047</v>
      </c>
      <c r="F1126" s="7" t="inlineStr">
        <is>
          <t>Yes</t>
        </is>
      </c>
      <c r="G1126" s="8" t="n"/>
    </row>
    <row r="1127">
      <c r="A1127" s="8" t="inlineStr">
        <is>
          <t>PGCV_0024_1048</t>
        </is>
      </c>
      <c r="B1127" s="8" t="inlineStr">
        <is>
          <t>22-36132</t>
        </is>
      </c>
      <c r="C1127" s="8" t="inlineStr">
        <is>
          <t>82EPIEIZNZ</t>
        </is>
      </c>
      <c r="D1127" s="7" t="n">
        <v>24</v>
      </c>
      <c r="E1127" s="7" t="n">
        <v>1048</v>
      </c>
      <c r="F1127" s="7" t="inlineStr">
        <is>
          <t>Yes</t>
        </is>
      </c>
      <c r="G1127" s="8" t="n"/>
    </row>
    <row r="1128">
      <c r="A1128" s="8" t="inlineStr">
        <is>
          <t>PGCV_0024_1049</t>
        </is>
      </c>
      <c r="B1128" s="8" t="inlineStr">
        <is>
          <t>22-36133</t>
        </is>
      </c>
      <c r="C1128" s="8" t="inlineStr">
        <is>
          <t>PIKNL6IUX4</t>
        </is>
      </c>
      <c r="D1128" s="7" t="n">
        <v>24</v>
      </c>
      <c r="E1128" s="7" t="n">
        <v>1049</v>
      </c>
      <c r="F1128" s="7" t="inlineStr">
        <is>
          <t>Yes</t>
        </is>
      </c>
      <c r="G1128" s="8" t="n"/>
    </row>
    <row r="1129">
      <c r="A1129" s="8" t="inlineStr">
        <is>
          <t>PGCV_0024_1050</t>
        </is>
      </c>
      <c r="B1129" s="8" t="inlineStr">
        <is>
          <t>22-36135</t>
        </is>
      </c>
      <c r="C1129" s="8" t="inlineStr">
        <is>
          <t>5CSCQECD0C</t>
        </is>
      </c>
      <c r="D1129" s="7" t="n">
        <v>24</v>
      </c>
      <c r="E1129" s="7" t="n">
        <v>1050</v>
      </c>
      <c r="F1129" s="7" t="inlineStr">
        <is>
          <t>Yes</t>
        </is>
      </c>
      <c r="G1129" s="8" t="n"/>
    </row>
    <row r="1130">
      <c r="A1130" s="8" t="inlineStr">
        <is>
          <t>PGCV_0024_1051</t>
        </is>
      </c>
      <c r="B1130" s="8" t="inlineStr">
        <is>
          <t>22-36195</t>
        </is>
      </c>
      <c r="C1130" s="8" t="inlineStr">
        <is>
          <t>0UID9AH0DW</t>
        </is>
      </c>
      <c r="D1130" s="7" t="n">
        <v>24</v>
      </c>
      <c r="E1130" s="7" t="n">
        <v>1051</v>
      </c>
      <c r="F1130" s="7" t="inlineStr">
        <is>
          <t>Yes</t>
        </is>
      </c>
      <c r="G1130" s="8" t="n"/>
    </row>
    <row r="1131">
      <c r="A1131" s="8" t="inlineStr">
        <is>
          <t>PGCV_0024_1052</t>
        </is>
      </c>
      <c r="B1131" s="8" t="inlineStr">
        <is>
          <t>22-36196</t>
        </is>
      </c>
      <c r="C1131" s="8" t="inlineStr">
        <is>
          <t>IEVUCCH71P</t>
        </is>
      </c>
      <c r="D1131" s="7" t="n">
        <v>24</v>
      </c>
      <c r="E1131" s="7" t="n">
        <v>1052</v>
      </c>
      <c r="F1131" s="7" t="inlineStr">
        <is>
          <t>Yes</t>
        </is>
      </c>
      <c r="G1131" s="8" t="n"/>
    </row>
    <row r="1132">
      <c r="A1132" s="8" t="inlineStr">
        <is>
          <t>PGCV_0024_1053</t>
        </is>
      </c>
      <c r="B1132" s="8" t="inlineStr">
        <is>
          <t>22-36198</t>
        </is>
      </c>
      <c r="C1132" s="8" t="inlineStr">
        <is>
          <t>7Z1WRPT1QF</t>
        </is>
      </c>
      <c r="D1132" s="7" t="n">
        <v>24</v>
      </c>
      <c r="E1132" s="7" t="n">
        <v>1053</v>
      </c>
      <c r="F1132" s="7" t="inlineStr">
        <is>
          <t>Yes</t>
        </is>
      </c>
      <c r="G1132" s="8" t="n"/>
    </row>
    <row r="1133">
      <c r="A1133" s="8" t="inlineStr">
        <is>
          <t>PGCV_0024_1054</t>
        </is>
      </c>
      <c r="B1133" s="8" t="inlineStr">
        <is>
          <t>22-36219</t>
        </is>
      </c>
      <c r="C1133" s="8" t="inlineStr">
        <is>
          <t>NYFDDSBHE9</t>
        </is>
      </c>
      <c r="D1133" s="7" t="n">
        <v>24</v>
      </c>
      <c r="E1133" s="7" t="n">
        <v>1054</v>
      </c>
      <c r="F1133" s="7" t="inlineStr">
        <is>
          <t>Yes</t>
        </is>
      </c>
      <c r="G1133" s="8" t="n"/>
    </row>
    <row r="1134">
      <c r="A1134" s="8" t="inlineStr">
        <is>
          <t>PGCV_0024_1055</t>
        </is>
      </c>
      <c r="B1134" s="8" t="inlineStr">
        <is>
          <t>22-36226</t>
        </is>
      </c>
      <c r="C1134" s="8" t="inlineStr">
        <is>
          <t>M0CLQXODO2</t>
        </is>
      </c>
      <c r="D1134" s="7" t="n">
        <v>24</v>
      </c>
      <c r="E1134" s="7" t="n">
        <v>1055</v>
      </c>
      <c r="F1134" s="7" t="inlineStr">
        <is>
          <t>Yes</t>
        </is>
      </c>
      <c r="G1134" s="8" t="n"/>
    </row>
    <row r="1135">
      <c r="A1135" s="8" t="inlineStr">
        <is>
          <t>PGCV_0024_1056</t>
        </is>
      </c>
      <c r="B1135" s="8" t="inlineStr">
        <is>
          <t>22-36229</t>
        </is>
      </c>
      <c r="C1135" s="8" t="inlineStr">
        <is>
          <t>UESROFQTSX</t>
        </is>
      </c>
      <c r="D1135" s="7" t="n">
        <v>24</v>
      </c>
      <c r="E1135" s="7" t="n">
        <v>1056</v>
      </c>
      <c r="F1135" s="7" t="inlineStr">
        <is>
          <t>Yes</t>
        </is>
      </c>
      <c r="G1135" s="8" t="n"/>
    </row>
    <row r="1136">
      <c r="A1136" s="8" t="inlineStr">
        <is>
          <t>PGCV_0024_1057</t>
        </is>
      </c>
      <c r="B1136" s="8" t="inlineStr">
        <is>
          <t>22-36233</t>
        </is>
      </c>
      <c r="C1136" s="8" t="inlineStr">
        <is>
          <t>KJH9ESC7U7</t>
        </is>
      </c>
      <c r="D1136" s="7" t="n">
        <v>24</v>
      </c>
      <c r="E1136" s="7" t="n">
        <v>1057</v>
      </c>
      <c r="F1136" s="7" t="inlineStr">
        <is>
          <t>No</t>
        </is>
      </c>
      <c r="G1136" s="8" t="n"/>
    </row>
    <row r="1137">
      <c r="A1137" s="8" t="inlineStr">
        <is>
          <t>PGCV_0024_1058</t>
        </is>
      </c>
      <c r="B1137" s="8" t="inlineStr">
        <is>
          <t>22-36243</t>
        </is>
      </c>
      <c r="C1137" s="8" t="inlineStr">
        <is>
          <t>RLHCIPC0KO</t>
        </is>
      </c>
      <c r="D1137" s="7" t="n">
        <v>24</v>
      </c>
      <c r="E1137" s="7" t="n">
        <v>1058</v>
      </c>
      <c r="F1137" s="7" t="inlineStr">
        <is>
          <t>Yes</t>
        </is>
      </c>
      <c r="G1137" s="8" t="n"/>
    </row>
    <row r="1138">
      <c r="A1138" s="8" t="inlineStr">
        <is>
          <t>PGCV_0024_1059</t>
        </is>
      </c>
      <c r="B1138" s="8" t="inlineStr">
        <is>
          <t>711B112365</t>
        </is>
      </c>
      <c r="C1138" s="8" t="inlineStr">
        <is>
          <t>WZZKQRA6EZ</t>
        </is>
      </c>
      <c r="D1138" s="7" t="n">
        <v>24</v>
      </c>
      <c r="E1138" s="7" t="n">
        <v>1059</v>
      </c>
      <c r="F1138" s="7" t="inlineStr">
        <is>
          <t>Yes</t>
        </is>
      </c>
      <c r="G1138" s="8" t="n"/>
    </row>
    <row r="1139">
      <c r="A1139" s="8" t="inlineStr">
        <is>
          <t>PGCV_0024_1060</t>
        </is>
      </c>
      <c r="B1139" s="8" t="inlineStr">
        <is>
          <t>712B112462</t>
        </is>
      </c>
      <c r="C1139" s="8" t="inlineStr">
        <is>
          <t>V1W74R4WED</t>
        </is>
      </c>
      <c r="D1139" s="7" t="n">
        <v>24</v>
      </c>
      <c r="E1139" s="7" t="n">
        <v>1060</v>
      </c>
      <c r="F1139" s="7" t="inlineStr">
        <is>
          <t>Yes</t>
        </is>
      </c>
      <c r="G1139" s="8" t="n"/>
    </row>
    <row r="1140">
      <c r="A1140" s="8" t="inlineStr">
        <is>
          <t>PGCV_0024_1061</t>
        </is>
      </c>
      <c r="B1140" s="8" t="inlineStr">
        <is>
          <t>712B112467</t>
        </is>
      </c>
      <c r="C1140" s="8" t="inlineStr">
        <is>
          <t>OKIHR0B7SU</t>
        </is>
      </c>
      <c r="D1140" s="7" t="n">
        <v>24</v>
      </c>
      <c r="E1140" s="7" t="n">
        <v>1061</v>
      </c>
      <c r="F1140" s="7" t="inlineStr">
        <is>
          <t>Yes</t>
        </is>
      </c>
      <c r="G1140" s="8" t="n"/>
    </row>
    <row r="1141">
      <c r="A1141" s="8" t="inlineStr">
        <is>
          <t>PGCV_0024_1062</t>
        </is>
      </c>
      <c r="B1141" s="8" t="inlineStr">
        <is>
          <t>712B112473</t>
        </is>
      </c>
      <c r="C1141" s="8" t="inlineStr">
        <is>
          <t>SA0QDMRPLO</t>
        </is>
      </c>
      <c r="D1141" s="7" t="n">
        <v>24</v>
      </c>
      <c r="E1141" s="7" t="n">
        <v>1062</v>
      </c>
      <c r="F1141" s="7" t="inlineStr">
        <is>
          <t>Yes</t>
        </is>
      </c>
      <c r="G1141" s="8" t="n"/>
    </row>
    <row r="1142">
      <c r="A1142" s="8" t="inlineStr">
        <is>
          <t>PGCV_0024_1063</t>
        </is>
      </c>
      <c r="B1142" s="8" t="inlineStr">
        <is>
          <t>715B112780</t>
        </is>
      </c>
      <c r="C1142" s="8" t="inlineStr">
        <is>
          <t>3M0DPKX6DK</t>
        </is>
      </c>
      <c r="D1142" s="7" t="n">
        <v>24</v>
      </c>
      <c r="E1142" s="7" t="n">
        <v>1063</v>
      </c>
      <c r="F1142" s="7" t="inlineStr">
        <is>
          <t>Yes</t>
        </is>
      </c>
      <c r="G1142" s="8" t="n"/>
    </row>
    <row r="1143">
      <c r="A1143" s="8" t="inlineStr">
        <is>
          <t>PGCV_0024_1064</t>
        </is>
      </c>
      <c r="B1143" s="8" t="inlineStr">
        <is>
          <t>715B112782</t>
        </is>
      </c>
      <c r="C1143" s="8" t="inlineStr">
        <is>
          <t>ZMBKXUO79J</t>
        </is>
      </c>
      <c r="D1143" s="7" t="n">
        <v>24</v>
      </c>
      <c r="E1143" s="7" t="n">
        <v>1064</v>
      </c>
      <c r="F1143" s="7" t="inlineStr">
        <is>
          <t>Yes</t>
        </is>
      </c>
      <c r="G1143" s="8" t="n"/>
    </row>
    <row r="1144">
      <c r="A1144" s="8" t="inlineStr">
        <is>
          <t>PGCV_0024_1065</t>
        </is>
      </c>
      <c r="B1144" s="8" t="inlineStr">
        <is>
          <t>MLAB175718</t>
        </is>
      </c>
      <c r="C1144" s="8" t="inlineStr">
        <is>
          <t>IJGWJFF3HZ</t>
        </is>
      </c>
      <c r="D1144" s="7" t="n">
        <v>24</v>
      </c>
      <c r="E1144" s="7" t="n">
        <v>1065</v>
      </c>
      <c r="F1144" s="7" t="inlineStr">
        <is>
          <t>Yes</t>
        </is>
      </c>
      <c r="G1144" s="8" t="n"/>
    </row>
    <row r="1145">
      <c r="A1145" s="8" t="inlineStr">
        <is>
          <t>PGCV_0024_1066</t>
        </is>
      </c>
      <c r="B1145" s="8" t="inlineStr">
        <is>
          <t>MLAB175822</t>
        </is>
      </c>
      <c r="C1145" s="8" t="inlineStr">
        <is>
          <t>LCUO4VHR8K</t>
        </is>
      </c>
      <c r="D1145" s="7" t="n">
        <v>24</v>
      </c>
      <c r="E1145" s="7" t="n">
        <v>1066</v>
      </c>
      <c r="F1145" s="7" t="inlineStr">
        <is>
          <t>Yes</t>
        </is>
      </c>
      <c r="G1145" s="8" t="n"/>
    </row>
    <row r="1146">
      <c r="A1146" s="8" t="inlineStr">
        <is>
          <t>PGCV_0024_1067</t>
        </is>
      </c>
      <c r="B1146" s="8" t="inlineStr">
        <is>
          <t>MLAB175835</t>
        </is>
      </c>
      <c r="C1146" s="8" t="inlineStr">
        <is>
          <t>Y04YWURFGI</t>
        </is>
      </c>
      <c r="D1146" s="7" t="n">
        <v>24</v>
      </c>
      <c r="E1146" s="7" t="n">
        <v>1067</v>
      </c>
      <c r="F1146" s="7" t="inlineStr">
        <is>
          <t>Yes</t>
        </is>
      </c>
      <c r="G1146" s="8" t="n"/>
    </row>
    <row r="1147">
      <c r="A1147" s="8" t="inlineStr">
        <is>
          <t>PGCV_0024_1068</t>
        </is>
      </c>
      <c r="B1147" s="8" t="inlineStr">
        <is>
          <t>MLAB175830</t>
        </is>
      </c>
      <c r="C1147" s="8" t="inlineStr">
        <is>
          <t>4JK3LGGA86</t>
        </is>
      </c>
      <c r="D1147" s="7" t="n">
        <v>24</v>
      </c>
      <c r="E1147" s="7" t="n">
        <v>1068</v>
      </c>
      <c r="F1147" s="7" t="inlineStr">
        <is>
          <t>Yes</t>
        </is>
      </c>
      <c r="G1147" s="8" t="n"/>
    </row>
    <row r="1148">
      <c r="A1148" s="8" t="inlineStr">
        <is>
          <t>PGCV_0024_1069</t>
        </is>
      </c>
      <c r="B1148" s="8" t="inlineStr">
        <is>
          <t>MLAB175831</t>
        </is>
      </c>
      <c r="C1148" s="8" t="inlineStr">
        <is>
          <t>J60H49PFE1</t>
        </is>
      </c>
      <c r="D1148" s="7" t="n">
        <v>24</v>
      </c>
      <c r="E1148" s="7" t="n">
        <v>1069</v>
      </c>
      <c r="F1148" s="7" t="inlineStr">
        <is>
          <t>Yes</t>
        </is>
      </c>
      <c r="G1148" s="8" t="n"/>
    </row>
    <row r="1149">
      <c r="A1149" s="8" t="inlineStr">
        <is>
          <t>PGCV_0024_1070</t>
        </is>
      </c>
      <c r="B1149" s="8" t="inlineStr">
        <is>
          <t>MLAB175788</t>
        </is>
      </c>
      <c r="C1149" s="8" t="inlineStr">
        <is>
          <t>7E0A64MXTS</t>
        </is>
      </c>
      <c r="D1149" s="7" t="n">
        <v>24</v>
      </c>
      <c r="E1149" s="7" t="n">
        <v>1070</v>
      </c>
      <c r="F1149" s="7" t="inlineStr">
        <is>
          <t>Yes</t>
        </is>
      </c>
      <c r="G1149" s="8" t="n"/>
    </row>
    <row r="1150">
      <c r="A1150" s="8" t="inlineStr">
        <is>
          <t>PGCV_0024_1071</t>
        </is>
      </c>
      <c r="B1150" s="8" t="inlineStr">
        <is>
          <t>MLAB175798</t>
        </is>
      </c>
      <c r="C1150" s="8" t="inlineStr">
        <is>
          <t>WSZCLZUH0N</t>
        </is>
      </c>
      <c r="D1150" s="7" t="n">
        <v>24</v>
      </c>
      <c r="E1150" s="7" t="n">
        <v>1071</v>
      </c>
      <c r="F1150" s="7" t="inlineStr">
        <is>
          <t>Yes</t>
        </is>
      </c>
      <c r="G1150" s="8" t="n"/>
    </row>
    <row r="1151">
      <c r="A1151" s="8" t="inlineStr">
        <is>
          <t>PGCV_0024_1072</t>
        </is>
      </c>
      <c r="B1151" s="8" t="inlineStr">
        <is>
          <t>MLAB175809</t>
        </is>
      </c>
      <c r="C1151" s="8" t="inlineStr">
        <is>
          <t>JPWOQP2G6U</t>
        </is>
      </c>
      <c r="D1151" s="7" t="n">
        <v>24</v>
      </c>
      <c r="E1151" s="7" t="n">
        <v>1072</v>
      </c>
      <c r="F1151" s="7" t="inlineStr">
        <is>
          <t>Yes</t>
        </is>
      </c>
      <c r="G1151" s="8" t="n"/>
    </row>
    <row r="1152">
      <c r="A1152" s="8" t="inlineStr">
        <is>
          <t>PGCV_0024_1073</t>
        </is>
      </c>
      <c r="B1152" s="8" t="inlineStr">
        <is>
          <t>MLAB175812</t>
        </is>
      </c>
      <c r="C1152" s="8" t="inlineStr">
        <is>
          <t>G3A1CCZGCCD</t>
        </is>
      </c>
      <c r="D1152" s="7" t="n">
        <v>24</v>
      </c>
      <c r="E1152" s="7" t="n">
        <v>1073</v>
      </c>
      <c r="F1152" s="7" t="inlineStr">
        <is>
          <t>Yes</t>
        </is>
      </c>
      <c r="G1152" s="8" t="n"/>
    </row>
    <row r="1153">
      <c r="A1153" s="8" t="inlineStr">
        <is>
          <t>PGCV_0024_1074</t>
        </is>
      </c>
      <c r="B1153" s="8" t="inlineStr">
        <is>
          <t>MLAB175842</t>
        </is>
      </c>
      <c r="C1153" s="8" t="inlineStr">
        <is>
          <t>RPHRBP8Y2Y</t>
        </is>
      </c>
      <c r="D1153" s="7" t="n">
        <v>24</v>
      </c>
      <c r="E1153" s="7" t="n">
        <v>1074</v>
      </c>
      <c r="F1153" s="7" t="inlineStr">
        <is>
          <t>Yes</t>
        </is>
      </c>
      <c r="G1153" s="8" t="n"/>
    </row>
    <row r="1154">
      <c r="A1154" s="8" t="inlineStr">
        <is>
          <t>PGCV_0024_1075</t>
        </is>
      </c>
      <c r="B1154" s="8" t="inlineStr">
        <is>
          <t>MLAB175854</t>
        </is>
      </c>
      <c r="C1154" s="8" t="inlineStr">
        <is>
          <t>LOO8PK9SHM</t>
        </is>
      </c>
      <c r="D1154" s="7" t="n">
        <v>24</v>
      </c>
      <c r="E1154" s="7" t="n">
        <v>1075</v>
      </c>
      <c r="F1154" s="7" t="inlineStr">
        <is>
          <t>Yes</t>
        </is>
      </c>
      <c r="G1154" s="8" t="n"/>
    </row>
    <row r="1155">
      <c r="A1155" s="8" t="inlineStr">
        <is>
          <t>PGCV_0024_1076</t>
        </is>
      </c>
      <c r="B1155" s="8" t="inlineStr">
        <is>
          <t>MLAB175855</t>
        </is>
      </c>
      <c r="C1155" s="8" t="inlineStr">
        <is>
          <t>FIFJTKFN1E</t>
        </is>
      </c>
      <c r="D1155" s="7" t="n">
        <v>24</v>
      </c>
      <c r="E1155" s="7" t="n">
        <v>1076</v>
      </c>
      <c r="F1155" s="7" t="inlineStr">
        <is>
          <t>Yes</t>
        </is>
      </c>
      <c r="G1155" s="8" t="n"/>
    </row>
    <row r="1156">
      <c r="A1156" s="8" t="inlineStr">
        <is>
          <t>PGCV_0024_1077</t>
        </is>
      </c>
      <c r="B1156" s="8" t="inlineStr">
        <is>
          <t>MLAB175857</t>
        </is>
      </c>
      <c r="C1156" s="8" t="inlineStr">
        <is>
          <t>PBVASVHDC1</t>
        </is>
      </c>
      <c r="D1156" s="7" t="n">
        <v>24</v>
      </c>
      <c r="E1156" s="7" t="n">
        <v>1077</v>
      </c>
      <c r="F1156" s="7" t="inlineStr">
        <is>
          <t>Yes</t>
        </is>
      </c>
      <c r="G1156" s="8" t="n"/>
    </row>
    <row r="1157">
      <c r="A1157" s="8" t="inlineStr">
        <is>
          <t>PGCV_0024_1078</t>
        </is>
      </c>
      <c r="B1157" s="8" t="inlineStr">
        <is>
          <t>MLAB175856</t>
        </is>
      </c>
      <c r="C1157" s="8" t="inlineStr">
        <is>
          <t>XL0IFELY4H</t>
        </is>
      </c>
      <c r="D1157" s="7" t="n">
        <v>24</v>
      </c>
      <c r="E1157" s="7" t="n">
        <v>1078</v>
      </c>
      <c r="F1157" s="7" t="inlineStr">
        <is>
          <t>Yes</t>
        </is>
      </c>
      <c r="G1157" s="8" t="n"/>
    </row>
    <row r="1158">
      <c r="A1158" s="8" t="inlineStr">
        <is>
          <t>PGCV_0024_1079</t>
        </is>
      </c>
      <c r="B1158" s="8" t="inlineStr">
        <is>
          <t>MLAB175883</t>
        </is>
      </c>
      <c r="C1158" s="8" t="inlineStr">
        <is>
          <t>RTEC5GPN67</t>
        </is>
      </c>
      <c r="D1158" s="7" t="n">
        <v>24</v>
      </c>
      <c r="E1158" s="7" t="n">
        <v>1079</v>
      </c>
      <c r="F1158" s="7" t="inlineStr">
        <is>
          <t>Yes</t>
        </is>
      </c>
      <c r="G1158" s="8" t="n"/>
    </row>
    <row r="1159">
      <c r="A1159" s="8" t="inlineStr">
        <is>
          <t>PGCV_0024_1080</t>
        </is>
      </c>
      <c r="B1159" s="8" t="inlineStr">
        <is>
          <t>MLAB175896</t>
        </is>
      </c>
      <c r="C1159" s="8" t="inlineStr">
        <is>
          <t>QMFAYQRO5N</t>
        </is>
      </c>
      <c r="D1159" s="7" t="n">
        <v>24</v>
      </c>
      <c r="E1159" s="7" t="n">
        <v>1080</v>
      </c>
      <c r="F1159" s="7" t="inlineStr">
        <is>
          <t>Yes</t>
        </is>
      </c>
      <c r="G1159" s="8" t="n"/>
    </row>
    <row r="1160">
      <c r="A1160" s="8" t="inlineStr">
        <is>
          <t>PGCV_0024_1081</t>
        </is>
      </c>
      <c r="B1160" s="8" t="inlineStr">
        <is>
          <t>MLAB175938</t>
        </is>
      </c>
      <c r="C1160" s="8" t="inlineStr">
        <is>
          <t>20JV36Z69S</t>
        </is>
      </c>
      <c r="D1160" s="7" t="n">
        <v>24</v>
      </c>
      <c r="E1160" s="7" t="n">
        <v>1081</v>
      </c>
      <c r="F1160" s="7" t="inlineStr">
        <is>
          <t>Yes</t>
        </is>
      </c>
      <c r="G1160" s="8" t="n"/>
    </row>
    <row r="1161">
      <c r="A1161" s="8" t="inlineStr">
        <is>
          <t>PGCV_0024_1082</t>
        </is>
      </c>
      <c r="B1161" s="8" t="inlineStr">
        <is>
          <t>MLAB175954</t>
        </is>
      </c>
      <c r="C1161" s="8" t="inlineStr">
        <is>
          <t>YXEWNSJSQP</t>
        </is>
      </c>
      <c r="D1161" s="7" t="n">
        <v>24</v>
      </c>
      <c r="E1161" s="7" t="n">
        <v>1082</v>
      </c>
      <c r="F1161" s="7" t="inlineStr">
        <is>
          <t>Yes</t>
        </is>
      </c>
      <c r="G1161" s="8" t="n"/>
    </row>
    <row r="1162">
      <c r="A1162" s="8" t="inlineStr">
        <is>
          <t>PGCV_0024_1083</t>
        </is>
      </c>
      <c r="B1162" s="8" t="inlineStr">
        <is>
          <t>MLAB175959</t>
        </is>
      </c>
      <c r="C1162" s="8" t="inlineStr">
        <is>
          <t>3OWPNWGFVH</t>
        </is>
      </c>
      <c r="D1162" s="7" t="n">
        <v>24</v>
      </c>
      <c r="E1162" s="7" t="n">
        <v>1083</v>
      </c>
      <c r="F1162" s="7" t="inlineStr">
        <is>
          <t>Yes</t>
        </is>
      </c>
      <c r="G1162" s="8" t="n"/>
    </row>
    <row r="1163">
      <c r="A1163" s="8" t="inlineStr">
        <is>
          <t>PGCV_0024_1084</t>
        </is>
      </c>
      <c r="B1163" s="8" t="inlineStr">
        <is>
          <t>MLAB175960</t>
        </is>
      </c>
      <c r="C1163" s="8" t="inlineStr">
        <is>
          <t>T4IVMBYR8C</t>
        </is>
      </c>
      <c r="D1163" s="7" t="n">
        <v>24</v>
      </c>
      <c r="E1163" s="7" t="n">
        <v>1084</v>
      </c>
      <c r="F1163" s="7" t="inlineStr">
        <is>
          <t>Yes</t>
        </is>
      </c>
      <c r="G1163" s="8" t="n"/>
    </row>
    <row r="1164">
      <c r="A1164" s="8" t="inlineStr">
        <is>
          <t>PGCV_0024_1085</t>
        </is>
      </c>
      <c r="B1164" s="8" t="inlineStr">
        <is>
          <t>MLAB175964</t>
        </is>
      </c>
      <c r="C1164" s="8" t="inlineStr">
        <is>
          <t>8ESWW7X1EX</t>
        </is>
      </c>
      <c r="D1164" s="7" t="n">
        <v>24</v>
      </c>
      <c r="E1164" s="7" t="n">
        <v>1085</v>
      </c>
      <c r="F1164" s="7" t="inlineStr">
        <is>
          <t>Yes</t>
        </is>
      </c>
      <c r="G1164" s="8" t="n"/>
    </row>
    <row r="1165">
      <c r="A1165" s="8" t="inlineStr">
        <is>
          <t>PGCV_0024_1086</t>
        </is>
      </c>
      <c r="B1165" s="8" t="inlineStr">
        <is>
          <t>MLAB175967</t>
        </is>
      </c>
      <c r="C1165" s="8" t="inlineStr">
        <is>
          <t>R4S8Z3TK7K</t>
        </is>
      </c>
      <c r="D1165" s="7" t="n">
        <v>24</v>
      </c>
      <c r="E1165" s="7" t="n">
        <v>1086</v>
      </c>
      <c r="F1165" s="7" t="inlineStr">
        <is>
          <t>Yes</t>
        </is>
      </c>
      <c r="G1165" s="8" t="n"/>
    </row>
    <row r="1166">
      <c r="A1166" s="8" t="inlineStr">
        <is>
          <t>PGCV_0024_1087</t>
        </is>
      </c>
      <c r="B1166" s="8" t="inlineStr">
        <is>
          <t>MLAB175981</t>
        </is>
      </c>
      <c r="C1166" s="8" t="inlineStr">
        <is>
          <t>KYLBAL6VVP</t>
        </is>
      </c>
      <c r="D1166" s="7" t="n">
        <v>24</v>
      </c>
      <c r="E1166" s="7" t="n">
        <v>1087</v>
      </c>
      <c r="F1166" s="7" t="inlineStr">
        <is>
          <t>Yes</t>
        </is>
      </c>
      <c r="G1166" s="8" t="n"/>
    </row>
    <row r="1167">
      <c r="A1167" s="8" t="inlineStr">
        <is>
          <t>PGCV_0024_1088</t>
        </is>
      </c>
      <c r="B1167" s="8" t="inlineStr">
        <is>
          <t>MLAB175990</t>
        </is>
      </c>
      <c r="C1167" s="8" t="inlineStr">
        <is>
          <t>ZSVFJ4HGBW</t>
        </is>
      </c>
      <c r="D1167" s="7" t="n">
        <v>24</v>
      </c>
      <c r="E1167" s="7" t="n">
        <v>1088</v>
      </c>
      <c r="F1167" s="7" t="inlineStr">
        <is>
          <t>Yes</t>
        </is>
      </c>
      <c r="G1167" s="8" t="n"/>
    </row>
    <row r="1168">
      <c r="A1168" s="8" t="inlineStr">
        <is>
          <t>PGCV_0024_1089</t>
        </is>
      </c>
      <c r="B1168" s="8" t="inlineStr">
        <is>
          <t>MLAB175991</t>
        </is>
      </c>
      <c r="C1168" s="8" t="inlineStr">
        <is>
          <t>FVKNN9QWVT</t>
        </is>
      </c>
      <c r="D1168" s="7" t="n">
        <v>24</v>
      </c>
      <c r="E1168" s="7" t="n">
        <v>1089</v>
      </c>
      <c r="F1168" s="7" t="inlineStr">
        <is>
          <t>Yes</t>
        </is>
      </c>
      <c r="G1168" s="8" t="n"/>
    </row>
    <row r="1169">
      <c r="A1169" s="8" t="inlineStr">
        <is>
          <t>PGCV_0024_1090</t>
        </is>
      </c>
      <c r="B1169" s="8" t="inlineStr">
        <is>
          <t>MLAB175993</t>
        </is>
      </c>
      <c r="C1169" s="8" t="inlineStr">
        <is>
          <t>B3ARE8TVCF</t>
        </is>
      </c>
      <c r="D1169" s="7" t="n">
        <v>24</v>
      </c>
      <c r="E1169" s="7" t="n">
        <v>1090</v>
      </c>
      <c r="F1169" s="7" t="inlineStr">
        <is>
          <t>Yes</t>
        </is>
      </c>
      <c r="G1169" s="8" t="n"/>
    </row>
    <row r="1170">
      <c r="A1170" s="8" t="inlineStr">
        <is>
          <t>PGCV_0024_1091</t>
        </is>
      </c>
      <c r="B1170" s="8" t="inlineStr">
        <is>
          <t>MLAB175996</t>
        </is>
      </c>
      <c r="C1170" s="8" t="inlineStr">
        <is>
          <t>1FA6Z73OQ0</t>
        </is>
      </c>
      <c r="D1170" s="7" t="n">
        <v>24</v>
      </c>
      <c r="E1170" s="7" t="n">
        <v>1091</v>
      </c>
      <c r="F1170" s="7" t="inlineStr">
        <is>
          <t>Yes</t>
        </is>
      </c>
      <c r="G1170" s="8" t="n"/>
    </row>
    <row r="1171">
      <c r="A1171" s="8" t="inlineStr">
        <is>
          <t>PGCV_0024_1092</t>
        </is>
      </c>
      <c r="B1171" s="8" t="inlineStr">
        <is>
          <t>MLAB176019</t>
        </is>
      </c>
      <c r="C1171" s="8" t="inlineStr">
        <is>
          <t>A55CVSOKQV</t>
        </is>
      </c>
      <c r="D1171" s="7" t="n">
        <v>24</v>
      </c>
      <c r="E1171" s="7" t="n">
        <v>1092</v>
      </c>
      <c r="F1171" s="7" t="inlineStr">
        <is>
          <t>Yes</t>
        </is>
      </c>
      <c r="G1171" s="8" t="n"/>
    </row>
    <row r="1172">
      <c r="A1172" s="8" t="inlineStr">
        <is>
          <t>PGCV_0024_1093</t>
        </is>
      </c>
      <c r="B1172" s="8" t="inlineStr">
        <is>
          <t>MLAB176021</t>
        </is>
      </c>
      <c r="C1172" s="8" t="inlineStr">
        <is>
          <t>DJ3P5NUPDJ</t>
        </is>
      </c>
      <c r="D1172" s="7" t="n">
        <v>24</v>
      </c>
      <c r="E1172" s="7" t="n">
        <v>1093</v>
      </c>
      <c r="F1172" s="7" t="inlineStr">
        <is>
          <t>Yes</t>
        </is>
      </c>
      <c r="G1172" s="8" t="n"/>
    </row>
    <row r="1173">
      <c r="A1173" s="8" t="inlineStr">
        <is>
          <t>PGCV_0024_1094</t>
        </is>
      </c>
      <c r="B1173" s="8" t="inlineStr">
        <is>
          <t>MLAB176028</t>
        </is>
      </c>
      <c r="C1173" s="8" t="inlineStr">
        <is>
          <t>XZOK0VVXVI</t>
        </is>
      </c>
      <c r="D1173" s="7" t="n">
        <v>24</v>
      </c>
      <c r="E1173" s="7" t="n">
        <v>1094</v>
      </c>
      <c r="F1173" s="7" t="inlineStr">
        <is>
          <t>Yes</t>
        </is>
      </c>
      <c r="G1173" s="8" t="n"/>
    </row>
    <row r="1174">
      <c r="A1174" s="8" t="inlineStr">
        <is>
          <t>PGCV_0024_1095</t>
        </is>
      </c>
      <c r="B1174" s="8" t="inlineStr">
        <is>
          <t>MLAB176033</t>
        </is>
      </c>
      <c r="C1174" s="8" t="inlineStr">
        <is>
          <t>MHYGIEB4SX</t>
        </is>
      </c>
      <c r="D1174" s="7" t="n">
        <v>24</v>
      </c>
      <c r="E1174" s="7" t="n">
        <v>1095</v>
      </c>
      <c r="F1174" s="7" t="inlineStr">
        <is>
          <t>Yes</t>
        </is>
      </c>
      <c r="G1174" s="8" t="n"/>
    </row>
    <row r="1175">
      <c r="A1175" s="8" t="inlineStr">
        <is>
          <t>PGCV_0024_1096</t>
        </is>
      </c>
      <c r="B1175" s="8" t="inlineStr">
        <is>
          <t>MLAB176055</t>
        </is>
      </c>
      <c r="C1175" s="8" t="inlineStr">
        <is>
          <t>NGCXPMV1PJ</t>
        </is>
      </c>
      <c r="D1175" s="7" t="n">
        <v>24</v>
      </c>
      <c r="E1175" s="7" t="n">
        <v>1096</v>
      </c>
      <c r="F1175" s="7" t="inlineStr">
        <is>
          <t>Yes</t>
        </is>
      </c>
      <c r="G1175" s="8" t="n"/>
    </row>
    <row r="1176">
      <c r="A1176" s="8" t="inlineStr">
        <is>
          <t>PGCV_0024_1097</t>
        </is>
      </c>
      <c r="B1176" s="8" t="inlineStr">
        <is>
          <t>MLAB176067</t>
        </is>
      </c>
      <c r="C1176" s="8" t="inlineStr">
        <is>
          <t>GMZN97XMAO</t>
        </is>
      </c>
      <c r="D1176" s="7" t="n">
        <v>24</v>
      </c>
      <c r="E1176" s="7" t="n">
        <v>1097</v>
      </c>
      <c r="F1176" s="7" t="inlineStr">
        <is>
          <t>Yes</t>
        </is>
      </c>
      <c r="G1176" s="8" t="n"/>
    </row>
    <row r="1177">
      <c r="A1177" s="8" t="inlineStr">
        <is>
          <t>PGCV_0024_1098</t>
        </is>
      </c>
      <c r="B1177" s="8" t="inlineStr">
        <is>
          <t>MLAB176070</t>
        </is>
      </c>
      <c r="C1177" s="8" t="inlineStr">
        <is>
          <t>AWPBJSDP0E</t>
        </is>
      </c>
      <c r="D1177" s="7" t="n">
        <v>24</v>
      </c>
      <c r="E1177" s="7" t="n">
        <v>1098</v>
      </c>
      <c r="F1177" s="7" t="inlineStr">
        <is>
          <t>Yes</t>
        </is>
      </c>
      <c r="G1177" s="8" t="n"/>
    </row>
    <row r="1178">
      <c r="A1178" s="8" t="inlineStr">
        <is>
          <t>PGCV_0024_1099</t>
        </is>
      </c>
      <c r="B1178" s="8" t="inlineStr">
        <is>
          <t>MLAB176087</t>
        </is>
      </c>
      <c r="C1178" s="8" t="inlineStr">
        <is>
          <t>06P2IBQJ21</t>
        </is>
      </c>
      <c r="D1178" s="7" t="n">
        <v>24</v>
      </c>
      <c r="E1178" s="7" t="n">
        <v>1099</v>
      </c>
      <c r="F1178" s="7" t="inlineStr">
        <is>
          <t>Yes</t>
        </is>
      </c>
      <c r="G1178" s="8" t="n"/>
    </row>
    <row r="1179">
      <c r="A1179" s="8" t="inlineStr">
        <is>
          <t>PGCV_0024_1100</t>
        </is>
      </c>
      <c r="B1179" s="8" t="inlineStr">
        <is>
          <t>MLAB176092</t>
        </is>
      </c>
      <c r="C1179" s="8" t="inlineStr">
        <is>
          <t>YMAZTN7OPE</t>
        </is>
      </c>
      <c r="D1179" s="7" t="n">
        <v>24</v>
      </c>
      <c r="E1179" s="7" t="n">
        <v>1100</v>
      </c>
      <c r="F1179" s="7" t="inlineStr">
        <is>
          <t>Yes</t>
        </is>
      </c>
      <c r="G1179" s="8" t="n"/>
    </row>
    <row r="1180">
      <c r="A1180" s="8" t="inlineStr">
        <is>
          <t>PGCV_0024_1101</t>
        </is>
      </c>
      <c r="B1180" s="8" t="inlineStr">
        <is>
          <t>MLAB176093</t>
        </is>
      </c>
      <c r="C1180" s="8" t="inlineStr">
        <is>
          <t>1722NCGVMF</t>
        </is>
      </c>
      <c r="D1180" s="7" t="n">
        <v>24</v>
      </c>
      <c r="E1180" s="7" t="n">
        <v>1101</v>
      </c>
      <c r="F1180" s="7" t="inlineStr">
        <is>
          <t>Yes</t>
        </is>
      </c>
      <c r="G1180" s="8" t="n"/>
    </row>
    <row r="1181">
      <c r="A1181" s="8" t="inlineStr">
        <is>
          <t>PGCV_0024_1102</t>
        </is>
      </c>
      <c r="B1181" s="8" t="inlineStr">
        <is>
          <t>MLAB176130</t>
        </is>
      </c>
      <c r="C1181" s="8" t="inlineStr">
        <is>
          <t>JBJGP8V54K</t>
        </is>
      </c>
      <c r="D1181" s="7" t="n">
        <v>24</v>
      </c>
      <c r="E1181" s="7" t="n">
        <v>1102</v>
      </c>
      <c r="F1181" s="7" t="inlineStr">
        <is>
          <t>Yes</t>
        </is>
      </c>
      <c r="G1181" s="8" t="n"/>
    </row>
    <row r="1182">
      <c r="A1182" s="8" t="inlineStr">
        <is>
          <t>PGCV_0024_1103</t>
        </is>
      </c>
      <c r="B1182" s="8" t="inlineStr">
        <is>
          <t>MLAB176146</t>
        </is>
      </c>
      <c r="C1182" s="8" t="inlineStr">
        <is>
          <t>OL6KMCEPJ1</t>
        </is>
      </c>
      <c r="D1182" s="7" t="n">
        <v>24</v>
      </c>
      <c r="E1182" s="7" t="n">
        <v>1103</v>
      </c>
      <c r="F1182" s="7" t="inlineStr">
        <is>
          <t>Yes</t>
        </is>
      </c>
      <c r="G1182" s="8" t="n"/>
    </row>
    <row r="1183">
      <c r="A1183" s="8" t="inlineStr">
        <is>
          <t>PGCV_0024_1104</t>
        </is>
      </c>
      <c r="B1183" s="8" t="inlineStr">
        <is>
          <t>MLAB176162</t>
        </is>
      </c>
      <c r="C1183" s="8" t="inlineStr">
        <is>
          <t>EZZZQRYZBU</t>
        </is>
      </c>
      <c r="D1183" s="7" t="n">
        <v>24</v>
      </c>
      <c r="E1183" s="7" t="n">
        <v>1104</v>
      </c>
      <c r="F1183" s="7" t="inlineStr">
        <is>
          <t>Yes</t>
        </is>
      </c>
      <c r="G1183" s="8" t="n"/>
    </row>
    <row r="1184">
      <c r="A1184" s="8" t="inlineStr">
        <is>
          <t>PGCV_0024_1105</t>
        </is>
      </c>
      <c r="B1184" s="8" t="inlineStr">
        <is>
          <t>MLAB176165</t>
        </is>
      </c>
      <c r="C1184" s="8" t="inlineStr">
        <is>
          <t>T26V6IL3OS</t>
        </is>
      </c>
      <c r="D1184" s="7" t="n">
        <v>24</v>
      </c>
      <c r="E1184" s="7" t="n">
        <v>1105</v>
      </c>
      <c r="F1184" s="7" t="inlineStr">
        <is>
          <t>Yes</t>
        </is>
      </c>
      <c r="G1184" s="8" t="n"/>
    </row>
    <row r="1185">
      <c r="A1185" s="8" t="inlineStr">
        <is>
          <t>PGCV_0024_1106</t>
        </is>
      </c>
      <c r="B1185" s="8" t="inlineStr">
        <is>
          <t>MLAB176169</t>
        </is>
      </c>
      <c r="C1185" s="8" t="inlineStr">
        <is>
          <t>IL4OSHIXAC</t>
        </is>
      </c>
      <c r="D1185" s="7" t="n">
        <v>24</v>
      </c>
      <c r="E1185" s="7" t="n">
        <v>1106</v>
      </c>
      <c r="F1185" s="7" t="inlineStr">
        <is>
          <t>Yes</t>
        </is>
      </c>
      <c r="G1185" s="8" t="n"/>
    </row>
    <row r="1186">
      <c r="A1186" s="8" t="inlineStr">
        <is>
          <t>PGCV_0024_1107</t>
        </is>
      </c>
      <c r="B1186" s="8" t="inlineStr">
        <is>
          <t>MLAB176186</t>
        </is>
      </c>
      <c r="C1186" s="8" t="inlineStr">
        <is>
          <t>HGZRBNGTOB</t>
        </is>
      </c>
      <c r="D1186" s="7" t="n">
        <v>24</v>
      </c>
      <c r="E1186" s="7" t="n">
        <v>1107</v>
      </c>
      <c r="F1186" s="7" t="inlineStr">
        <is>
          <t>Yes</t>
        </is>
      </c>
      <c r="G1186" s="8" t="n"/>
    </row>
    <row r="1187">
      <c r="A1187" s="8" t="inlineStr">
        <is>
          <t>PGCV_0024_1108</t>
        </is>
      </c>
      <c r="B1187" s="8" t="inlineStr">
        <is>
          <t>MLAB176191</t>
        </is>
      </c>
      <c r="C1187" s="8" t="inlineStr">
        <is>
          <t>2UKJEG3PR0</t>
        </is>
      </c>
      <c r="D1187" s="7" t="n">
        <v>24</v>
      </c>
      <c r="E1187" s="7" t="n">
        <v>1108</v>
      </c>
      <c r="F1187" s="7" t="inlineStr">
        <is>
          <t>Yes</t>
        </is>
      </c>
      <c r="G1187" s="8" t="n"/>
    </row>
    <row r="1188">
      <c r="A1188" s="8" t="inlineStr">
        <is>
          <t>PGCV_0024_1109</t>
        </is>
      </c>
      <c r="B1188" s="8" t="inlineStr">
        <is>
          <t>MLAB176258</t>
        </is>
      </c>
      <c r="C1188" s="8" t="inlineStr">
        <is>
          <t>L1ZE0EEX4Q</t>
        </is>
      </c>
      <c r="D1188" s="7" t="n">
        <v>24</v>
      </c>
      <c r="E1188" s="7" t="n">
        <v>1109</v>
      </c>
      <c r="F1188" s="7" t="inlineStr">
        <is>
          <t>Yes</t>
        </is>
      </c>
      <c r="G1188" s="8" t="n"/>
    </row>
    <row r="1189">
      <c r="A1189" s="8" t="inlineStr">
        <is>
          <t>PGCV_0024_1110</t>
        </is>
      </c>
      <c r="B1189" s="8" t="inlineStr">
        <is>
          <t>MLAB176260</t>
        </is>
      </c>
      <c r="C1189" s="8" t="inlineStr">
        <is>
          <t>QX41JCKINR</t>
        </is>
      </c>
      <c r="D1189" s="7" t="n">
        <v>24</v>
      </c>
      <c r="E1189" s="7" t="n">
        <v>1110</v>
      </c>
      <c r="F1189" s="7" t="inlineStr">
        <is>
          <t>Yes</t>
        </is>
      </c>
      <c r="G1189" s="8" t="n"/>
    </row>
    <row r="1190">
      <c r="A1190" s="8" t="inlineStr">
        <is>
          <t>PGCV_0024_1111</t>
        </is>
      </c>
      <c r="B1190" s="8" t="inlineStr">
        <is>
          <t>MLAB176263</t>
        </is>
      </c>
      <c r="C1190" s="8" t="inlineStr">
        <is>
          <t>MLKXB34FRD</t>
        </is>
      </c>
      <c r="D1190" s="7" t="n">
        <v>24</v>
      </c>
      <c r="E1190" s="7" t="n">
        <v>1111</v>
      </c>
      <c r="F1190" s="7" t="inlineStr">
        <is>
          <t>Yes</t>
        </is>
      </c>
      <c r="G1190" s="8" t="n"/>
    </row>
    <row r="1191">
      <c r="A1191" s="8" t="inlineStr">
        <is>
          <t>PGCV_0024_1112</t>
        </is>
      </c>
      <c r="B1191" s="8" t="inlineStr">
        <is>
          <t>MLAB176231</t>
        </is>
      </c>
      <c r="C1191" s="8" t="inlineStr">
        <is>
          <t>D52KA6AGSP</t>
        </is>
      </c>
      <c r="D1191" s="7" t="n">
        <v>24</v>
      </c>
      <c r="E1191" s="7" t="n">
        <v>1112</v>
      </c>
      <c r="F1191" s="7" t="inlineStr">
        <is>
          <t>Yes</t>
        </is>
      </c>
      <c r="G1191" s="8" t="n"/>
    </row>
    <row r="1192">
      <c r="A1192" s="8" t="inlineStr">
        <is>
          <t>PGCV_0024_1113</t>
        </is>
      </c>
      <c r="B1192" s="8" t="inlineStr">
        <is>
          <t>MLAB176235</t>
        </is>
      </c>
      <c r="C1192" s="8" t="inlineStr">
        <is>
          <t>JS4EFFAKMC</t>
        </is>
      </c>
      <c r="D1192" s="7" t="n">
        <v>24</v>
      </c>
      <c r="E1192" s="7" t="n">
        <v>1113</v>
      </c>
      <c r="F1192" s="7" t="inlineStr">
        <is>
          <t>Yes</t>
        </is>
      </c>
      <c r="G1192" s="8" t="n"/>
    </row>
    <row r="1193">
      <c r="A1193" s="8" t="inlineStr">
        <is>
          <t>PGCV_0024_1114</t>
        </is>
      </c>
      <c r="B1193" s="8" t="inlineStr">
        <is>
          <t>MLAB176239</t>
        </is>
      </c>
      <c r="C1193" s="8" t="inlineStr">
        <is>
          <t>E4RDEGLBBN</t>
        </is>
      </c>
      <c r="D1193" s="7" t="n">
        <v>24</v>
      </c>
      <c r="E1193" s="7" t="n">
        <v>1114</v>
      </c>
      <c r="F1193" s="7" t="inlineStr">
        <is>
          <t>Yes</t>
        </is>
      </c>
      <c r="G1193" s="8" t="n"/>
    </row>
    <row r="1194">
      <c r="A1194" s="8" t="inlineStr">
        <is>
          <t>PGCV_0024_1115</t>
        </is>
      </c>
      <c r="B1194" s="8" t="inlineStr">
        <is>
          <t>MLAB176246</t>
        </is>
      </c>
      <c r="C1194" s="8" t="inlineStr">
        <is>
          <t>WVALASXI8F</t>
        </is>
      </c>
      <c r="D1194" s="7" t="n">
        <v>24</v>
      </c>
      <c r="E1194" s="7" t="n">
        <v>1115</v>
      </c>
      <c r="F1194" s="7" t="inlineStr">
        <is>
          <t>Yes</t>
        </is>
      </c>
      <c r="G1194" s="8" t="n"/>
    </row>
    <row r="1195">
      <c r="A1195" s="8" t="inlineStr">
        <is>
          <t>PGCV_0024_1116</t>
        </is>
      </c>
      <c r="B1195" s="8" t="inlineStr">
        <is>
          <t>MLAB176248</t>
        </is>
      </c>
      <c r="C1195" s="8" t="inlineStr">
        <is>
          <t>925SG18U1K</t>
        </is>
      </c>
      <c r="D1195" s="7" t="n">
        <v>24</v>
      </c>
      <c r="E1195" s="7" t="n">
        <v>1116</v>
      </c>
      <c r="F1195" s="7" t="inlineStr">
        <is>
          <t>Yes</t>
        </is>
      </c>
      <c r="G1195" s="8" t="n"/>
    </row>
    <row r="1196">
      <c r="A1196" s="8" t="inlineStr">
        <is>
          <t>PGCV_0024_1117</t>
        </is>
      </c>
      <c r="B1196" s="8" t="inlineStr">
        <is>
          <t>716B112793</t>
        </is>
      </c>
      <c r="C1196" s="8" t="inlineStr">
        <is>
          <t>SZIWQUPDVB</t>
        </is>
      </c>
      <c r="D1196" s="7" t="n">
        <v>24</v>
      </c>
      <c r="E1196" s="7" t="n">
        <v>1117</v>
      </c>
      <c r="F1196" s="7" t="inlineStr">
        <is>
          <t>Yes</t>
        </is>
      </c>
      <c r="G1196" s="8" t="n"/>
    </row>
    <row r="1197">
      <c r="A1197" s="8" t="inlineStr">
        <is>
          <t>PGCV_0024_1118</t>
        </is>
      </c>
      <c r="B1197" s="8" t="inlineStr">
        <is>
          <t>716B112831</t>
        </is>
      </c>
      <c r="C1197" s="8" t="inlineStr">
        <is>
          <t>ARP1RH36UF</t>
        </is>
      </c>
      <c r="D1197" s="7" t="n">
        <v>24</v>
      </c>
      <c r="E1197" s="7" t="n">
        <v>1118</v>
      </c>
      <c r="F1197" s="7" t="inlineStr">
        <is>
          <t>Yes</t>
        </is>
      </c>
      <c r="G1197" s="8" t="n"/>
    </row>
    <row r="1198">
      <c r="A1198" s="8" t="inlineStr">
        <is>
          <t>PGCV_0025_1119</t>
        </is>
      </c>
      <c r="B1198" s="8" t="inlineStr">
        <is>
          <t>COVID-SNL-22-68346</t>
        </is>
      </c>
      <c r="C1198" s="8" t="inlineStr">
        <is>
          <t>XDTRNNTMYP</t>
        </is>
      </c>
      <c r="D1198" s="7" t="n">
        <v>25</v>
      </c>
      <c r="E1198" s="7" t="n">
        <v>1119</v>
      </c>
      <c r="F1198" s="7" t="inlineStr">
        <is>
          <t>Yes</t>
        </is>
      </c>
      <c r="G1198" s="8" t="n"/>
    </row>
    <row r="1199">
      <c r="A1199" s="8" t="inlineStr">
        <is>
          <t>PGCV_0025_1120</t>
        </is>
      </c>
      <c r="B1199" s="8" t="inlineStr">
        <is>
          <t>COVID-SNL-22-68354</t>
        </is>
      </c>
      <c r="C1199" s="8" t="inlineStr">
        <is>
          <t>ECCFNSG513</t>
        </is>
      </c>
      <c r="D1199" s="7" t="n">
        <v>25</v>
      </c>
      <c r="E1199" s="7" t="n">
        <v>1120</v>
      </c>
      <c r="F1199" s="7" t="inlineStr">
        <is>
          <t>Yes</t>
        </is>
      </c>
      <c r="G1199" s="8" t="n"/>
    </row>
    <row r="1200">
      <c r="A1200" s="8" t="inlineStr">
        <is>
          <t>PGCV_0025_1121</t>
        </is>
      </c>
      <c r="B1200" s="8" t="inlineStr">
        <is>
          <t>COVID-SNL-22-68355</t>
        </is>
      </c>
      <c r="C1200" s="8" t="inlineStr">
        <is>
          <t>WEY6COVM8X</t>
        </is>
      </c>
      <c r="D1200" s="7" t="n">
        <v>25</v>
      </c>
      <c r="E1200" s="7" t="n">
        <v>1121</v>
      </c>
      <c r="F1200" s="7" t="inlineStr">
        <is>
          <t>Yes</t>
        </is>
      </c>
      <c r="G1200" s="8" t="n"/>
    </row>
    <row r="1201">
      <c r="A1201" s="8" t="inlineStr">
        <is>
          <t>PGCV_0025_1122</t>
        </is>
      </c>
      <c r="B1201" s="8" t="inlineStr">
        <is>
          <t>COVID-SNL-22-68356</t>
        </is>
      </c>
      <c r="C1201" s="8" t="inlineStr">
        <is>
          <t>TETVDK21BX</t>
        </is>
      </c>
      <c r="D1201" s="7" t="n">
        <v>25</v>
      </c>
      <c r="E1201" s="7" t="n">
        <v>1122</v>
      </c>
      <c r="F1201" s="7" t="inlineStr">
        <is>
          <t>Yes</t>
        </is>
      </c>
      <c r="G1201" s="8" t="n"/>
    </row>
    <row r="1202">
      <c r="A1202" s="8" t="inlineStr">
        <is>
          <t>PGCV_0025_1123</t>
        </is>
      </c>
      <c r="B1202" s="8" t="inlineStr">
        <is>
          <t>COVID-SNL-22-68357</t>
        </is>
      </c>
      <c r="C1202" s="8" t="inlineStr">
        <is>
          <t>SI89VXZJML</t>
        </is>
      </c>
      <c r="D1202" s="7" t="n">
        <v>25</v>
      </c>
      <c r="E1202" s="7" t="n">
        <v>1123</v>
      </c>
      <c r="F1202" s="7" t="inlineStr">
        <is>
          <t>Yes</t>
        </is>
      </c>
      <c r="G1202" s="8" t="n"/>
    </row>
    <row r="1203">
      <c r="A1203" s="8" t="inlineStr">
        <is>
          <t>PGCV_0025_1124</t>
        </is>
      </c>
      <c r="B1203" s="8" t="inlineStr">
        <is>
          <t>COVID-SNL-22-68358</t>
        </is>
      </c>
      <c r="C1203" s="8" t="inlineStr">
        <is>
          <t>RSPYGH3FTD</t>
        </is>
      </c>
      <c r="D1203" s="7" t="n">
        <v>25</v>
      </c>
      <c r="E1203" s="7" t="n">
        <v>1124</v>
      </c>
      <c r="F1203" s="7" t="inlineStr">
        <is>
          <t>Yes</t>
        </is>
      </c>
      <c r="G1203" s="8" t="n"/>
    </row>
    <row r="1204">
      <c r="A1204" s="8" t="inlineStr">
        <is>
          <t>PGCV_0025_1125</t>
        </is>
      </c>
      <c r="B1204" s="8" t="inlineStr">
        <is>
          <t>COVID-SNL-22-68360</t>
        </is>
      </c>
      <c r="C1204" s="8" t="inlineStr">
        <is>
          <t>MPRYWBMY9R</t>
        </is>
      </c>
      <c r="D1204" s="7" t="n">
        <v>25</v>
      </c>
      <c r="E1204" s="7" t="n">
        <v>1125</v>
      </c>
      <c r="F1204" s="7" t="inlineStr">
        <is>
          <t>Yes</t>
        </is>
      </c>
      <c r="G1204" s="12" t="inlineStr">
        <is>
          <t>specimen also sequenced as PGCV_0025_1227</t>
        </is>
      </c>
    </row>
    <row r="1205">
      <c r="A1205" s="8" t="inlineStr">
        <is>
          <t>PGCV_0025_1126</t>
        </is>
      </c>
      <c r="B1205" s="8" t="inlineStr">
        <is>
          <t>COVID-SNL-22-68366</t>
        </is>
      </c>
      <c r="C1205" s="8" t="inlineStr">
        <is>
          <t>WMLC2KTYIE</t>
        </is>
      </c>
      <c r="D1205" s="7" t="n">
        <v>25</v>
      </c>
      <c r="E1205" s="7" t="n">
        <v>1126</v>
      </c>
      <c r="F1205" s="7" t="inlineStr">
        <is>
          <t>Yes</t>
        </is>
      </c>
      <c r="G1205" s="8" t="n"/>
    </row>
    <row r="1206">
      <c r="A1206" s="8" t="inlineStr">
        <is>
          <t>PGCV_0025_1127</t>
        </is>
      </c>
      <c r="B1206" s="8" t="inlineStr">
        <is>
          <t>COVID-SNL-22-68368</t>
        </is>
      </c>
      <c r="C1206" s="8" t="inlineStr">
        <is>
          <t>GQUJP42BQ7</t>
        </is>
      </c>
      <c r="D1206" s="7" t="n">
        <v>25</v>
      </c>
      <c r="E1206" s="7" t="n">
        <v>1127</v>
      </c>
      <c r="F1206" s="7" t="inlineStr">
        <is>
          <t>Yes</t>
        </is>
      </c>
      <c r="G1206" s="8" t="n"/>
    </row>
    <row r="1207">
      <c r="A1207" s="8" t="inlineStr">
        <is>
          <t>PGCV_0025_1128</t>
        </is>
      </c>
      <c r="B1207" s="8" t="inlineStr">
        <is>
          <t>COVID-SNL-22-68369</t>
        </is>
      </c>
      <c r="C1207" s="8" t="inlineStr">
        <is>
          <t>KERSNMTZPO</t>
        </is>
      </c>
      <c r="D1207" s="7" t="n">
        <v>25</v>
      </c>
      <c r="E1207" s="7" t="n">
        <v>1128</v>
      </c>
      <c r="F1207" s="7" t="inlineStr">
        <is>
          <t>Yes</t>
        </is>
      </c>
      <c r="G1207" s="8" t="n"/>
    </row>
    <row r="1208">
      <c r="A1208" s="8" t="inlineStr">
        <is>
          <t>PGCV_0025_1129</t>
        </is>
      </c>
      <c r="B1208" s="8" t="inlineStr">
        <is>
          <t>COVID-SNL-22-68371</t>
        </is>
      </c>
      <c r="C1208" s="8" t="inlineStr">
        <is>
          <t>WBUVHN6JEM</t>
        </is>
      </c>
      <c r="D1208" s="7" t="n">
        <v>25</v>
      </c>
      <c r="E1208" s="7" t="n">
        <v>1129</v>
      </c>
      <c r="F1208" s="7" t="inlineStr">
        <is>
          <t>Yes</t>
        </is>
      </c>
      <c r="G1208" s="8" t="n"/>
    </row>
    <row r="1209">
      <c r="A1209" s="8" t="inlineStr">
        <is>
          <t>PGCV_0025_1130</t>
        </is>
      </c>
      <c r="B1209" s="8" t="inlineStr">
        <is>
          <t>COVID-SNL-22-68373</t>
        </is>
      </c>
      <c r="C1209" s="8" t="inlineStr">
        <is>
          <t>BS3QVMHR45</t>
        </is>
      </c>
      <c r="D1209" s="7" t="n">
        <v>25</v>
      </c>
      <c r="E1209" s="7" t="n">
        <v>1130</v>
      </c>
      <c r="F1209" s="7" t="inlineStr">
        <is>
          <t>Yes</t>
        </is>
      </c>
      <c r="G1209" s="8" t="n"/>
    </row>
    <row r="1210">
      <c r="A1210" s="8" t="inlineStr">
        <is>
          <t>PGCV_0025_1131</t>
        </is>
      </c>
      <c r="B1210" s="8" t="inlineStr">
        <is>
          <t>COVID-SNL-22-68379</t>
        </is>
      </c>
      <c r="C1210" s="8" t="inlineStr">
        <is>
          <t>DW7PRDDLLS</t>
        </is>
      </c>
      <c r="D1210" s="7" t="n">
        <v>25</v>
      </c>
      <c r="E1210" s="7" t="n">
        <v>1131</v>
      </c>
      <c r="F1210" s="7" t="inlineStr">
        <is>
          <t>Yes</t>
        </is>
      </c>
      <c r="G1210" s="8" t="n"/>
    </row>
    <row r="1211">
      <c r="A1211" s="8" t="inlineStr">
        <is>
          <t>PGCV_0025_1132</t>
        </is>
      </c>
      <c r="B1211" s="8" t="inlineStr">
        <is>
          <t>COVID-SNL-22-68419</t>
        </is>
      </c>
      <c r="C1211" s="8" t="inlineStr">
        <is>
          <t>CGSH7DR8J4</t>
        </is>
      </c>
      <c r="D1211" s="7" t="n">
        <v>25</v>
      </c>
      <c r="E1211" s="7" t="n">
        <v>1132</v>
      </c>
      <c r="F1211" s="7" t="inlineStr">
        <is>
          <t>Yes</t>
        </is>
      </c>
      <c r="G1211" s="8" t="n"/>
    </row>
    <row r="1212">
      <c r="A1212" s="8" t="inlineStr">
        <is>
          <t>PGCV_0025_1133</t>
        </is>
      </c>
      <c r="B1212" s="8" t="inlineStr">
        <is>
          <t>COVID-SNL-22-68395</t>
        </is>
      </c>
      <c r="C1212" s="8" t="inlineStr">
        <is>
          <t>ROL9V3ZSUO</t>
        </is>
      </c>
      <c r="D1212" s="7" t="n">
        <v>25</v>
      </c>
      <c r="E1212" s="7" t="n">
        <v>1133</v>
      </c>
      <c r="F1212" s="7" t="inlineStr">
        <is>
          <t>Yes</t>
        </is>
      </c>
      <c r="G1212" s="8" t="n"/>
    </row>
    <row r="1213">
      <c r="A1213" s="8" t="inlineStr">
        <is>
          <t>PGCV_0025_1134</t>
        </is>
      </c>
      <c r="B1213" s="8" t="inlineStr">
        <is>
          <t>COVID-SNL-22-68414</t>
        </is>
      </c>
      <c r="C1213" s="8" t="inlineStr">
        <is>
          <t>J1XTJDOXH2</t>
        </is>
      </c>
      <c r="D1213" s="7" t="n">
        <v>25</v>
      </c>
      <c r="E1213" s="7" t="n">
        <v>1134</v>
      </c>
      <c r="F1213" s="7" t="inlineStr">
        <is>
          <t>Yes</t>
        </is>
      </c>
      <c r="G1213" s="8" t="n"/>
    </row>
    <row r="1214">
      <c r="A1214" s="8" t="inlineStr">
        <is>
          <t>PGCV_0025_1135</t>
        </is>
      </c>
      <c r="B1214" s="8" t="inlineStr">
        <is>
          <t>COVID-SNL-22-68425</t>
        </is>
      </c>
      <c r="C1214" s="8" t="inlineStr">
        <is>
          <t>VK36W8IIUM</t>
        </is>
      </c>
      <c r="D1214" s="7" t="n">
        <v>25</v>
      </c>
      <c r="E1214" s="7" t="n">
        <v>1135</v>
      </c>
      <c r="F1214" s="7" t="inlineStr">
        <is>
          <t>Yes</t>
        </is>
      </c>
      <c r="G1214" s="8" t="n"/>
    </row>
    <row r="1215">
      <c r="A1215" s="8" t="inlineStr">
        <is>
          <t>PGCV_0025_1136</t>
        </is>
      </c>
      <c r="B1215" s="8" t="inlineStr">
        <is>
          <t>COVID-SNL-22-68441</t>
        </is>
      </c>
      <c r="C1215" s="8" t="inlineStr">
        <is>
          <t>9PTFYXWF2Q</t>
        </is>
      </c>
      <c r="D1215" s="7" t="n">
        <v>25</v>
      </c>
      <c r="E1215" s="7" t="n">
        <v>1136</v>
      </c>
      <c r="F1215" s="7" t="inlineStr">
        <is>
          <t>Yes</t>
        </is>
      </c>
      <c r="G1215" s="8" t="n"/>
    </row>
    <row r="1216">
      <c r="A1216" s="8" t="inlineStr">
        <is>
          <t>PGCV_0025_1137</t>
        </is>
      </c>
      <c r="B1216" s="8" t="inlineStr">
        <is>
          <t>COVID-SNL-22-68453</t>
        </is>
      </c>
      <c r="C1216" s="8" t="inlineStr">
        <is>
          <t>44XWYPVRHO</t>
        </is>
      </c>
      <c r="D1216" s="7" t="n">
        <v>25</v>
      </c>
      <c r="E1216" s="7" t="n">
        <v>1137</v>
      </c>
      <c r="F1216" s="7" t="inlineStr">
        <is>
          <t>Yes</t>
        </is>
      </c>
      <c r="G1216" s="8" t="n"/>
    </row>
    <row r="1217">
      <c r="A1217" s="8" t="inlineStr">
        <is>
          <t>PGCV_0025_1138</t>
        </is>
      </c>
      <c r="B1217" s="8" t="inlineStr">
        <is>
          <t>COVID-SNL-22-68483</t>
        </is>
      </c>
      <c r="C1217" s="8" t="inlineStr">
        <is>
          <t>CLKZ905HUG</t>
        </is>
      </c>
      <c r="D1217" s="7" t="n">
        <v>25</v>
      </c>
      <c r="E1217" s="7" t="n">
        <v>1138</v>
      </c>
      <c r="F1217" s="7" t="inlineStr">
        <is>
          <t>Yes</t>
        </is>
      </c>
      <c r="G1217" s="8" t="n"/>
    </row>
    <row r="1218">
      <c r="A1218" s="8" t="inlineStr">
        <is>
          <t>PGCV_0025_1139</t>
        </is>
      </c>
      <c r="B1218" s="8" t="inlineStr">
        <is>
          <t>COVID-SNL-22-68491</t>
        </is>
      </c>
      <c r="C1218" s="8" t="inlineStr">
        <is>
          <t>6AKACNG8ZM</t>
        </is>
      </c>
      <c r="D1218" s="7" t="n">
        <v>25</v>
      </c>
      <c r="E1218" s="7" t="n">
        <v>1139</v>
      </c>
      <c r="F1218" s="7" t="inlineStr">
        <is>
          <t>Yes</t>
        </is>
      </c>
      <c r="G1218" s="8" t="n"/>
    </row>
    <row r="1219">
      <c r="A1219" s="8" t="inlineStr">
        <is>
          <t>PGCV_0025_1140</t>
        </is>
      </c>
      <c r="B1219" s="8" t="inlineStr">
        <is>
          <t>COVID-SNL-22-68523</t>
        </is>
      </c>
      <c r="C1219" s="8" t="inlineStr">
        <is>
          <t>ZTV8GHQLJV</t>
        </is>
      </c>
      <c r="D1219" s="7" t="n">
        <v>25</v>
      </c>
      <c r="E1219" s="7" t="n">
        <v>1140</v>
      </c>
      <c r="F1219" s="7" t="inlineStr">
        <is>
          <t>Yes</t>
        </is>
      </c>
      <c r="G1219" s="8" t="n"/>
    </row>
    <row r="1220">
      <c r="A1220" s="8" t="inlineStr">
        <is>
          <t>PGCV_0025_1141</t>
        </is>
      </c>
      <c r="B1220" s="8" t="inlineStr">
        <is>
          <t>COVID-SNL-22-68538</t>
        </is>
      </c>
      <c r="C1220" s="8" t="inlineStr">
        <is>
          <t>YRAMLBYURL</t>
        </is>
      </c>
      <c r="D1220" s="7" t="n">
        <v>25</v>
      </c>
      <c r="E1220" s="7" t="n">
        <v>1141</v>
      </c>
      <c r="F1220" s="7" t="inlineStr">
        <is>
          <t>Yes</t>
        </is>
      </c>
      <c r="G1220" s="8" t="n"/>
    </row>
    <row r="1221">
      <c r="A1221" s="8" t="inlineStr">
        <is>
          <t>PGCV_0025_1142</t>
        </is>
      </c>
      <c r="B1221" s="8" t="inlineStr">
        <is>
          <t>COVID-SNL-22-68548</t>
        </is>
      </c>
      <c r="C1221" s="8" t="inlineStr">
        <is>
          <t>5HJ7TC7KX1</t>
        </is>
      </c>
      <c r="D1221" s="7" t="n">
        <v>25</v>
      </c>
      <c r="E1221" s="7" t="n">
        <v>1142</v>
      </c>
      <c r="F1221" s="7" t="inlineStr">
        <is>
          <t>Yes</t>
        </is>
      </c>
      <c r="G1221" s="8" t="n"/>
    </row>
    <row r="1222">
      <c r="A1222" s="8" t="inlineStr">
        <is>
          <t>PGCV_0025_1143</t>
        </is>
      </c>
      <c r="B1222" s="8" t="inlineStr">
        <is>
          <t>COVID-SNL-22-68458</t>
        </is>
      </c>
      <c r="C1222" s="8" t="inlineStr">
        <is>
          <t>6FHSHV9MMM</t>
        </is>
      </c>
      <c r="D1222" s="7" t="n">
        <v>25</v>
      </c>
      <c r="E1222" s="7" t="n">
        <v>1143</v>
      </c>
      <c r="F1222" s="7" t="inlineStr">
        <is>
          <t>Yes</t>
        </is>
      </c>
      <c r="G1222" s="8" t="n"/>
    </row>
    <row r="1223">
      <c r="A1223" s="8" t="inlineStr">
        <is>
          <t>PGCV_0025_1144</t>
        </is>
      </c>
      <c r="B1223" s="8" t="inlineStr">
        <is>
          <t>COVID-SNL-22-68689</t>
        </is>
      </c>
      <c r="C1223" s="8" t="inlineStr">
        <is>
          <t>YYUDG1U7CW</t>
        </is>
      </c>
      <c r="D1223" s="7" t="n">
        <v>25</v>
      </c>
      <c r="E1223" s="7" t="n">
        <v>1144</v>
      </c>
      <c r="F1223" s="7" t="inlineStr">
        <is>
          <t>Yes</t>
        </is>
      </c>
      <c r="G1223" s="8" t="n"/>
    </row>
    <row r="1224">
      <c r="A1224" s="8" t="inlineStr">
        <is>
          <t>PGCV_0025_1145</t>
        </is>
      </c>
      <c r="B1224" s="8" t="inlineStr">
        <is>
          <t>COVID-SNL-22-68696</t>
        </is>
      </c>
      <c r="C1224" s="8" t="inlineStr">
        <is>
          <t>JDJA6EKOUV</t>
        </is>
      </c>
      <c r="D1224" s="7" t="n">
        <v>25</v>
      </c>
      <c r="E1224" s="7" t="n">
        <v>1145</v>
      </c>
      <c r="F1224" s="7" t="inlineStr">
        <is>
          <t>Yes</t>
        </is>
      </c>
      <c r="G1224" s="8" t="n"/>
    </row>
    <row r="1225">
      <c r="A1225" s="8" t="inlineStr">
        <is>
          <t>PGCV_0025_1146</t>
        </is>
      </c>
      <c r="B1225" s="8" t="inlineStr">
        <is>
          <t>COVID-SNL-22-68700</t>
        </is>
      </c>
      <c r="C1225" s="8" t="inlineStr">
        <is>
          <t>IFH7YP3YWC</t>
        </is>
      </c>
      <c r="D1225" s="7" t="n">
        <v>25</v>
      </c>
      <c r="E1225" s="7" t="n">
        <v>1146</v>
      </c>
      <c r="F1225" s="7" t="inlineStr">
        <is>
          <t>Yes</t>
        </is>
      </c>
      <c r="G1225" s="8" t="n"/>
    </row>
    <row r="1226">
      <c r="A1226" s="8" t="inlineStr">
        <is>
          <t>PGCV_0025_1147</t>
        </is>
      </c>
      <c r="B1226" s="8" t="inlineStr">
        <is>
          <t>COVID-SNL-22-69732</t>
        </is>
      </c>
      <c r="C1226" s="8" t="inlineStr">
        <is>
          <t>QUGQWANUAF</t>
        </is>
      </c>
      <c r="D1226" s="7" t="n">
        <v>25</v>
      </c>
      <c r="E1226" s="7" t="n">
        <v>1147</v>
      </c>
      <c r="F1226" s="7" t="inlineStr">
        <is>
          <t>Yes</t>
        </is>
      </c>
      <c r="G1226" s="8" t="n"/>
    </row>
    <row r="1227">
      <c r="A1227" s="8" t="inlineStr">
        <is>
          <t>PGCV_0025_1148</t>
        </is>
      </c>
      <c r="B1227" s="8" t="inlineStr">
        <is>
          <t>COVID-SNL-22-68583</t>
        </is>
      </c>
      <c r="C1227" s="8" t="inlineStr">
        <is>
          <t>M39QOOLKXV</t>
        </is>
      </c>
      <c r="D1227" s="7" t="n">
        <v>25</v>
      </c>
      <c r="E1227" s="7" t="n">
        <v>1148</v>
      </c>
      <c r="F1227" s="7" t="inlineStr">
        <is>
          <t>Yes</t>
        </is>
      </c>
      <c r="G1227" s="8" t="n"/>
    </row>
    <row r="1228">
      <c r="A1228" s="8" t="inlineStr">
        <is>
          <t>PGCV_0025_1149</t>
        </is>
      </c>
      <c r="B1228" s="8" t="inlineStr">
        <is>
          <t>COVID-SNL-22-68595</t>
        </is>
      </c>
      <c r="C1228" s="8" t="inlineStr">
        <is>
          <t>32CCTITP91</t>
        </is>
      </c>
      <c r="D1228" s="7" t="n">
        <v>25</v>
      </c>
      <c r="E1228" s="7" t="n">
        <v>1149</v>
      </c>
      <c r="F1228" s="7" t="inlineStr">
        <is>
          <t>Yes</t>
        </is>
      </c>
      <c r="G1228" s="8" t="n"/>
    </row>
    <row r="1229">
      <c r="A1229" s="8" t="inlineStr">
        <is>
          <t>PGCV_0025_1150</t>
        </is>
      </c>
      <c r="B1229" s="8" t="inlineStr">
        <is>
          <t>COVID-SNL-22-68617</t>
        </is>
      </c>
      <c r="C1229" s="8" t="inlineStr">
        <is>
          <t>OSQQ73DE7M</t>
        </is>
      </c>
      <c r="D1229" s="7" t="n">
        <v>25</v>
      </c>
      <c r="E1229" s="7" t="n">
        <v>1150</v>
      </c>
      <c r="F1229" s="7" t="inlineStr">
        <is>
          <t>Yes</t>
        </is>
      </c>
      <c r="G1229" s="8" t="n"/>
    </row>
    <row r="1230">
      <c r="A1230" s="8" t="inlineStr">
        <is>
          <t>PGCV_0025_1151</t>
        </is>
      </c>
      <c r="B1230" s="8" t="inlineStr">
        <is>
          <t>COVID-SNL-22-68620</t>
        </is>
      </c>
      <c r="C1230" s="8" t="inlineStr">
        <is>
          <t>YZHAKGXSRQ</t>
        </is>
      </c>
      <c r="D1230" s="7" t="n">
        <v>25</v>
      </c>
      <c r="E1230" s="7" t="n">
        <v>1151</v>
      </c>
      <c r="F1230" s="7" t="inlineStr">
        <is>
          <t>Yes</t>
        </is>
      </c>
      <c r="G1230" s="8" t="n"/>
    </row>
    <row r="1231">
      <c r="A1231" s="8" t="inlineStr">
        <is>
          <t>PGCV_0025_1152</t>
        </is>
      </c>
      <c r="B1231" s="8" t="inlineStr">
        <is>
          <t>COVID-SNL-22-68762</t>
        </is>
      </c>
      <c r="C1231" s="8" t="inlineStr">
        <is>
          <t>HYZMMORQOH</t>
        </is>
      </c>
      <c r="D1231" s="7" t="n">
        <v>25</v>
      </c>
      <c r="E1231" s="7" t="n">
        <v>1152</v>
      </c>
      <c r="F1231" s="7" t="inlineStr">
        <is>
          <t>Yes</t>
        </is>
      </c>
      <c r="G1231" s="8" t="n"/>
    </row>
    <row r="1232">
      <c r="A1232" s="8" t="inlineStr">
        <is>
          <t>PGCV_0025_1153</t>
        </is>
      </c>
      <c r="B1232" s="8" t="inlineStr">
        <is>
          <t>COVID-SNL-22-68771</t>
        </is>
      </c>
      <c r="C1232" s="8" t="inlineStr">
        <is>
          <t>KEMJU4BXEG</t>
        </is>
      </c>
      <c r="D1232" s="7" t="n">
        <v>25</v>
      </c>
      <c r="E1232" s="7" t="n">
        <v>1153</v>
      </c>
      <c r="F1232" s="7" t="inlineStr">
        <is>
          <t>Yes</t>
        </is>
      </c>
      <c r="G1232" s="8" t="n"/>
    </row>
    <row r="1233">
      <c r="A1233" s="8" t="inlineStr">
        <is>
          <t>PGCV_0025_1154</t>
        </is>
      </c>
      <c r="B1233" s="8" t="inlineStr">
        <is>
          <t>COVID-SNL-22-68782</t>
        </is>
      </c>
      <c r="C1233" s="8" t="inlineStr">
        <is>
          <t>ZMNPOLQUWK</t>
        </is>
      </c>
      <c r="D1233" s="7" t="n">
        <v>25</v>
      </c>
      <c r="E1233" s="7" t="n">
        <v>1154</v>
      </c>
      <c r="F1233" s="7" t="inlineStr">
        <is>
          <t>Yes</t>
        </is>
      </c>
      <c r="G1233" s="8" t="n"/>
    </row>
    <row r="1234">
      <c r="A1234" s="8" t="inlineStr">
        <is>
          <t>PGCV_0025_1155</t>
        </is>
      </c>
      <c r="B1234" s="8" t="inlineStr">
        <is>
          <t>COVID-SNL-22-68792</t>
        </is>
      </c>
      <c r="C1234" s="8" t="inlineStr">
        <is>
          <t>2Y1ZTKXIKW</t>
        </is>
      </c>
      <c r="D1234" s="7" t="n">
        <v>25</v>
      </c>
      <c r="E1234" s="7" t="n">
        <v>1155</v>
      </c>
      <c r="F1234" s="7" t="inlineStr">
        <is>
          <t>Yes</t>
        </is>
      </c>
      <c r="G1234" s="8" t="n"/>
    </row>
    <row r="1235">
      <c r="A1235" s="8" t="inlineStr">
        <is>
          <t>PGCV_0025_1156</t>
        </is>
      </c>
      <c r="B1235" s="8" t="inlineStr">
        <is>
          <t>COVID-SNL-22-69793</t>
        </is>
      </c>
      <c r="C1235" s="8" t="inlineStr">
        <is>
          <t>T3VZMJRGBQ</t>
        </is>
      </c>
      <c r="D1235" s="7" t="n">
        <v>25</v>
      </c>
      <c r="E1235" s="7" t="n">
        <v>1156</v>
      </c>
      <c r="F1235" s="7" t="inlineStr">
        <is>
          <t>Yes</t>
        </is>
      </c>
      <c r="G1235" s="8" t="n"/>
    </row>
    <row r="1236">
      <c r="A1236" s="8" t="inlineStr">
        <is>
          <t>PGCV_0025_1157</t>
        </is>
      </c>
      <c r="B1236" s="8" t="inlineStr">
        <is>
          <t>COVID-SNL-22-68820</t>
        </is>
      </c>
      <c r="C1236" s="8" t="inlineStr">
        <is>
          <t>JFLSAHHGYK</t>
        </is>
      </c>
      <c r="D1236" s="7" t="n">
        <v>25</v>
      </c>
      <c r="E1236" s="7" t="n">
        <v>1157</v>
      </c>
      <c r="F1236" s="7" t="inlineStr">
        <is>
          <t>Yes</t>
        </is>
      </c>
      <c r="G1236" s="8" t="n"/>
    </row>
    <row r="1237">
      <c r="A1237" s="8" t="inlineStr">
        <is>
          <t>PGCV_0025_1158</t>
        </is>
      </c>
      <c r="B1237" s="8" t="inlineStr">
        <is>
          <t>COVID-SNL-22-68829</t>
        </is>
      </c>
      <c r="C1237" s="8" t="inlineStr">
        <is>
          <t>NFTZBXVMXP</t>
        </is>
      </c>
      <c r="D1237" s="7" t="n">
        <v>25</v>
      </c>
      <c r="E1237" s="7" t="n">
        <v>1158</v>
      </c>
      <c r="F1237" s="7" t="inlineStr">
        <is>
          <t>Yes</t>
        </is>
      </c>
      <c r="G1237" s="8" t="n"/>
    </row>
    <row r="1238">
      <c r="A1238" s="8" t="inlineStr">
        <is>
          <t>PGCV_0025_1159</t>
        </is>
      </c>
      <c r="B1238" s="8" t="inlineStr">
        <is>
          <t>COVID-SNL-22-68863</t>
        </is>
      </c>
      <c r="C1238" s="8" t="inlineStr">
        <is>
          <t>TGUC2ETCBH</t>
        </is>
      </c>
      <c r="D1238" s="7" t="n">
        <v>25</v>
      </c>
      <c r="E1238" s="7" t="n">
        <v>1159</v>
      </c>
      <c r="F1238" s="7" t="inlineStr">
        <is>
          <t>Yes</t>
        </is>
      </c>
      <c r="G1238" s="8" t="n"/>
    </row>
    <row r="1239">
      <c r="A1239" s="8" t="inlineStr">
        <is>
          <t>PGCV_0025_1160</t>
        </is>
      </c>
      <c r="B1239" s="8" t="inlineStr">
        <is>
          <t>COVID-SNL-22-68873</t>
        </is>
      </c>
      <c r="C1239" s="8" t="inlineStr">
        <is>
          <t>AY059I1342</t>
        </is>
      </c>
      <c r="D1239" s="7" t="n">
        <v>25</v>
      </c>
      <c r="E1239" s="7" t="n">
        <v>1160</v>
      </c>
      <c r="F1239" s="7" t="inlineStr">
        <is>
          <t>Yes</t>
        </is>
      </c>
      <c r="G1239" s="8" t="n"/>
    </row>
    <row r="1240">
      <c r="A1240" s="8" t="inlineStr">
        <is>
          <t>PGCV_0025_1161</t>
        </is>
      </c>
      <c r="B1240" s="8" t="inlineStr">
        <is>
          <t>COVID-SNL-22-68879</t>
        </is>
      </c>
      <c r="C1240" s="8" t="inlineStr">
        <is>
          <t>SQFBZXRRAT</t>
        </is>
      </c>
      <c r="D1240" s="7" t="n">
        <v>25</v>
      </c>
      <c r="E1240" s="7" t="n">
        <v>1161</v>
      </c>
      <c r="F1240" s="7" t="inlineStr">
        <is>
          <t>Yes</t>
        </is>
      </c>
      <c r="G1240" s="8" t="n"/>
    </row>
    <row r="1241">
      <c r="A1241" s="8" t="inlineStr">
        <is>
          <t>PGCV_0025_1162</t>
        </is>
      </c>
      <c r="B1241" s="8" t="inlineStr">
        <is>
          <t>COVID-SNL-22-68880</t>
        </is>
      </c>
      <c r="C1241" s="8" t="inlineStr">
        <is>
          <t>ANYOHLQGCT</t>
        </is>
      </c>
      <c r="D1241" s="7" t="n">
        <v>25</v>
      </c>
      <c r="E1241" s="7" t="n">
        <v>1162</v>
      </c>
      <c r="F1241" s="7" t="inlineStr">
        <is>
          <t>Yes</t>
        </is>
      </c>
      <c r="G1241" s="8" t="n"/>
    </row>
    <row r="1242">
      <c r="A1242" s="8" t="inlineStr">
        <is>
          <t>PGCV_0025_1163</t>
        </is>
      </c>
      <c r="B1242" s="8" t="inlineStr">
        <is>
          <t>COVID-SNL-22-68882</t>
        </is>
      </c>
      <c r="C1242" s="8" t="inlineStr">
        <is>
          <t>QPTG88EEF1</t>
        </is>
      </c>
      <c r="D1242" s="7" t="n">
        <v>25</v>
      </c>
      <c r="E1242" s="7" t="n">
        <v>1163</v>
      </c>
      <c r="F1242" s="7" t="inlineStr">
        <is>
          <t>Yes</t>
        </is>
      </c>
      <c r="G1242" s="8" t="n"/>
    </row>
    <row r="1243">
      <c r="A1243" s="8" t="inlineStr">
        <is>
          <t>PGCV_0025_1164</t>
        </is>
      </c>
      <c r="B1243" s="8" t="inlineStr">
        <is>
          <t>COVID-SNL-22-68885</t>
        </is>
      </c>
      <c r="C1243" s="8" t="inlineStr">
        <is>
          <t>GYTOWCTJIC</t>
        </is>
      </c>
      <c r="D1243" s="7" t="n">
        <v>25</v>
      </c>
      <c r="E1243" s="7" t="n">
        <v>1164</v>
      </c>
      <c r="F1243" s="7" t="inlineStr">
        <is>
          <t>Yes</t>
        </is>
      </c>
      <c r="G1243" s="8" t="n"/>
    </row>
    <row r="1244">
      <c r="A1244" s="8" t="inlineStr">
        <is>
          <t>PGCV_0025_1165</t>
        </is>
      </c>
      <c r="B1244" s="8" t="inlineStr">
        <is>
          <t>COVID-SNL-22-68886</t>
        </is>
      </c>
      <c r="C1244" s="8" t="inlineStr">
        <is>
          <t>B5BSLHANEX</t>
        </is>
      </c>
      <c r="D1244" s="7" t="n">
        <v>25</v>
      </c>
      <c r="E1244" s="7" t="n">
        <v>1165</v>
      </c>
      <c r="F1244" s="7" t="inlineStr">
        <is>
          <t>Yes</t>
        </is>
      </c>
      <c r="G1244" s="8" t="n"/>
    </row>
    <row r="1245">
      <c r="A1245" s="8" t="inlineStr">
        <is>
          <t>PGCV_0025_1166</t>
        </is>
      </c>
      <c r="B1245" s="8" t="inlineStr">
        <is>
          <t>COVID-SNL-22-68892</t>
        </is>
      </c>
      <c r="C1245" s="8" t="inlineStr">
        <is>
          <t>SIJPTQM3AN</t>
        </is>
      </c>
      <c r="D1245" s="7" t="n">
        <v>25</v>
      </c>
      <c r="E1245" s="7" t="n">
        <v>1166</v>
      </c>
      <c r="F1245" s="7" t="inlineStr">
        <is>
          <t>No</t>
        </is>
      </c>
      <c r="G1245" s="8" t="n"/>
    </row>
    <row r="1246">
      <c r="A1246" s="8" t="inlineStr">
        <is>
          <t>PGCV_0025_1167</t>
        </is>
      </c>
      <c r="B1246" s="8" t="inlineStr">
        <is>
          <t>COVID-SNL-22-68923</t>
        </is>
      </c>
      <c r="C1246" s="8" t="inlineStr">
        <is>
          <t>WRFU6I2B31</t>
        </is>
      </c>
      <c r="D1246" s="7" t="n">
        <v>25</v>
      </c>
      <c r="E1246" s="7" t="n">
        <v>1167</v>
      </c>
      <c r="F1246" s="7" t="inlineStr">
        <is>
          <t>Yes</t>
        </is>
      </c>
      <c r="G1246" s="8" t="n"/>
    </row>
    <row r="1247">
      <c r="A1247" s="8" t="inlineStr">
        <is>
          <t>PGCV_0025_1168</t>
        </is>
      </c>
      <c r="B1247" s="8" t="inlineStr">
        <is>
          <t>COVID-SNL-22-69076</t>
        </is>
      </c>
      <c r="C1247" s="8" t="inlineStr">
        <is>
          <t>Q8BKBE5K5R</t>
        </is>
      </c>
      <c r="D1247" s="7" t="n">
        <v>25</v>
      </c>
      <c r="E1247" s="7" t="n">
        <v>1168</v>
      </c>
      <c r="F1247" s="7" t="inlineStr">
        <is>
          <t>Yes</t>
        </is>
      </c>
      <c r="G1247" s="8" t="n"/>
    </row>
    <row r="1248">
      <c r="A1248" s="8" t="inlineStr">
        <is>
          <t>PGCV_0025_1169</t>
        </is>
      </c>
      <c r="B1248" s="8" t="inlineStr">
        <is>
          <t>COVID-SNL-22-69078</t>
        </is>
      </c>
      <c r="C1248" s="8" t="inlineStr">
        <is>
          <t>KFOYAJQMPI</t>
        </is>
      </c>
      <c r="D1248" s="7" t="n">
        <v>25</v>
      </c>
      <c r="E1248" s="7" t="n">
        <v>1169</v>
      </c>
      <c r="F1248" s="7" t="inlineStr">
        <is>
          <t>Yes</t>
        </is>
      </c>
      <c r="G1248" s="8" t="n"/>
    </row>
    <row r="1249">
      <c r="A1249" s="8" t="inlineStr">
        <is>
          <t>PGCV_0025_1170</t>
        </is>
      </c>
      <c r="B1249" s="8" t="inlineStr">
        <is>
          <t>COVID-SNL-22-69085</t>
        </is>
      </c>
      <c r="C1249" s="8" t="inlineStr">
        <is>
          <t>NQ0IB1YPXN</t>
        </is>
      </c>
      <c r="D1249" s="7" t="n">
        <v>25</v>
      </c>
      <c r="E1249" s="7" t="n">
        <v>1170</v>
      </c>
      <c r="F1249" s="7" t="inlineStr">
        <is>
          <t>Yes</t>
        </is>
      </c>
      <c r="G1249" s="8" t="n"/>
    </row>
    <row r="1250">
      <c r="A1250" s="8" t="inlineStr">
        <is>
          <t>PGCV_0025_1171</t>
        </is>
      </c>
      <c r="B1250" s="8" t="inlineStr">
        <is>
          <t>COVID-SNL-22-69086</t>
        </is>
      </c>
      <c r="C1250" s="8" t="inlineStr">
        <is>
          <t>JLQSSICYCE</t>
        </is>
      </c>
      <c r="D1250" s="7" t="n">
        <v>25</v>
      </c>
      <c r="E1250" s="7" t="n">
        <v>1171</v>
      </c>
      <c r="F1250" s="7" t="inlineStr">
        <is>
          <t>Yes</t>
        </is>
      </c>
      <c r="G1250" s="8" t="n"/>
    </row>
    <row r="1251">
      <c r="A1251" s="8" t="inlineStr">
        <is>
          <t>PGCV_0025_1172</t>
        </is>
      </c>
      <c r="B1251" s="8" t="inlineStr">
        <is>
          <t>COVID-SNL-22-69103</t>
        </is>
      </c>
      <c r="C1251" s="8" t="inlineStr">
        <is>
          <t>DTO5AVFIRE</t>
        </is>
      </c>
      <c r="D1251" s="7" t="n">
        <v>25</v>
      </c>
      <c r="E1251" s="7" t="n">
        <v>1172</v>
      </c>
      <c r="F1251" s="7" t="inlineStr">
        <is>
          <t>Yes</t>
        </is>
      </c>
      <c r="G1251" s="8" t="n"/>
    </row>
    <row r="1252">
      <c r="A1252" s="8" t="inlineStr">
        <is>
          <t>PGCV_0025_1173</t>
        </is>
      </c>
      <c r="B1252" s="8" t="inlineStr">
        <is>
          <t>COVID-SNL-22-69115</t>
        </is>
      </c>
      <c r="C1252" s="8" t="inlineStr">
        <is>
          <t>Q4FXGHAJT6</t>
        </is>
      </c>
      <c r="D1252" s="7" t="n">
        <v>25</v>
      </c>
      <c r="E1252" s="7" t="n">
        <v>1173</v>
      </c>
      <c r="F1252" s="7" t="inlineStr">
        <is>
          <t>Yes</t>
        </is>
      </c>
      <c r="G1252" s="8" t="n"/>
    </row>
    <row r="1253">
      <c r="A1253" s="8" t="inlineStr">
        <is>
          <t>PGCV_0025_1174</t>
        </is>
      </c>
      <c r="B1253" s="8" t="inlineStr">
        <is>
          <t>COVID-SNL-22-69018</t>
        </is>
      </c>
      <c r="C1253" s="8" t="inlineStr">
        <is>
          <t>8GTBGM0RKV</t>
        </is>
      </c>
      <c r="D1253" s="7" t="n">
        <v>25</v>
      </c>
      <c r="E1253" s="7" t="n">
        <v>1174</v>
      </c>
      <c r="F1253" s="7" t="inlineStr">
        <is>
          <t>Yes</t>
        </is>
      </c>
      <c r="G1253" s="8" t="n"/>
    </row>
    <row r="1254">
      <c r="A1254" s="8" t="inlineStr">
        <is>
          <t>PGCV_0025_1175</t>
        </is>
      </c>
      <c r="B1254" s="8" t="inlineStr">
        <is>
          <t>COVID-SNL-22-69029</t>
        </is>
      </c>
      <c r="C1254" s="8" t="inlineStr">
        <is>
          <t>RCBEKAXAIB</t>
        </is>
      </c>
      <c r="D1254" s="7" t="n">
        <v>25</v>
      </c>
      <c r="E1254" s="7" t="n">
        <v>1175</v>
      </c>
      <c r="F1254" s="7" t="inlineStr">
        <is>
          <t>Yes</t>
        </is>
      </c>
      <c r="G1254" s="8" t="n"/>
    </row>
    <row r="1255">
      <c r="A1255" s="8" t="inlineStr">
        <is>
          <t>PGCV_0025_1176</t>
        </is>
      </c>
      <c r="B1255" s="8" t="inlineStr">
        <is>
          <t>COVID-SNL-22-69030</t>
        </is>
      </c>
      <c r="C1255" s="8" t="inlineStr">
        <is>
          <t>K3YKEFGYCH</t>
        </is>
      </c>
      <c r="D1255" s="7" t="n">
        <v>25</v>
      </c>
      <c r="E1255" s="7" t="n">
        <v>1176</v>
      </c>
      <c r="F1255" s="7" t="inlineStr">
        <is>
          <t>Yes</t>
        </is>
      </c>
      <c r="G1255" s="8" t="n"/>
    </row>
    <row r="1256">
      <c r="A1256" s="8" t="inlineStr">
        <is>
          <t>PGCV_0025_1177</t>
        </is>
      </c>
      <c r="B1256" s="8" t="inlineStr">
        <is>
          <t>COVID-SNL-22-69039</t>
        </is>
      </c>
      <c r="C1256" s="8" t="inlineStr">
        <is>
          <t>E9W7ZNBFFP</t>
        </is>
      </c>
      <c r="D1256" s="7" t="n">
        <v>25</v>
      </c>
      <c r="E1256" s="7" t="n">
        <v>1177</v>
      </c>
      <c r="F1256" s="7" t="inlineStr">
        <is>
          <t>Yes</t>
        </is>
      </c>
      <c r="G1256" s="8" t="n"/>
    </row>
    <row r="1257">
      <c r="A1257" s="8" t="inlineStr">
        <is>
          <t>PGCV_0025_1178</t>
        </is>
      </c>
      <c r="B1257" s="8" t="inlineStr">
        <is>
          <t>COVID-SNL-22-69040</t>
        </is>
      </c>
      <c r="C1257" s="8" t="inlineStr">
        <is>
          <t>E0YELI9G3H</t>
        </is>
      </c>
      <c r="D1257" s="7" t="n">
        <v>25</v>
      </c>
      <c r="E1257" s="7" t="n">
        <v>1178</v>
      </c>
      <c r="F1257" s="7" t="inlineStr">
        <is>
          <t>Yes</t>
        </is>
      </c>
      <c r="G1257" s="8" t="n"/>
    </row>
    <row r="1258">
      <c r="A1258" s="8" t="inlineStr">
        <is>
          <t>PGCV_0025_1179</t>
        </is>
      </c>
      <c r="B1258" s="8" t="inlineStr">
        <is>
          <t>COVID-SNL-22-69041</t>
        </is>
      </c>
      <c r="C1258" s="8" t="inlineStr">
        <is>
          <t>3VSU1YP14N</t>
        </is>
      </c>
      <c r="D1258" s="7" t="n">
        <v>25</v>
      </c>
      <c r="E1258" s="7" t="n">
        <v>1179</v>
      </c>
      <c r="F1258" s="7" t="inlineStr">
        <is>
          <t>Yes</t>
        </is>
      </c>
      <c r="G1258" s="8" t="n"/>
    </row>
    <row r="1259">
      <c r="A1259" s="8" t="inlineStr">
        <is>
          <t>PGCV_0025_1180</t>
        </is>
      </c>
      <c r="B1259" s="8" t="inlineStr">
        <is>
          <t>COVID-SNL-22-69163</t>
        </is>
      </c>
      <c r="C1259" s="8" t="inlineStr">
        <is>
          <t>XGARYEPWHP</t>
        </is>
      </c>
      <c r="D1259" s="7" t="n">
        <v>25</v>
      </c>
      <c r="E1259" s="7" t="n">
        <v>1180</v>
      </c>
      <c r="F1259" s="7" t="inlineStr">
        <is>
          <t>Yes</t>
        </is>
      </c>
      <c r="G1259" s="8" t="n"/>
    </row>
    <row r="1260">
      <c r="A1260" s="8" t="inlineStr">
        <is>
          <t>PGCV_0025_1181</t>
        </is>
      </c>
      <c r="B1260" s="8" t="inlineStr">
        <is>
          <t>COVID-SNL-22-69130</t>
        </is>
      </c>
      <c r="C1260" s="8" t="inlineStr">
        <is>
          <t>LFAUWR9P6Y</t>
        </is>
      </c>
      <c r="D1260" s="7" t="n">
        <v>25</v>
      </c>
      <c r="E1260" s="7" t="n">
        <v>1181</v>
      </c>
      <c r="F1260" s="7" t="inlineStr">
        <is>
          <t>Yes</t>
        </is>
      </c>
      <c r="G1260" s="8" t="n"/>
    </row>
    <row r="1261">
      <c r="A1261" s="8" t="inlineStr">
        <is>
          <t>PGCV_0025_1182</t>
        </is>
      </c>
      <c r="B1261" s="8" t="inlineStr">
        <is>
          <t>COVID-SNL-22-69146</t>
        </is>
      </c>
      <c r="C1261" s="8" t="inlineStr">
        <is>
          <t>ENCWJBXSFG</t>
        </is>
      </c>
      <c r="D1261" s="7" t="n">
        <v>25</v>
      </c>
      <c r="E1261" s="7" t="n">
        <v>1182</v>
      </c>
      <c r="F1261" s="7" t="inlineStr">
        <is>
          <t>Yes</t>
        </is>
      </c>
      <c r="G1261" s="8" t="n"/>
    </row>
    <row r="1262">
      <c r="A1262" s="8" t="inlineStr">
        <is>
          <t>PGCV_0025_1183</t>
        </is>
      </c>
      <c r="B1262" s="8" t="inlineStr">
        <is>
          <t>COVID-SNL-22-69281</t>
        </is>
      </c>
      <c r="C1262" s="8" t="inlineStr">
        <is>
          <t>VJJINWRYGW</t>
        </is>
      </c>
      <c r="D1262" s="7" t="n">
        <v>25</v>
      </c>
      <c r="E1262" s="7" t="n">
        <v>1183</v>
      </c>
      <c r="F1262" s="7" t="inlineStr">
        <is>
          <t>Yes</t>
        </is>
      </c>
      <c r="G1262" s="8" t="n"/>
    </row>
    <row r="1263">
      <c r="A1263" s="8" t="inlineStr">
        <is>
          <t>PGCV_0025_1184</t>
        </is>
      </c>
      <c r="B1263" s="8" t="inlineStr">
        <is>
          <t>COVID-SNL-22-69301</t>
        </is>
      </c>
      <c r="C1263" s="8" t="inlineStr">
        <is>
          <t>RU1LLXMK2V</t>
        </is>
      </c>
      <c r="D1263" s="7" t="n">
        <v>25</v>
      </c>
      <c r="E1263" s="7" t="n">
        <v>1184</v>
      </c>
      <c r="F1263" s="7" t="inlineStr">
        <is>
          <t>Yes</t>
        </is>
      </c>
      <c r="G1263" s="8" t="n"/>
    </row>
    <row r="1264">
      <c r="A1264" s="8" t="inlineStr">
        <is>
          <t>PGCV_0025_1185</t>
        </is>
      </c>
      <c r="B1264" s="8" t="inlineStr">
        <is>
          <t>COVID-SNL-22-69316</t>
        </is>
      </c>
      <c r="C1264" s="8" t="inlineStr">
        <is>
          <t>5D7EWJUUSQ</t>
        </is>
      </c>
      <c r="D1264" s="7" t="n">
        <v>25</v>
      </c>
      <c r="E1264" s="7" t="n">
        <v>1185</v>
      </c>
      <c r="F1264" s="7" t="inlineStr">
        <is>
          <t>Yes</t>
        </is>
      </c>
      <c r="G1264" s="8" t="n"/>
    </row>
    <row r="1265">
      <c r="A1265" s="8" t="inlineStr">
        <is>
          <t>PGCV_0025_1186</t>
        </is>
      </c>
      <c r="B1265" s="8" t="inlineStr">
        <is>
          <t>COVID-SNL-22-69182</t>
        </is>
      </c>
      <c r="C1265" s="8" t="inlineStr">
        <is>
          <t>6YVVKO60OS</t>
        </is>
      </c>
      <c r="D1265" s="7" t="n">
        <v>25</v>
      </c>
      <c r="E1265" s="7" t="n">
        <v>1186</v>
      </c>
      <c r="F1265" s="7" t="inlineStr">
        <is>
          <t>Yes</t>
        </is>
      </c>
      <c r="G1265" s="8" t="n"/>
    </row>
    <row r="1266">
      <c r="A1266" s="8" t="inlineStr">
        <is>
          <t>PGCV_0025_1187</t>
        </is>
      </c>
      <c r="B1266" s="8" t="inlineStr">
        <is>
          <t>COVID-SNL-22-69183</t>
        </is>
      </c>
      <c r="C1266" s="8" t="inlineStr">
        <is>
          <t>UKBKPEHLJV</t>
        </is>
      </c>
      <c r="D1266" s="7" t="n">
        <v>25</v>
      </c>
      <c r="E1266" s="7" t="n">
        <v>1187</v>
      </c>
      <c r="F1266" s="7" t="inlineStr">
        <is>
          <t>Yes</t>
        </is>
      </c>
      <c r="G1266" s="8" t="n"/>
    </row>
    <row r="1267">
      <c r="A1267" s="8" t="inlineStr">
        <is>
          <t>PGCV_0025_1188</t>
        </is>
      </c>
      <c r="B1267" s="8" t="inlineStr">
        <is>
          <t>COVID-SNL-22-69199</t>
        </is>
      </c>
      <c r="C1267" s="8" t="inlineStr">
        <is>
          <t>AHMXLQELZC</t>
        </is>
      </c>
      <c r="D1267" s="7" t="n">
        <v>25</v>
      </c>
      <c r="E1267" s="7" t="n">
        <v>1188</v>
      </c>
      <c r="F1267" s="7" t="inlineStr">
        <is>
          <t>Yes</t>
        </is>
      </c>
      <c r="G1267" s="8" t="n"/>
    </row>
    <row r="1268">
      <c r="A1268" s="8" t="inlineStr">
        <is>
          <t>PGCV_0025_1189</t>
        </is>
      </c>
      <c r="B1268" s="8" t="inlineStr">
        <is>
          <t>COVID-SNL-22-69222</t>
        </is>
      </c>
      <c r="C1268" s="8" t="inlineStr">
        <is>
          <t>UFKCSDEUWS</t>
        </is>
      </c>
      <c r="D1268" s="7" t="n">
        <v>25</v>
      </c>
      <c r="E1268" s="7" t="n">
        <v>1189</v>
      </c>
      <c r="F1268" s="7" t="inlineStr">
        <is>
          <t>Yes</t>
        </is>
      </c>
      <c r="G1268" s="8" t="n"/>
    </row>
    <row r="1269">
      <c r="A1269" s="8" t="inlineStr">
        <is>
          <t>PGCV_0025_1190</t>
        </is>
      </c>
      <c r="B1269" s="8" t="inlineStr">
        <is>
          <t>COVID-SNL-22-69223</t>
        </is>
      </c>
      <c r="C1269" s="8" t="inlineStr">
        <is>
          <t>KBI78A0XPE</t>
        </is>
      </c>
      <c r="D1269" s="7" t="n">
        <v>25</v>
      </c>
      <c r="E1269" s="7" t="n">
        <v>1190</v>
      </c>
      <c r="F1269" s="7" t="inlineStr">
        <is>
          <t>Yes</t>
        </is>
      </c>
      <c r="G1269" s="8" t="n"/>
    </row>
    <row r="1270">
      <c r="A1270" s="8" t="inlineStr">
        <is>
          <t>PGCV_0025_1191</t>
        </is>
      </c>
      <c r="B1270" s="8" t="inlineStr">
        <is>
          <t>COVID-SNL-22-69242</t>
        </is>
      </c>
      <c r="C1270" s="8" t="inlineStr">
        <is>
          <t>GUF8LWS2EP</t>
        </is>
      </c>
      <c r="D1270" s="7" t="n">
        <v>25</v>
      </c>
      <c r="E1270" s="7" t="n">
        <v>1191</v>
      </c>
      <c r="F1270" s="7" t="inlineStr">
        <is>
          <t>Yes</t>
        </is>
      </c>
      <c r="G1270" s="8" t="n"/>
    </row>
    <row r="1271">
      <c r="A1271" s="8" t="inlineStr">
        <is>
          <t>PGCV_0025_1192</t>
        </is>
      </c>
      <c r="B1271" s="8" t="inlineStr">
        <is>
          <t>COVID-SNL-22-69254</t>
        </is>
      </c>
      <c r="C1271" s="8" t="inlineStr">
        <is>
          <t>4OFWFGAT6S</t>
        </is>
      </c>
      <c r="D1271" s="7" t="n">
        <v>25</v>
      </c>
      <c r="E1271" s="7" t="n">
        <v>1192</v>
      </c>
      <c r="F1271" s="7" t="inlineStr">
        <is>
          <t>Yes</t>
        </is>
      </c>
      <c r="G1271" s="8" t="n"/>
    </row>
    <row r="1272">
      <c r="A1272" s="8" t="inlineStr">
        <is>
          <t>PGCV_0025_1193</t>
        </is>
      </c>
      <c r="B1272" s="8" t="inlineStr">
        <is>
          <t>COVID-SNL-22-69326</t>
        </is>
      </c>
      <c r="C1272" s="8" t="inlineStr">
        <is>
          <t>EBED2XBSAQ</t>
        </is>
      </c>
      <c r="D1272" s="7" t="n">
        <v>25</v>
      </c>
      <c r="E1272" s="7" t="n">
        <v>1193</v>
      </c>
      <c r="F1272" s="7" t="inlineStr">
        <is>
          <t>Yes</t>
        </is>
      </c>
      <c r="G1272" s="8" t="n"/>
    </row>
    <row r="1273">
      <c r="A1273" s="8" t="inlineStr">
        <is>
          <t>PGCV_0025_1194</t>
        </is>
      </c>
      <c r="B1273" s="8" t="inlineStr">
        <is>
          <t>COVID-SNL-22-69327</t>
        </is>
      </c>
      <c r="C1273" s="8" t="inlineStr">
        <is>
          <t>RAVJQKDQUE</t>
        </is>
      </c>
      <c r="D1273" s="7" t="n">
        <v>25</v>
      </c>
      <c r="E1273" s="7" t="n">
        <v>1194</v>
      </c>
      <c r="F1273" s="7" t="inlineStr">
        <is>
          <t>Yes</t>
        </is>
      </c>
      <c r="G1273" s="8" t="n"/>
    </row>
    <row r="1274">
      <c r="A1274" s="8" t="inlineStr">
        <is>
          <t>PGCV_0025_1195</t>
        </is>
      </c>
      <c r="B1274" s="8" t="inlineStr">
        <is>
          <t>COVID-SNL-22-69328</t>
        </is>
      </c>
      <c r="C1274" s="8" t="inlineStr">
        <is>
          <t>FJPUQREVGM</t>
        </is>
      </c>
      <c r="D1274" s="7" t="n">
        <v>25</v>
      </c>
      <c r="E1274" s="7" t="n">
        <v>1195</v>
      </c>
      <c r="F1274" s="7" t="inlineStr">
        <is>
          <t>Yes</t>
        </is>
      </c>
      <c r="G1274" s="8" t="n"/>
    </row>
    <row r="1275">
      <c r="A1275" s="8" t="inlineStr">
        <is>
          <t>PGCV_0025_1196</t>
        </is>
      </c>
      <c r="B1275" s="8" t="inlineStr">
        <is>
          <t>COVID-SNL-22-69344</t>
        </is>
      </c>
      <c r="C1275" s="8" t="inlineStr">
        <is>
          <t>AJQ7GW4CI7</t>
        </is>
      </c>
      <c r="D1275" s="7" t="n">
        <v>25</v>
      </c>
      <c r="E1275" s="7" t="n">
        <v>1196</v>
      </c>
      <c r="F1275" s="7" t="inlineStr">
        <is>
          <t>Yes</t>
        </is>
      </c>
      <c r="G1275" s="8" t="n"/>
    </row>
    <row r="1276">
      <c r="A1276" s="8" t="inlineStr">
        <is>
          <t>PGCV_0025_1197</t>
        </is>
      </c>
      <c r="B1276" s="8" t="inlineStr">
        <is>
          <t>COVID-SNL-22-69143</t>
        </is>
      </c>
      <c r="C1276" s="8" t="inlineStr">
        <is>
          <t>BQ1CDPGNJT</t>
        </is>
      </c>
      <c r="D1276" s="7" t="n">
        <v>25</v>
      </c>
      <c r="E1276" s="7" t="n">
        <v>1197</v>
      </c>
      <c r="F1276" s="7" t="inlineStr">
        <is>
          <t>Yes</t>
        </is>
      </c>
      <c r="G1276" s="8" t="n"/>
    </row>
    <row r="1277">
      <c r="A1277" s="8" t="inlineStr">
        <is>
          <t>PGCV_0025_1198</t>
        </is>
      </c>
      <c r="B1277" s="8" t="inlineStr">
        <is>
          <t>COVID-SNL-22-69370</t>
        </is>
      </c>
      <c r="C1277" s="8" t="inlineStr">
        <is>
          <t>JWVJW5D84M</t>
        </is>
      </c>
      <c r="D1277" s="7" t="n">
        <v>25</v>
      </c>
      <c r="E1277" s="7" t="n">
        <v>1198</v>
      </c>
      <c r="F1277" s="7" t="inlineStr">
        <is>
          <t>Yes</t>
        </is>
      </c>
      <c r="G1277" s="8" t="n"/>
    </row>
    <row r="1278">
      <c r="A1278" s="8" t="inlineStr">
        <is>
          <t>PGCV_0025_1199</t>
        </is>
      </c>
      <c r="B1278" s="8" t="inlineStr">
        <is>
          <t>COVID-SNL-22-69451</t>
        </is>
      </c>
      <c r="C1278" s="8" t="inlineStr">
        <is>
          <t>CPYT8JZFLU</t>
        </is>
      </c>
      <c r="D1278" s="7" t="n">
        <v>25</v>
      </c>
      <c r="E1278" s="7" t="n">
        <v>1199</v>
      </c>
      <c r="F1278" s="7" t="inlineStr">
        <is>
          <t>Yes</t>
        </is>
      </c>
      <c r="G1278" s="8" t="n"/>
    </row>
    <row r="1279">
      <c r="A1279" s="8" t="inlineStr">
        <is>
          <t>PGCV_0025_1200</t>
        </is>
      </c>
      <c r="B1279" s="8" t="inlineStr">
        <is>
          <t>COVID-SNL-22-69454</t>
        </is>
      </c>
      <c r="C1279" s="8" t="inlineStr">
        <is>
          <t>BVZ9PPSKRZ</t>
        </is>
      </c>
      <c r="D1279" s="7" t="n">
        <v>25</v>
      </c>
      <c r="E1279" s="7" t="n">
        <v>1200</v>
      </c>
      <c r="F1279" s="7" t="inlineStr">
        <is>
          <t>No</t>
        </is>
      </c>
      <c r="G1279" s="8" t="n"/>
    </row>
    <row r="1280">
      <c r="A1280" s="8" t="inlineStr">
        <is>
          <t>PGCV_0025_1201</t>
        </is>
      </c>
      <c r="B1280" s="8" t="inlineStr">
        <is>
          <t>COVID-SNL-22-69461</t>
        </is>
      </c>
      <c r="C1280" s="8" t="inlineStr">
        <is>
          <t>X0YMWQSCAG</t>
        </is>
      </c>
      <c r="D1280" s="7" t="n">
        <v>25</v>
      </c>
      <c r="E1280" s="7" t="n">
        <v>1201</v>
      </c>
      <c r="F1280" s="7" t="inlineStr">
        <is>
          <t>Yes</t>
        </is>
      </c>
      <c r="G1280" s="8" t="n"/>
    </row>
    <row r="1281">
      <c r="A1281" s="8" t="inlineStr">
        <is>
          <t>PGCV_0025_1202</t>
        </is>
      </c>
      <c r="B1281" s="8" t="inlineStr">
        <is>
          <t>COVID-SNL-22-69463</t>
        </is>
      </c>
      <c r="C1281" s="8" t="inlineStr">
        <is>
          <t>BJCO5KOXLF</t>
        </is>
      </c>
      <c r="D1281" s="7" t="n">
        <v>25</v>
      </c>
      <c r="E1281" s="7" t="n">
        <v>1202</v>
      </c>
      <c r="F1281" s="7" t="inlineStr">
        <is>
          <t>Yes</t>
        </is>
      </c>
      <c r="G1281" s="8" t="n"/>
    </row>
    <row r="1282">
      <c r="A1282" s="8" t="inlineStr">
        <is>
          <t>PGCV_0025_1203</t>
        </is>
      </c>
      <c r="B1282" s="8" t="inlineStr">
        <is>
          <t>COVID-SNL-22-69473</t>
        </is>
      </c>
      <c r="C1282" s="8" t="inlineStr">
        <is>
          <t>M4JNTCCNP6</t>
        </is>
      </c>
      <c r="D1282" s="7" t="n">
        <v>25</v>
      </c>
      <c r="E1282" s="7" t="n">
        <v>1203</v>
      </c>
      <c r="F1282" s="7" t="inlineStr">
        <is>
          <t>Yes</t>
        </is>
      </c>
      <c r="G1282" s="8" t="n"/>
    </row>
    <row r="1283">
      <c r="A1283" s="8" t="inlineStr">
        <is>
          <t>PGCV_0025_1204</t>
        </is>
      </c>
      <c r="B1283" s="8" t="inlineStr">
        <is>
          <t>COVID-SNL-22-69494</t>
        </is>
      </c>
      <c r="C1283" s="8" t="inlineStr">
        <is>
          <t>IDYBWOELWB</t>
        </is>
      </c>
      <c r="D1283" s="7" t="n">
        <v>25</v>
      </c>
      <c r="E1283" s="7" t="n">
        <v>1204</v>
      </c>
      <c r="F1283" s="7" t="inlineStr">
        <is>
          <t>Yes</t>
        </is>
      </c>
      <c r="G1283" s="8" t="n"/>
    </row>
    <row r="1284">
      <c r="A1284" s="8" t="inlineStr">
        <is>
          <t>PGCV_0025_1205</t>
        </is>
      </c>
      <c r="B1284" s="8" t="inlineStr">
        <is>
          <t>COVID-SNL-22-69430</t>
        </is>
      </c>
      <c r="C1284" s="8" t="inlineStr">
        <is>
          <t>M951GC15WB</t>
        </is>
      </c>
      <c r="D1284" s="7" t="n">
        <v>25</v>
      </c>
      <c r="E1284" s="7" t="n">
        <v>1205</v>
      </c>
      <c r="F1284" s="7" t="inlineStr">
        <is>
          <t>Yes</t>
        </is>
      </c>
      <c r="G1284" s="8" t="n"/>
    </row>
    <row r="1285">
      <c r="A1285" s="8" t="inlineStr">
        <is>
          <t>PGCV_0025_1206</t>
        </is>
      </c>
      <c r="B1285" s="8" t="inlineStr">
        <is>
          <t>COVID-SNL-22-69518</t>
        </is>
      </c>
      <c r="C1285" s="8" t="inlineStr">
        <is>
          <t>MLZL0WC6GN</t>
        </is>
      </c>
      <c r="D1285" s="7" t="n">
        <v>25</v>
      </c>
      <c r="E1285" s="7" t="n">
        <v>1206</v>
      </c>
      <c r="F1285" s="7" t="inlineStr">
        <is>
          <t>Yes</t>
        </is>
      </c>
      <c r="G1285" s="8" t="n"/>
    </row>
    <row r="1286">
      <c r="A1286" s="8" t="inlineStr">
        <is>
          <t>PGCV_0025_1207</t>
        </is>
      </c>
      <c r="B1286" s="8" t="inlineStr">
        <is>
          <t>COVID-SNL-22-69534</t>
        </is>
      </c>
      <c r="C1286" s="8" t="inlineStr">
        <is>
          <t>RJAQIPSSOB</t>
        </is>
      </c>
      <c r="D1286" s="7" t="n">
        <v>25</v>
      </c>
      <c r="E1286" s="7" t="n">
        <v>1207</v>
      </c>
      <c r="F1286" s="7" t="inlineStr">
        <is>
          <t>No</t>
        </is>
      </c>
      <c r="G1286" s="8" t="n"/>
    </row>
    <row r="1287">
      <c r="A1287" s="8" t="inlineStr">
        <is>
          <t>PGCV_0025_1208</t>
        </is>
      </c>
      <c r="B1287" s="8" t="inlineStr">
        <is>
          <t>COVID-SNL-22-69574</t>
        </is>
      </c>
      <c r="C1287" s="8" t="inlineStr">
        <is>
          <t>YSD0V6G83V</t>
        </is>
      </c>
      <c r="D1287" s="7" t="n">
        <v>25</v>
      </c>
      <c r="E1287" s="7" t="n">
        <v>1208</v>
      </c>
      <c r="F1287" s="7" t="inlineStr">
        <is>
          <t>Yes</t>
        </is>
      </c>
      <c r="G1287" s="8" t="n"/>
    </row>
    <row r="1288">
      <c r="A1288" s="8" t="inlineStr">
        <is>
          <t>PGCV_0025_1209</t>
        </is>
      </c>
      <c r="B1288" s="8" t="inlineStr">
        <is>
          <t>COVID-SNL-22-69585</t>
        </is>
      </c>
      <c r="C1288" s="8" t="inlineStr">
        <is>
          <t>R8FRC7BOCQ</t>
        </is>
      </c>
      <c r="D1288" s="7" t="n">
        <v>25</v>
      </c>
      <c r="E1288" s="7" t="n">
        <v>1209</v>
      </c>
      <c r="F1288" s="7" t="inlineStr">
        <is>
          <t>Yes</t>
        </is>
      </c>
      <c r="G1288" s="8" t="n"/>
    </row>
    <row r="1289">
      <c r="A1289" s="8" t="inlineStr">
        <is>
          <t>PGCV_0025_1210</t>
        </is>
      </c>
      <c r="B1289" s="8" t="inlineStr">
        <is>
          <t>COVID-SNL-22-69595</t>
        </is>
      </c>
      <c r="C1289" s="8" t="inlineStr">
        <is>
          <t>B2ZYGXIB7E</t>
        </is>
      </c>
      <c r="D1289" s="7" t="n">
        <v>25</v>
      </c>
      <c r="E1289" s="7" t="n">
        <v>1210</v>
      </c>
      <c r="F1289" s="7" t="inlineStr">
        <is>
          <t>Yes</t>
        </is>
      </c>
      <c r="G1289" s="8" t="n"/>
    </row>
    <row r="1290">
      <c r="A1290" s="8" t="inlineStr">
        <is>
          <t>PGCV_0025_1211</t>
        </is>
      </c>
      <c r="B1290" s="8" t="inlineStr">
        <is>
          <t>COVID-SNL-22-69598</t>
        </is>
      </c>
      <c r="C1290" s="8" t="inlineStr">
        <is>
          <t>KCBXYM0SLV</t>
        </is>
      </c>
      <c r="D1290" s="7" t="n">
        <v>25</v>
      </c>
      <c r="E1290" s="7" t="n">
        <v>1211</v>
      </c>
      <c r="F1290" s="7" t="inlineStr">
        <is>
          <t>Yes</t>
        </is>
      </c>
      <c r="G1290" s="8" t="n"/>
    </row>
    <row r="1291">
      <c r="A1291" s="8" t="inlineStr">
        <is>
          <t>PGCV_0025_1212</t>
        </is>
      </c>
      <c r="B1291" s="8" t="inlineStr">
        <is>
          <t>COVID-SNL-22-69613</t>
        </is>
      </c>
      <c r="C1291" s="8" t="inlineStr">
        <is>
          <t>QX41JCKINR</t>
        </is>
      </c>
      <c r="D1291" s="7" t="n">
        <v>25</v>
      </c>
      <c r="E1291" s="7" t="n">
        <v>1212</v>
      </c>
      <c r="F1291" s="7" t="inlineStr">
        <is>
          <t>Yes</t>
        </is>
      </c>
      <c r="G1291" s="8" t="n"/>
    </row>
    <row r="1292">
      <c r="A1292" s="8" t="inlineStr">
        <is>
          <t>PGCV_0025_1213</t>
        </is>
      </c>
      <c r="B1292" s="8" t="inlineStr">
        <is>
          <t>COVID-SNL-22-69617</t>
        </is>
      </c>
      <c r="C1292" s="8" t="inlineStr">
        <is>
          <t>EWR0CHT1US</t>
        </is>
      </c>
      <c r="D1292" s="7" t="n">
        <v>25</v>
      </c>
      <c r="E1292" s="7" t="n">
        <v>1213</v>
      </c>
      <c r="F1292" s="7" t="inlineStr">
        <is>
          <t>Yes</t>
        </is>
      </c>
      <c r="G1292" s="8" t="n"/>
    </row>
    <row r="1293">
      <c r="A1293" s="8" t="inlineStr">
        <is>
          <t>PGCV_0025_1214</t>
        </is>
      </c>
      <c r="B1293" s="8" t="inlineStr">
        <is>
          <t>COVID-SNL-22-69618</t>
        </is>
      </c>
      <c r="C1293" s="8" t="inlineStr">
        <is>
          <t>WXUCQJGPCN</t>
        </is>
      </c>
      <c r="D1293" s="7" t="n">
        <v>25</v>
      </c>
      <c r="E1293" s="7" t="n">
        <v>1214</v>
      </c>
      <c r="F1293" s="7" t="inlineStr">
        <is>
          <t>Yes</t>
        </is>
      </c>
      <c r="G1293" s="8" t="n"/>
    </row>
    <row r="1294">
      <c r="A1294" s="8" t="inlineStr">
        <is>
          <t>PGCV_0025_1215</t>
        </is>
      </c>
      <c r="B1294" s="8" t="inlineStr">
        <is>
          <t>COVID-SNL-22-69639</t>
        </is>
      </c>
      <c r="C1294" s="8" t="inlineStr">
        <is>
          <t>BAHSCCO04E</t>
        </is>
      </c>
      <c r="D1294" s="7" t="n">
        <v>25</v>
      </c>
      <c r="E1294" s="7" t="n">
        <v>1215</v>
      </c>
      <c r="F1294" s="7" t="inlineStr">
        <is>
          <t>Yes</t>
        </is>
      </c>
      <c r="G1294" s="8" t="n"/>
    </row>
    <row r="1295">
      <c r="A1295" s="8" t="inlineStr">
        <is>
          <t>PGCV_0025_1216</t>
        </is>
      </c>
      <c r="B1295" s="8" t="inlineStr">
        <is>
          <t>COVID-SNL-22-69642</t>
        </is>
      </c>
      <c r="C1295" s="8" t="inlineStr">
        <is>
          <t>D8R4OH6E0I</t>
        </is>
      </c>
      <c r="D1295" s="7" t="n">
        <v>25</v>
      </c>
      <c r="E1295" s="7" t="n">
        <v>1216</v>
      </c>
      <c r="F1295" s="7" t="inlineStr">
        <is>
          <t>Yes</t>
        </is>
      </c>
      <c r="G1295" s="8" t="n"/>
    </row>
    <row r="1296">
      <c r="A1296" s="8" t="inlineStr">
        <is>
          <t>PGCV_0025_1217</t>
        </is>
      </c>
      <c r="B1296" s="8" t="inlineStr">
        <is>
          <t>COVID-SNL-22-69661</t>
        </is>
      </c>
      <c r="C1296" s="8" t="inlineStr">
        <is>
          <t>ZMME0CAJCK</t>
        </is>
      </c>
      <c r="D1296" s="7" t="n">
        <v>25</v>
      </c>
      <c r="E1296" s="7" t="n">
        <v>1217</v>
      </c>
      <c r="F1296" s="7" t="inlineStr">
        <is>
          <t>Yes</t>
        </is>
      </c>
      <c r="G1296" s="8" t="n"/>
    </row>
    <row r="1297">
      <c r="A1297" s="8" t="inlineStr">
        <is>
          <t>PGCV_0025_1218</t>
        </is>
      </c>
      <c r="B1297" s="8" t="inlineStr">
        <is>
          <t>COVID-SNL-22-69690</t>
        </is>
      </c>
      <c r="C1297" s="8" t="inlineStr">
        <is>
          <t>S6RJY3WZJG</t>
        </is>
      </c>
      <c r="D1297" s="7" t="n">
        <v>25</v>
      </c>
      <c r="E1297" s="7" t="n">
        <v>1218</v>
      </c>
      <c r="F1297" s="7" t="inlineStr">
        <is>
          <t>Yes</t>
        </is>
      </c>
      <c r="G1297" s="8" t="n"/>
    </row>
    <row r="1298">
      <c r="A1298" s="8" t="inlineStr">
        <is>
          <t>PGCV_0025_1219</t>
        </is>
      </c>
      <c r="B1298" s="8" t="inlineStr">
        <is>
          <t>COVID-SNL-22-69691</t>
        </is>
      </c>
      <c r="C1298" s="8" t="inlineStr">
        <is>
          <t>DBY2KPK68E</t>
        </is>
      </c>
      <c r="D1298" s="7" t="n">
        <v>25</v>
      </c>
      <c r="E1298" s="7" t="n">
        <v>1219</v>
      </c>
      <c r="F1298" s="7" t="inlineStr">
        <is>
          <t>Yes</t>
        </is>
      </c>
      <c r="G1298" s="8" t="n"/>
    </row>
    <row r="1299">
      <c r="A1299" s="8" t="inlineStr">
        <is>
          <t>PGCV_0025_1220</t>
        </is>
      </c>
      <c r="B1299" s="8" t="inlineStr">
        <is>
          <t>COVID-SNL-22-69695</t>
        </is>
      </c>
      <c r="C1299" s="8" t="inlineStr">
        <is>
          <t>6PK9FZHGZB</t>
        </is>
      </c>
      <c r="D1299" s="7" t="n">
        <v>25</v>
      </c>
      <c r="E1299" s="7" t="n">
        <v>1220</v>
      </c>
      <c r="F1299" s="7" t="inlineStr">
        <is>
          <t>Yes</t>
        </is>
      </c>
      <c r="G1299" s="8" t="n"/>
    </row>
    <row r="1300">
      <c r="A1300" s="8" t="inlineStr">
        <is>
          <t>PGCV_0025_1221</t>
        </is>
      </c>
      <c r="B1300" s="8" t="inlineStr">
        <is>
          <t>COVID-SNL-22-69696</t>
        </is>
      </c>
      <c r="C1300" s="8" t="inlineStr">
        <is>
          <t>Z7JKCGMIJI</t>
        </is>
      </c>
      <c r="D1300" s="7" t="n">
        <v>25</v>
      </c>
      <c r="E1300" s="7" t="n">
        <v>1221</v>
      </c>
      <c r="F1300" s="7" t="inlineStr">
        <is>
          <t>Yes</t>
        </is>
      </c>
      <c r="G1300" s="8" t="n"/>
    </row>
    <row r="1301">
      <c r="A1301" s="8" t="inlineStr">
        <is>
          <t>PGCV_0025_1222</t>
        </is>
      </c>
      <c r="B1301" s="8" t="inlineStr">
        <is>
          <t>COVID-SNL-22-69700</t>
        </is>
      </c>
      <c r="C1301" s="8" t="inlineStr">
        <is>
          <t>UPJCE95F90</t>
        </is>
      </c>
      <c r="D1301" s="7" t="n">
        <v>25</v>
      </c>
      <c r="E1301" s="7" t="n">
        <v>1222</v>
      </c>
      <c r="F1301" s="7" t="inlineStr">
        <is>
          <t>Yes</t>
        </is>
      </c>
      <c r="G1301" s="8" t="n"/>
    </row>
    <row r="1302">
      <c r="A1302" s="8" t="inlineStr">
        <is>
          <t>PGCV_0025_1223</t>
        </is>
      </c>
      <c r="B1302" s="8" t="inlineStr">
        <is>
          <t>COVID-SNL-22-69702</t>
        </is>
      </c>
      <c r="C1302" s="8" t="inlineStr">
        <is>
          <t>FBIHTHSUII</t>
        </is>
      </c>
      <c r="D1302" s="7" t="n">
        <v>25</v>
      </c>
      <c r="E1302" s="7" t="n">
        <v>1223</v>
      </c>
      <c r="F1302" s="7" t="inlineStr">
        <is>
          <t>Yes</t>
        </is>
      </c>
      <c r="G1302" s="8" t="n"/>
    </row>
    <row r="1303">
      <c r="A1303" s="8" t="inlineStr">
        <is>
          <t>PGCV_0025_1224</t>
        </is>
      </c>
      <c r="B1303" s="8" t="inlineStr">
        <is>
          <t>COVID-SNL-22-69712</t>
        </is>
      </c>
      <c r="C1303" s="8" t="inlineStr">
        <is>
          <t>6MQWAU2QMI</t>
        </is>
      </c>
      <c r="D1303" s="7" t="n">
        <v>25</v>
      </c>
      <c r="E1303" s="7" t="n">
        <v>1224</v>
      </c>
      <c r="F1303" s="7" t="inlineStr">
        <is>
          <t>Yes</t>
        </is>
      </c>
      <c r="G1303" s="8" t="n"/>
    </row>
    <row r="1304">
      <c r="A1304" s="8" t="inlineStr">
        <is>
          <t>PGCV_0025_1225</t>
        </is>
      </c>
      <c r="B1304" s="8" t="inlineStr">
        <is>
          <t>COVID-SNL-22-69721</t>
        </is>
      </c>
      <c r="C1304" s="8" t="inlineStr">
        <is>
          <t>2S7FXPIJAF</t>
        </is>
      </c>
      <c r="D1304" s="7" t="n">
        <v>25</v>
      </c>
      <c r="E1304" s="7" t="n">
        <v>1225</v>
      </c>
      <c r="F1304" s="7" t="inlineStr">
        <is>
          <t>Yes</t>
        </is>
      </c>
      <c r="G1304" s="8" t="n"/>
    </row>
    <row r="1305">
      <c r="A1305" s="8" t="inlineStr">
        <is>
          <t>PGCV_0025_1226</t>
        </is>
      </c>
      <c r="B1305" s="8" t="inlineStr">
        <is>
          <t>COVID-SNL-22-69792</t>
        </is>
      </c>
      <c r="C1305" s="8" t="inlineStr">
        <is>
          <t>QU8MYIB4IP</t>
        </is>
      </c>
      <c r="D1305" s="7" t="n">
        <v>25</v>
      </c>
      <c r="E1305" s="7" t="n">
        <v>1226</v>
      </c>
      <c r="F1305" s="7" t="inlineStr">
        <is>
          <t>Yes</t>
        </is>
      </c>
      <c r="G1305" s="8" t="n"/>
    </row>
    <row r="1306">
      <c r="A1306" s="8" t="inlineStr">
        <is>
          <t>PGCV_0025_1227</t>
        </is>
      </c>
      <c r="B1306" s="8" t="inlineStr">
        <is>
          <t>COVID-SNL-22-68360</t>
        </is>
      </c>
      <c r="C1306" s="8" t="inlineStr">
        <is>
          <t>4JULJNRIUG</t>
        </is>
      </c>
      <c r="D1306" s="7" t="n">
        <v>25</v>
      </c>
      <c r="E1306" s="7" t="n">
        <v>1227</v>
      </c>
      <c r="F1306" s="7" t="inlineStr">
        <is>
          <t>Yes</t>
        </is>
      </c>
      <c r="G1306" s="12" t="inlineStr">
        <is>
          <t>specimen also sequenced as PGCV_0025_1125</t>
        </is>
      </c>
    </row>
    <row r="1307">
      <c r="A1307" s="8" t="inlineStr">
        <is>
          <t>PGCV_0025_1228</t>
        </is>
      </c>
      <c r="B1307" s="8" t="inlineStr">
        <is>
          <t>COVID-SNL-22-69812</t>
        </is>
      </c>
      <c r="C1307" s="8" t="inlineStr">
        <is>
          <t>JMDZW5HKQF</t>
        </is>
      </c>
      <c r="D1307" s="7" t="n">
        <v>25</v>
      </c>
      <c r="E1307" s="7" t="n">
        <v>1228</v>
      </c>
      <c r="F1307" s="7" t="inlineStr">
        <is>
          <t>Yes</t>
        </is>
      </c>
      <c r="G1307" s="8" t="n"/>
    </row>
    <row r="1308">
      <c r="A1308" s="8" t="inlineStr">
        <is>
          <t>PGCV_0025_1229</t>
        </is>
      </c>
      <c r="B1308" s="8" t="inlineStr">
        <is>
          <t>COVID-SNL-22-69831</t>
        </is>
      </c>
      <c r="C1308" s="8" t="inlineStr">
        <is>
          <t>X3A9ULFE46</t>
        </is>
      </c>
      <c r="D1308" s="7" t="n">
        <v>25</v>
      </c>
      <c r="E1308" s="7" t="n">
        <v>1229</v>
      </c>
      <c r="F1308" s="7" t="inlineStr">
        <is>
          <t>Yes</t>
        </is>
      </c>
      <c r="G1308" s="8" t="n"/>
    </row>
    <row r="1309">
      <c r="A1309" s="8" t="inlineStr">
        <is>
          <t>PGCV_0025_1230</t>
        </is>
      </c>
      <c r="B1309" s="8" t="inlineStr">
        <is>
          <t>COVID-SNL-22-69838</t>
        </is>
      </c>
      <c r="C1309" s="8" t="inlineStr">
        <is>
          <t>U3LS8JS2BY</t>
        </is>
      </c>
      <c r="D1309" s="7" t="n">
        <v>25</v>
      </c>
      <c r="E1309" s="7" t="n">
        <v>1230</v>
      </c>
      <c r="F1309" s="7" t="inlineStr">
        <is>
          <t>Yes</t>
        </is>
      </c>
      <c r="G1309" s="8" t="n"/>
    </row>
    <row r="1310">
      <c r="A1310" s="8" t="inlineStr">
        <is>
          <t>PGCV_0025_1231</t>
        </is>
      </c>
      <c r="B1310" s="8" t="inlineStr">
        <is>
          <t>COVID-SNL-22-69853</t>
        </is>
      </c>
      <c r="C1310" s="8" t="inlineStr">
        <is>
          <t>O51MFPQO4E</t>
        </is>
      </c>
      <c r="D1310" s="7" t="n">
        <v>25</v>
      </c>
      <c r="E1310" s="7" t="n">
        <v>1231</v>
      </c>
      <c r="F1310" s="7" t="inlineStr">
        <is>
          <t>Yes</t>
        </is>
      </c>
      <c r="G1310" s="8" t="n"/>
    </row>
    <row r="1311">
      <c r="A1311" s="8" t="inlineStr">
        <is>
          <t>PGCV_0025_1232</t>
        </is>
      </c>
      <c r="B1311" s="8" t="inlineStr">
        <is>
          <t>COVID-SNL-22-69867</t>
        </is>
      </c>
      <c r="C1311" s="8" t="inlineStr">
        <is>
          <t>CAFRFTYYZB</t>
        </is>
      </c>
      <c r="D1311" s="7" t="n">
        <v>25</v>
      </c>
      <c r="E1311" s="7" t="n">
        <v>1232</v>
      </c>
      <c r="F1311" s="7" t="inlineStr">
        <is>
          <t>Yes</t>
        </is>
      </c>
      <c r="G1311" s="8" t="n"/>
    </row>
    <row r="1312">
      <c r="A1312" s="8" t="inlineStr">
        <is>
          <t>PGCV_0025_1233</t>
        </is>
      </c>
      <c r="B1312" s="8" t="inlineStr">
        <is>
          <t>COVID-SNL-22-69891</t>
        </is>
      </c>
      <c r="C1312" s="8" t="inlineStr">
        <is>
          <t>LHGM61V5Y1</t>
        </is>
      </c>
      <c r="D1312" s="7" t="n">
        <v>25</v>
      </c>
      <c r="E1312" s="7" t="n">
        <v>1233</v>
      </c>
      <c r="F1312" s="7" t="inlineStr">
        <is>
          <t>Yes</t>
        </is>
      </c>
      <c r="G1312" s="8" t="n"/>
    </row>
    <row r="1313">
      <c r="A1313" s="8" t="inlineStr">
        <is>
          <t>PGCV_0025_1234</t>
        </is>
      </c>
      <c r="B1313" s="8" t="inlineStr">
        <is>
          <t>COVID-SNL-22-69907</t>
        </is>
      </c>
      <c r="C1313" s="8" t="inlineStr">
        <is>
          <t>IGTQV6RRAY</t>
        </is>
      </c>
      <c r="D1313" s="7" t="n">
        <v>25</v>
      </c>
      <c r="E1313" s="7" t="n">
        <v>1234</v>
      </c>
      <c r="F1313" s="7" t="inlineStr">
        <is>
          <t>Yes</t>
        </is>
      </c>
      <c r="G1313" s="8" t="n"/>
    </row>
    <row r="1314">
      <c r="A1314" s="8" t="inlineStr">
        <is>
          <t>PGCV_0025_1235</t>
        </is>
      </c>
      <c r="B1314" s="8" t="inlineStr">
        <is>
          <t>COVID-SNL-22-69850</t>
        </is>
      </c>
      <c r="C1314" s="8" t="inlineStr">
        <is>
          <t>JD6GXGO1FZ</t>
        </is>
      </c>
      <c r="D1314" s="7" t="n">
        <v>25</v>
      </c>
      <c r="E1314" s="7" t="n">
        <v>1235</v>
      </c>
      <c r="F1314" s="7" t="inlineStr">
        <is>
          <t>Yes</t>
        </is>
      </c>
      <c r="G1314" s="8" t="n"/>
    </row>
    <row r="1315">
      <c r="A1315" s="8" t="inlineStr">
        <is>
          <t>PGCV_0025_1236</t>
        </is>
      </c>
      <c r="B1315" s="8" t="inlineStr">
        <is>
          <t>COVID-SNL-22-69919</t>
        </is>
      </c>
      <c r="C1315" s="8" t="inlineStr">
        <is>
          <t>IVCYOENFVB</t>
        </is>
      </c>
      <c r="D1315" s="7" t="n">
        <v>25</v>
      </c>
      <c r="E1315" s="7" t="n">
        <v>1236</v>
      </c>
      <c r="F1315" s="7" t="inlineStr">
        <is>
          <t>Yes</t>
        </is>
      </c>
      <c r="G1315" s="8" t="n"/>
    </row>
    <row r="1316">
      <c r="A1316" s="8" t="inlineStr">
        <is>
          <t>PGCV_0025_1237</t>
        </is>
      </c>
      <c r="B1316" s="8" t="inlineStr">
        <is>
          <t>COVID-SNL-22-69920</t>
        </is>
      </c>
      <c r="C1316" s="8" t="inlineStr">
        <is>
          <t>CJVY3NUQSC</t>
        </is>
      </c>
      <c r="D1316" s="7" t="n">
        <v>25</v>
      </c>
      <c r="E1316" s="7" t="n">
        <v>1237</v>
      </c>
      <c r="F1316" s="7" t="inlineStr">
        <is>
          <t>Yes</t>
        </is>
      </c>
      <c r="G1316" s="8" t="n"/>
    </row>
    <row r="1317">
      <c r="A1317" s="8" t="inlineStr">
        <is>
          <t>PGCV_0025_1238</t>
        </is>
      </c>
      <c r="B1317" s="8" t="inlineStr">
        <is>
          <t>COVID-SNL-22-69925</t>
        </is>
      </c>
      <c r="C1317" s="8" t="inlineStr">
        <is>
          <t>VRZFGEK4PJ</t>
        </is>
      </c>
      <c r="D1317" s="7" t="n">
        <v>25</v>
      </c>
      <c r="E1317" s="7" t="n">
        <v>1238</v>
      </c>
      <c r="F1317" s="7" t="inlineStr">
        <is>
          <t>Yes</t>
        </is>
      </c>
      <c r="G1317" s="8" t="n"/>
    </row>
    <row r="1318">
      <c r="A1318" s="8" t="inlineStr">
        <is>
          <t>PGCV_0025_1239</t>
        </is>
      </c>
      <c r="B1318" s="8" t="inlineStr">
        <is>
          <t>COVID-SNL-22-69929</t>
        </is>
      </c>
      <c r="C1318" s="8" t="inlineStr">
        <is>
          <t>8QSVNVQUED</t>
        </is>
      </c>
      <c r="D1318" s="7" t="n">
        <v>25</v>
      </c>
      <c r="E1318" s="7" t="n">
        <v>1239</v>
      </c>
      <c r="F1318" s="7" t="inlineStr">
        <is>
          <t>Yes</t>
        </is>
      </c>
      <c r="G1318" s="8" t="n"/>
    </row>
    <row r="1319">
      <c r="A1319" s="8" t="inlineStr">
        <is>
          <t>PGCV_0025_1240</t>
        </is>
      </c>
      <c r="B1319" s="8" t="inlineStr">
        <is>
          <t>COVID-SNL-22-69967</t>
        </is>
      </c>
      <c r="C1319" s="8" t="inlineStr">
        <is>
          <t>PWITW3TEQY</t>
        </is>
      </c>
      <c r="D1319" s="7" t="n">
        <v>25</v>
      </c>
      <c r="E1319" s="7" t="n">
        <v>1240</v>
      </c>
      <c r="F1319" s="7" t="inlineStr">
        <is>
          <t>Yes</t>
        </is>
      </c>
      <c r="G1319" s="8" t="n"/>
    </row>
    <row r="1320">
      <c r="A1320" s="8" t="inlineStr">
        <is>
          <t>PGCV_0025_1241</t>
        </is>
      </c>
      <c r="B1320" s="8" t="inlineStr">
        <is>
          <t>COVID-SNL-22-69968</t>
        </is>
      </c>
      <c r="C1320" s="8" t="inlineStr">
        <is>
          <t>BP4TO1GFGR</t>
        </is>
      </c>
      <c r="D1320" s="7" t="n">
        <v>25</v>
      </c>
      <c r="E1320" s="7" t="n">
        <v>1241</v>
      </c>
      <c r="F1320" s="7" t="inlineStr">
        <is>
          <t>Yes</t>
        </is>
      </c>
      <c r="G1320" s="8" t="n"/>
    </row>
    <row r="1321">
      <c r="A1321" s="8" t="inlineStr">
        <is>
          <t>PGCV_0025_1242</t>
        </is>
      </c>
      <c r="B1321" s="8" t="inlineStr">
        <is>
          <t>COVID-SNL-22-69969</t>
        </is>
      </c>
      <c r="C1321" s="8" t="inlineStr">
        <is>
          <t>W3I3IPV6PI</t>
        </is>
      </c>
      <c r="D1321" s="7" t="n">
        <v>25</v>
      </c>
      <c r="E1321" s="7" t="n">
        <v>1242</v>
      </c>
      <c r="F1321" s="7" t="inlineStr">
        <is>
          <t>No</t>
        </is>
      </c>
      <c r="G1321" s="8" t="n"/>
    </row>
    <row r="1322">
      <c r="A1322" s="8" t="inlineStr">
        <is>
          <t>PGCV_0025_1243</t>
        </is>
      </c>
      <c r="B1322" s="8" t="inlineStr">
        <is>
          <t>COVID-SNL-22-69971</t>
        </is>
      </c>
      <c r="C1322" s="8" t="inlineStr">
        <is>
          <t>QRMATPD7VE</t>
        </is>
      </c>
      <c r="D1322" s="7" t="n">
        <v>25</v>
      </c>
      <c r="E1322" s="7" t="n">
        <v>1243</v>
      </c>
      <c r="F1322" s="7" t="inlineStr">
        <is>
          <t>No</t>
        </is>
      </c>
      <c r="G1322" s="8" t="n"/>
    </row>
    <row r="1323">
      <c r="A1323" s="8" t="inlineStr">
        <is>
          <t>PGCV_0025_1244</t>
        </is>
      </c>
      <c r="B1323" s="8" t="inlineStr">
        <is>
          <t>COVID-SNL-22-69981</t>
        </is>
      </c>
      <c r="C1323" s="8" t="inlineStr">
        <is>
          <t>ADLYVMSJZK</t>
        </is>
      </c>
      <c r="D1323" s="7" t="n">
        <v>25</v>
      </c>
      <c r="E1323" s="7" t="n">
        <v>1244</v>
      </c>
      <c r="F1323" s="7" t="inlineStr">
        <is>
          <t>Yes</t>
        </is>
      </c>
      <c r="G1323" s="8" t="n"/>
    </row>
    <row r="1324">
      <c r="A1324" s="8" t="inlineStr">
        <is>
          <t>PGCV_0025_1245</t>
        </is>
      </c>
      <c r="B1324" s="8" t="inlineStr">
        <is>
          <t>COVID-SNL-22-69988</t>
        </is>
      </c>
      <c r="C1324" s="8" t="inlineStr">
        <is>
          <t>QDCN3HNM4W</t>
        </is>
      </c>
      <c r="D1324" s="7" t="n">
        <v>25</v>
      </c>
      <c r="E1324" s="7" t="n">
        <v>1245</v>
      </c>
      <c r="F1324" s="7" t="inlineStr">
        <is>
          <t>No</t>
        </is>
      </c>
      <c r="G1324" s="8" t="n"/>
    </row>
    <row r="1325">
      <c r="A1325" s="8" t="inlineStr">
        <is>
          <t>PGCV_0025_1246</t>
        </is>
      </c>
      <c r="B1325" s="8" t="inlineStr">
        <is>
          <t>COVID-SNL-22-69994</t>
        </is>
      </c>
      <c r="C1325" s="8" t="inlineStr">
        <is>
          <t>RLK4C2BKIF</t>
        </is>
      </c>
      <c r="D1325" s="7" t="n">
        <v>25</v>
      </c>
      <c r="E1325" s="7" t="n">
        <v>1246</v>
      </c>
      <c r="F1325" s="7" t="inlineStr">
        <is>
          <t>Yes</t>
        </is>
      </c>
      <c r="G1325" s="8" t="n"/>
    </row>
    <row r="1326">
      <c r="A1326" s="8" t="inlineStr">
        <is>
          <t>PGCV_0025_1247</t>
        </is>
      </c>
      <c r="B1326" s="8" t="inlineStr">
        <is>
          <t>COVID-SNL-22-70008</t>
        </is>
      </c>
      <c r="C1326" s="8" t="inlineStr">
        <is>
          <t>ND8RRVBDRZ</t>
        </is>
      </c>
      <c r="D1326" s="7" t="n">
        <v>25</v>
      </c>
      <c r="E1326" s="7" t="n">
        <v>1247</v>
      </c>
      <c r="F1326" s="7" t="inlineStr">
        <is>
          <t>Yes</t>
        </is>
      </c>
      <c r="G1326" s="8" t="n"/>
    </row>
    <row r="1327">
      <c r="A1327" s="8" t="inlineStr">
        <is>
          <t>PGCV_0025_1248</t>
        </is>
      </c>
      <c r="B1327" s="8" t="inlineStr">
        <is>
          <t>COVID-SNL-22-70017</t>
        </is>
      </c>
      <c r="C1327" s="8" t="inlineStr">
        <is>
          <t>0OOEONFIEG</t>
        </is>
      </c>
      <c r="D1327" s="7" t="n">
        <v>25</v>
      </c>
      <c r="E1327" s="7" t="n">
        <v>1248</v>
      </c>
      <c r="F1327" s="7" t="inlineStr">
        <is>
          <t>Yes</t>
        </is>
      </c>
      <c r="G1327" s="8" t="n"/>
    </row>
    <row r="1328">
      <c r="A1328" s="8" t="inlineStr">
        <is>
          <t>PGCV_0025_1249</t>
        </is>
      </c>
      <c r="B1328" s="8" t="inlineStr">
        <is>
          <t>COVID-SNL-22-70019</t>
        </is>
      </c>
      <c r="C1328" s="8" t="inlineStr">
        <is>
          <t>T20QMJRDRD</t>
        </is>
      </c>
      <c r="D1328" s="7" t="n">
        <v>25</v>
      </c>
      <c r="E1328" s="7" t="n">
        <v>1249</v>
      </c>
      <c r="F1328" s="7" t="inlineStr">
        <is>
          <t>Yes</t>
        </is>
      </c>
      <c r="G1328" s="8" t="n"/>
    </row>
    <row r="1329">
      <c r="A1329" s="8" t="inlineStr">
        <is>
          <t>PGCV_0025_1250</t>
        </is>
      </c>
      <c r="B1329" s="8" t="inlineStr">
        <is>
          <t>COVID-SNL-22-70024</t>
        </is>
      </c>
      <c r="C1329" s="8" t="inlineStr">
        <is>
          <t>FXFYXFVDHV</t>
        </is>
      </c>
      <c r="D1329" s="7" t="n">
        <v>25</v>
      </c>
      <c r="E1329" s="7" t="n">
        <v>1250</v>
      </c>
      <c r="F1329" s="7" t="inlineStr">
        <is>
          <t>Yes</t>
        </is>
      </c>
      <c r="G1329" s="8" t="n"/>
    </row>
    <row r="1330">
      <c r="A1330" s="8" t="inlineStr">
        <is>
          <t>PGCV_0025_1251</t>
        </is>
      </c>
      <c r="B1330" s="8" t="inlineStr">
        <is>
          <t>COVID-SNL-22-70029</t>
        </is>
      </c>
      <c r="C1330" s="8" t="inlineStr">
        <is>
          <t>XYMP0MTGR7</t>
        </is>
      </c>
      <c r="D1330" s="7" t="n">
        <v>25</v>
      </c>
      <c r="E1330" s="7" t="n">
        <v>1251</v>
      </c>
      <c r="F1330" s="7" t="inlineStr">
        <is>
          <t>Yes</t>
        </is>
      </c>
      <c r="G1330" s="8" t="n"/>
    </row>
    <row r="1331">
      <c r="A1331" s="8" t="inlineStr">
        <is>
          <t>PGCV_0025_1252</t>
        </is>
      </c>
      <c r="B1331" s="8" t="inlineStr">
        <is>
          <t>COVID-SNL-22-70033</t>
        </is>
      </c>
      <c r="C1331" s="8" t="inlineStr">
        <is>
          <t>3CDTUANA2L</t>
        </is>
      </c>
      <c r="D1331" s="7" t="n">
        <v>25</v>
      </c>
      <c r="E1331" s="7" t="n">
        <v>1252</v>
      </c>
      <c r="F1331" s="7" t="inlineStr">
        <is>
          <t>Yes</t>
        </is>
      </c>
      <c r="G1331" s="8" t="n"/>
    </row>
    <row r="1332">
      <c r="A1332" s="8" t="inlineStr">
        <is>
          <t>PGCV_0025_1253</t>
        </is>
      </c>
      <c r="B1332" s="8" t="inlineStr">
        <is>
          <t>COVID-SNL-22-70034</t>
        </is>
      </c>
      <c r="C1332" s="8" t="inlineStr">
        <is>
          <t>HNQBSSMFGS</t>
        </is>
      </c>
      <c r="D1332" s="7" t="n">
        <v>25</v>
      </c>
      <c r="E1332" s="7" t="n">
        <v>1253</v>
      </c>
      <c r="F1332" s="7" t="inlineStr">
        <is>
          <t>Yes</t>
        </is>
      </c>
      <c r="G1332" s="8" t="n"/>
    </row>
    <row r="1333">
      <c r="A1333" s="8" t="inlineStr">
        <is>
          <t>PGCV_0025_1254</t>
        </is>
      </c>
      <c r="B1333" s="8" t="inlineStr">
        <is>
          <t>COVID-SNL-22-70037</t>
        </is>
      </c>
      <c r="C1333" s="8" t="inlineStr">
        <is>
          <t>X1TJXWYRPU</t>
        </is>
      </c>
      <c r="D1333" s="7" t="n">
        <v>25</v>
      </c>
      <c r="E1333" s="7" t="n">
        <v>1254</v>
      </c>
      <c r="F1333" s="7" t="inlineStr">
        <is>
          <t>Yes</t>
        </is>
      </c>
      <c r="G1333" s="8" t="n"/>
    </row>
    <row r="1334">
      <c r="A1334" s="8" t="inlineStr">
        <is>
          <t>PGCV_0025_1255</t>
        </is>
      </c>
      <c r="B1334" s="8" t="inlineStr">
        <is>
          <t>COVID-SNL-22-70043</t>
        </is>
      </c>
      <c r="C1334" s="8" t="inlineStr">
        <is>
          <t>CCAQLXYCD2</t>
        </is>
      </c>
      <c r="D1334" s="7" t="n">
        <v>25</v>
      </c>
      <c r="E1334" s="7" t="n">
        <v>1255</v>
      </c>
      <c r="F1334" s="7" t="inlineStr">
        <is>
          <t>Yes</t>
        </is>
      </c>
      <c r="G1334" s="8" t="n"/>
    </row>
    <row r="1335">
      <c r="A1335" s="8" t="inlineStr">
        <is>
          <t>PGCV_0025_1256</t>
        </is>
      </c>
      <c r="B1335" s="8" t="inlineStr">
        <is>
          <t>COVID-SNL-22-70053</t>
        </is>
      </c>
      <c r="C1335" s="8" t="inlineStr">
        <is>
          <t>TXNWLQZ5WI</t>
        </is>
      </c>
      <c r="D1335" s="7" t="n">
        <v>25</v>
      </c>
      <c r="E1335" s="7" t="n">
        <v>1256</v>
      </c>
      <c r="F1335" s="7" t="inlineStr">
        <is>
          <t>Yes</t>
        </is>
      </c>
      <c r="G1335" s="8" t="n"/>
    </row>
    <row r="1336">
      <c r="A1336" s="8" t="inlineStr">
        <is>
          <t>PGCV_0025_1257</t>
        </is>
      </c>
      <c r="B1336" s="8" t="inlineStr">
        <is>
          <t>COVID-SNL-22-70054</t>
        </is>
      </c>
      <c r="C1336" s="8" t="inlineStr">
        <is>
          <t>AI4DGGMQUE</t>
        </is>
      </c>
      <c r="D1336" s="7" t="n">
        <v>25</v>
      </c>
      <c r="E1336" s="7" t="n">
        <v>1257</v>
      </c>
      <c r="F1336" s="7" t="inlineStr">
        <is>
          <t>Yes</t>
        </is>
      </c>
      <c r="G1336" s="8" t="n"/>
    </row>
    <row r="1337">
      <c r="A1337" s="8" t="inlineStr">
        <is>
          <t>PGCV_0025_1258</t>
        </is>
      </c>
      <c r="B1337" s="8" t="inlineStr">
        <is>
          <t>COVID-SNL-22-70055</t>
        </is>
      </c>
      <c r="C1337" s="8" t="inlineStr">
        <is>
          <t>JKHDBLF7IU</t>
        </is>
      </c>
      <c r="D1337" s="7" t="n">
        <v>25</v>
      </c>
      <c r="E1337" s="7" t="n">
        <v>1258</v>
      </c>
      <c r="F1337" s="7" t="inlineStr">
        <is>
          <t>Yes</t>
        </is>
      </c>
      <c r="G1337" s="8" t="n"/>
    </row>
    <row r="1338">
      <c r="A1338" s="8" t="inlineStr">
        <is>
          <t>PGCV_0025_1259</t>
        </is>
      </c>
      <c r="B1338" s="8" t="inlineStr">
        <is>
          <t>COVID-SNL-22-70059</t>
        </is>
      </c>
      <c r="C1338" s="8" t="inlineStr">
        <is>
          <t>ERLBESYAWT</t>
        </is>
      </c>
      <c r="D1338" s="7" t="n">
        <v>25</v>
      </c>
      <c r="E1338" s="7" t="n">
        <v>1259</v>
      </c>
      <c r="F1338" s="7" t="inlineStr">
        <is>
          <t>Yes</t>
        </is>
      </c>
      <c r="G1338" s="8" t="n"/>
    </row>
    <row r="1339">
      <c r="A1339" s="8" t="inlineStr">
        <is>
          <t>PGCV_0025_1260</t>
        </is>
      </c>
      <c r="B1339" s="8" t="inlineStr">
        <is>
          <t>COVID-SNL-22-70060</t>
        </is>
      </c>
      <c r="C1339" s="8" t="inlineStr">
        <is>
          <t>WDQYSWN5Z0</t>
        </is>
      </c>
      <c r="D1339" s="7" t="n">
        <v>25</v>
      </c>
      <c r="E1339" s="7" t="n">
        <v>1260</v>
      </c>
      <c r="F1339" s="7" t="inlineStr">
        <is>
          <t>Yes</t>
        </is>
      </c>
      <c r="G1339" s="8" t="n"/>
    </row>
    <row r="1340">
      <c r="A1340" s="8" t="inlineStr">
        <is>
          <t>PGCV_0025_1261</t>
        </is>
      </c>
      <c r="B1340" s="8" t="inlineStr">
        <is>
          <t>COVID-SNL-22-70061</t>
        </is>
      </c>
      <c r="C1340" s="8" t="inlineStr">
        <is>
          <t>GVFIVK4P6O</t>
        </is>
      </c>
      <c r="D1340" s="7" t="n">
        <v>25</v>
      </c>
      <c r="E1340" s="7" t="n">
        <v>1261</v>
      </c>
      <c r="F1340" s="7" t="inlineStr">
        <is>
          <t>Yes</t>
        </is>
      </c>
      <c r="G1340" s="8" t="n"/>
    </row>
    <row r="1341">
      <c r="A1341" s="8" t="inlineStr">
        <is>
          <t>PGCV_0025_1262</t>
        </is>
      </c>
      <c r="B1341" s="8" t="inlineStr">
        <is>
          <t>COVID-SNL-22-70062</t>
        </is>
      </c>
      <c r="C1341" s="8" t="inlineStr">
        <is>
          <t>YPFY1ZLE7H</t>
        </is>
      </c>
      <c r="D1341" s="7" t="n">
        <v>25</v>
      </c>
      <c r="E1341" s="7" t="n">
        <v>1262</v>
      </c>
      <c r="F1341" s="7" t="inlineStr">
        <is>
          <t>Yes</t>
        </is>
      </c>
      <c r="G1341" s="8" t="n"/>
    </row>
    <row r="1342">
      <c r="A1342" s="8" t="inlineStr">
        <is>
          <t>PGCV_0025_1263</t>
        </is>
      </c>
      <c r="B1342" s="8" t="inlineStr">
        <is>
          <t>COVID-SNL-22-70063</t>
        </is>
      </c>
      <c r="C1342" s="8" t="inlineStr">
        <is>
          <t>HZM7XXRRPN</t>
        </is>
      </c>
      <c r="D1342" s="7" t="n">
        <v>25</v>
      </c>
      <c r="E1342" s="7" t="n">
        <v>1263</v>
      </c>
      <c r="F1342" s="7" t="inlineStr">
        <is>
          <t>Yes</t>
        </is>
      </c>
      <c r="G1342" s="8" t="n"/>
    </row>
    <row r="1343">
      <c r="A1343" s="8" t="inlineStr">
        <is>
          <t>PGCV_0025_1264</t>
        </is>
      </c>
      <c r="B1343" s="8" t="inlineStr">
        <is>
          <t>COVID-SNL-22-70064</t>
        </is>
      </c>
      <c r="C1343" s="8" t="inlineStr">
        <is>
          <t>QNUWJPPUIN</t>
        </is>
      </c>
      <c r="D1343" s="7" t="n">
        <v>25</v>
      </c>
      <c r="E1343" s="7" t="n">
        <v>1264</v>
      </c>
      <c r="F1343" s="7" t="inlineStr">
        <is>
          <t>Yes</t>
        </is>
      </c>
      <c r="G1343" s="8" t="n"/>
    </row>
    <row r="1344">
      <c r="A1344" s="8" t="inlineStr">
        <is>
          <t>PGCV_0025_1265</t>
        </is>
      </c>
      <c r="B1344" s="8" t="inlineStr">
        <is>
          <t>COVID-SNL-22-70065</t>
        </is>
      </c>
      <c r="C1344" s="8" t="inlineStr">
        <is>
          <t>NXA4RBYJO2</t>
        </is>
      </c>
      <c r="D1344" s="7" t="n">
        <v>25</v>
      </c>
      <c r="E1344" s="7" t="n">
        <v>1265</v>
      </c>
      <c r="F1344" s="7" t="inlineStr">
        <is>
          <t>Yes</t>
        </is>
      </c>
      <c r="G1344" s="8" t="n"/>
    </row>
    <row r="1345">
      <c r="A1345" s="8" t="inlineStr">
        <is>
          <t>PGCV_0025_1266</t>
        </is>
      </c>
      <c r="B1345" s="8" t="inlineStr">
        <is>
          <t>COVID-SNL-22-70070</t>
        </is>
      </c>
      <c r="C1345" s="8" t="inlineStr">
        <is>
          <t>WC6WZUKHOH</t>
        </is>
      </c>
      <c r="D1345" s="7" t="n">
        <v>25</v>
      </c>
      <c r="E1345" s="7" t="n">
        <v>1266</v>
      </c>
      <c r="F1345" s="7" t="inlineStr">
        <is>
          <t>Yes</t>
        </is>
      </c>
      <c r="G1345" s="8" t="n"/>
    </row>
    <row r="1346">
      <c r="A1346" s="8" t="inlineStr">
        <is>
          <t>PGCV_0025_1267</t>
        </is>
      </c>
      <c r="B1346" s="8" t="inlineStr">
        <is>
          <t>COVID-SNL-22-70106</t>
        </is>
      </c>
      <c r="C1346" s="8" t="inlineStr">
        <is>
          <t>UI33AFTVWI</t>
        </is>
      </c>
      <c r="D1346" s="7" t="n">
        <v>25</v>
      </c>
      <c r="E1346" s="7" t="n">
        <v>1267</v>
      </c>
      <c r="F1346" s="7" t="inlineStr">
        <is>
          <t>Yes</t>
        </is>
      </c>
      <c r="G1346" s="8" t="n"/>
    </row>
    <row r="1347">
      <c r="A1347" s="8" t="inlineStr">
        <is>
          <t>PGCV_0025_1268</t>
        </is>
      </c>
      <c r="B1347" s="8" t="inlineStr">
        <is>
          <t>COVID-SNL-22-70079</t>
        </is>
      </c>
      <c r="C1347" s="8" t="inlineStr">
        <is>
          <t>OMEK8LN6FP</t>
        </is>
      </c>
      <c r="D1347" s="7" t="n">
        <v>25</v>
      </c>
      <c r="E1347" s="7" t="n">
        <v>1268</v>
      </c>
      <c r="F1347" s="7" t="inlineStr">
        <is>
          <t>Yes</t>
        </is>
      </c>
      <c r="G1347" s="8" t="n"/>
    </row>
    <row r="1348">
      <c r="A1348" s="8" t="inlineStr">
        <is>
          <t>PGCV_0025_1269</t>
        </is>
      </c>
      <c r="B1348" s="8" t="inlineStr">
        <is>
          <t>COVID-SNL-22-70143</t>
        </is>
      </c>
      <c r="C1348" s="8" t="inlineStr">
        <is>
          <t>0RDTDMRH5U</t>
        </is>
      </c>
      <c r="D1348" s="7" t="n">
        <v>25</v>
      </c>
      <c r="E1348" s="7" t="n">
        <v>1269</v>
      </c>
      <c r="F1348" s="7" t="inlineStr">
        <is>
          <t>Yes</t>
        </is>
      </c>
      <c r="G1348" s="8" t="n"/>
    </row>
    <row r="1349">
      <c r="A1349" s="8" t="inlineStr">
        <is>
          <t>PGCV_0025_1270</t>
        </is>
      </c>
      <c r="B1349" s="8" t="inlineStr">
        <is>
          <t>COVID-SNL-22-70151</t>
        </is>
      </c>
      <c r="C1349" s="8" t="inlineStr">
        <is>
          <t>AHIGBYKAIY</t>
        </is>
      </c>
      <c r="D1349" s="7" t="n">
        <v>25</v>
      </c>
      <c r="E1349" s="7" t="n">
        <v>1270</v>
      </c>
      <c r="F1349" s="7" t="inlineStr">
        <is>
          <t>No</t>
        </is>
      </c>
      <c r="G1349" s="8" t="n"/>
    </row>
    <row r="1350">
      <c r="A1350" s="8" t="inlineStr">
        <is>
          <t>PGCV_0025_1271</t>
        </is>
      </c>
      <c r="B1350" s="8" t="inlineStr">
        <is>
          <t>COVID-SNL-22-70152</t>
        </is>
      </c>
      <c r="C1350" s="8" t="inlineStr">
        <is>
          <t>L8WWGRB7AY</t>
        </is>
      </c>
      <c r="D1350" s="7" t="n">
        <v>25</v>
      </c>
      <c r="E1350" s="7" t="n">
        <v>1271</v>
      </c>
      <c r="F1350" s="7" t="inlineStr">
        <is>
          <t>Yes</t>
        </is>
      </c>
      <c r="G1350" s="8" t="n"/>
    </row>
    <row r="1351">
      <c r="A1351" s="8" t="inlineStr">
        <is>
          <t>PGCV_0025_1272</t>
        </is>
      </c>
      <c r="B1351" s="8" t="inlineStr">
        <is>
          <t>22-36253</t>
        </is>
      </c>
      <c r="C1351" s="8" t="inlineStr">
        <is>
          <t>GUYFIQPWNB</t>
        </is>
      </c>
      <c r="D1351" s="7" t="n">
        <v>25</v>
      </c>
      <c r="E1351" s="7" t="n">
        <v>1272</v>
      </c>
      <c r="F1351" s="7" t="inlineStr">
        <is>
          <t>Yes</t>
        </is>
      </c>
      <c r="G1351" s="8" t="n"/>
    </row>
    <row r="1352">
      <c r="A1352" s="8" t="inlineStr">
        <is>
          <t>PGCV_0025_1273</t>
        </is>
      </c>
      <c r="B1352" s="8" t="inlineStr">
        <is>
          <t>22-36286</t>
        </is>
      </c>
      <c r="C1352" s="8" t="inlineStr">
        <is>
          <t>AWAR6MA2MC</t>
        </is>
      </c>
      <c r="D1352" s="7" t="n">
        <v>25</v>
      </c>
      <c r="E1352" s="7" t="n">
        <v>1273</v>
      </c>
      <c r="F1352" s="7" t="inlineStr">
        <is>
          <t>Yes</t>
        </is>
      </c>
      <c r="G1352" s="8" t="n"/>
    </row>
    <row r="1353">
      <c r="A1353" s="8" t="inlineStr">
        <is>
          <t>PGCV_0025_1274</t>
        </is>
      </c>
      <c r="B1353" s="8" t="inlineStr">
        <is>
          <t>22-36297</t>
        </is>
      </c>
      <c r="C1353" s="8" t="inlineStr">
        <is>
          <t>TLTONXMTNQ</t>
        </is>
      </c>
      <c r="D1353" s="7" t="n">
        <v>25</v>
      </c>
      <c r="E1353" s="7" t="n">
        <v>1274</v>
      </c>
      <c r="F1353" s="7" t="inlineStr">
        <is>
          <t>Yes</t>
        </is>
      </c>
      <c r="G1353" s="8" t="n"/>
    </row>
    <row r="1354">
      <c r="A1354" s="8" t="inlineStr">
        <is>
          <t>PGCV_0025_1275</t>
        </is>
      </c>
      <c r="B1354" s="8" t="inlineStr">
        <is>
          <t>22-36407</t>
        </is>
      </c>
      <c r="C1354" s="8" t="inlineStr">
        <is>
          <t>LR2O1VEDSQ</t>
        </is>
      </c>
      <c r="D1354" s="7" t="n">
        <v>25</v>
      </c>
      <c r="E1354" s="7" t="n">
        <v>1275</v>
      </c>
      <c r="F1354" s="7" t="inlineStr">
        <is>
          <t>Yes</t>
        </is>
      </c>
      <c r="G1354" s="8" t="n"/>
    </row>
    <row r="1355">
      <c r="A1355" s="8" t="inlineStr">
        <is>
          <t>PGCV_0025_1276</t>
        </is>
      </c>
      <c r="B1355" s="8" t="inlineStr">
        <is>
          <t>22-36464</t>
        </is>
      </c>
      <c r="C1355" s="8" t="inlineStr">
        <is>
          <t>IENIBS79ZU</t>
        </is>
      </c>
      <c r="D1355" s="7" t="n">
        <v>25</v>
      </c>
      <c r="E1355" s="7" t="n">
        <v>1276</v>
      </c>
      <c r="F1355" s="7" t="inlineStr">
        <is>
          <t>Yes</t>
        </is>
      </c>
      <c r="G1355" s="8" t="n"/>
    </row>
    <row r="1356">
      <c r="A1356" s="8" t="inlineStr">
        <is>
          <t>PGCV_0025_1277</t>
        </is>
      </c>
      <c r="B1356" s="8" t="inlineStr">
        <is>
          <t>22-36486</t>
        </is>
      </c>
      <c r="C1356" s="8" t="inlineStr">
        <is>
          <t>V1F3ONJAPQ</t>
        </is>
      </c>
      <c r="D1356" s="7" t="n">
        <v>25</v>
      </c>
      <c r="E1356" s="7" t="n">
        <v>1277</v>
      </c>
      <c r="F1356" s="7" t="inlineStr">
        <is>
          <t>Yes</t>
        </is>
      </c>
      <c r="G1356" s="8" t="n"/>
    </row>
    <row r="1357">
      <c r="A1357" s="8" t="inlineStr">
        <is>
          <t>PGCV_0025_1278</t>
        </is>
      </c>
      <c r="B1357" s="8" t="inlineStr">
        <is>
          <t>22-36560</t>
        </is>
      </c>
      <c r="C1357" s="8" t="inlineStr">
        <is>
          <t>HS5AFHISVF</t>
        </is>
      </c>
      <c r="D1357" s="7" t="n">
        <v>25</v>
      </c>
      <c r="E1357" s="7" t="n">
        <v>1278</v>
      </c>
      <c r="F1357" s="7" t="inlineStr">
        <is>
          <t>Yes</t>
        </is>
      </c>
      <c r="G1357" s="8" t="n"/>
    </row>
    <row r="1358">
      <c r="A1358" s="8" t="inlineStr">
        <is>
          <t>PGCV_0025_1279</t>
        </is>
      </c>
      <c r="B1358" s="8" t="inlineStr">
        <is>
          <t>22-36566</t>
        </is>
      </c>
      <c r="C1358" s="8" t="inlineStr">
        <is>
          <t>LA8OZVHTNR</t>
        </is>
      </c>
      <c r="D1358" s="7" t="n">
        <v>25</v>
      </c>
      <c r="E1358" s="7" t="n">
        <v>1279</v>
      </c>
      <c r="F1358" s="7" t="inlineStr">
        <is>
          <t>Yes</t>
        </is>
      </c>
      <c r="G1358" s="8" t="n"/>
    </row>
    <row r="1359">
      <c r="A1359" s="8" t="inlineStr">
        <is>
          <t>PGCV_0025_1280</t>
        </is>
      </c>
      <c r="B1359" s="8" t="inlineStr">
        <is>
          <t>22-36574</t>
        </is>
      </c>
      <c r="C1359" s="8" t="inlineStr">
        <is>
          <t>2KYHL0IKLI</t>
        </is>
      </c>
      <c r="D1359" s="7" t="n">
        <v>25</v>
      </c>
      <c r="E1359" s="7" t="n">
        <v>1280</v>
      </c>
      <c r="F1359" s="7" t="inlineStr">
        <is>
          <t>Yes</t>
        </is>
      </c>
      <c r="G1359" s="8" t="n"/>
    </row>
    <row r="1360">
      <c r="A1360" s="8" t="inlineStr">
        <is>
          <t>PGCV_0025_1281</t>
        </is>
      </c>
      <c r="B1360" s="8" t="inlineStr">
        <is>
          <t>22-36584</t>
        </is>
      </c>
      <c r="C1360" s="8" t="inlineStr">
        <is>
          <t>EMP5KQUYTV</t>
        </is>
      </c>
      <c r="D1360" s="7" t="n">
        <v>25</v>
      </c>
      <c r="E1360" s="7" t="n">
        <v>1281</v>
      </c>
      <c r="F1360" s="7" t="inlineStr">
        <is>
          <t>Yes</t>
        </is>
      </c>
      <c r="G1360" s="8" t="n"/>
    </row>
    <row r="1361">
      <c r="A1361" s="8" t="inlineStr">
        <is>
          <t>PGCV_0025_1282</t>
        </is>
      </c>
      <c r="B1361" s="8" t="inlineStr">
        <is>
          <t>22-36604</t>
        </is>
      </c>
      <c r="C1361" s="8" t="inlineStr">
        <is>
          <t>U1ILIH0WJL</t>
        </is>
      </c>
      <c r="D1361" s="7" t="n">
        <v>25</v>
      </c>
      <c r="E1361" s="7" t="n">
        <v>1282</v>
      </c>
      <c r="F1361" s="7" t="inlineStr">
        <is>
          <t>Yes</t>
        </is>
      </c>
      <c r="G1361" s="8" t="n"/>
    </row>
    <row r="1362">
      <c r="A1362" s="8" t="inlineStr">
        <is>
          <t>PGCV_0025_1283</t>
        </is>
      </c>
      <c r="B1362" s="8" t="inlineStr">
        <is>
          <t>22-36640</t>
        </is>
      </c>
      <c r="C1362" s="8" t="inlineStr">
        <is>
          <t>RTLZGKYROF</t>
        </is>
      </c>
      <c r="D1362" s="7" t="n">
        <v>25</v>
      </c>
      <c r="E1362" s="7" t="n">
        <v>1283</v>
      </c>
      <c r="F1362" s="7" t="inlineStr">
        <is>
          <t>Yes</t>
        </is>
      </c>
      <c r="G1362" s="8" t="n"/>
    </row>
    <row r="1363">
      <c r="A1363" s="8" t="inlineStr">
        <is>
          <t>PGCV_0025_1284</t>
        </is>
      </c>
      <c r="B1363" s="8" t="inlineStr">
        <is>
          <t>22-36648</t>
        </is>
      </c>
      <c r="C1363" s="8" t="inlineStr">
        <is>
          <t>SDV0C28WRS</t>
        </is>
      </c>
      <c r="D1363" s="7" t="n">
        <v>25</v>
      </c>
      <c r="E1363" s="7" t="n">
        <v>1284</v>
      </c>
      <c r="F1363" s="7" t="inlineStr">
        <is>
          <t>Yes</t>
        </is>
      </c>
      <c r="G1363" s="8" t="n"/>
    </row>
    <row r="1364">
      <c r="A1364" s="8" t="inlineStr">
        <is>
          <t>PGCV_0025_1285</t>
        </is>
      </c>
      <c r="B1364" s="8" t="inlineStr">
        <is>
          <t>22-36654</t>
        </is>
      </c>
      <c r="C1364" s="8" t="inlineStr">
        <is>
          <t>9BI8QSNKS5</t>
        </is>
      </c>
      <c r="D1364" s="7" t="n">
        <v>25</v>
      </c>
      <c r="E1364" s="7" t="n">
        <v>1285</v>
      </c>
      <c r="F1364" s="7" t="inlineStr">
        <is>
          <t>Yes</t>
        </is>
      </c>
      <c r="G1364" s="8" t="n"/>
    </row>
    <row r="1365">
      <c r="A1365" s="8" t="inlineStr">
        <is>
          <t>PGCV_0025_1286</t>
        </is>
      </c>
      <c r="B1365" s="8" t="inlineStr">
        <is>
          <t>22-36808</t>
        </is>
      </c>
      <c r="C1365" s="8" t="inlineStr">
        <is>
          <t>BEHPKAP3SN</t>
        </is>
      </c>
      <c r="D1365" s="7" t="n">
        <v>25</v>
      </c>
      <c r="E1365" s="7" t="n">
        <v>1286</v>
      </c>
      <c r="F1365" s="7" t="inlineStr">
        <is>
          <t>Yes</t>
        </is>
      </c>
      <c r="G1365" s="8" t="n"/>
    </row>
    <row r="1366">
      <c r="A1366" s="8" t="inlineStr">
        <is>
          <t>PGCV_0025_1287</t>
        </is>
      </c>
      <c r="B1366" s="8" t="inlineStr">
        <is>
          <t>22-36915</t>
        </is>
      </c>
      <c r="C1366" s="8" t="inlineStr">
        <is>
          <t>OKE9IO8IBF</t>
        </is>
      </c>
      <c r="D1366" s="7" t="n">
        <v>25</v>
      </c>
      <c r="E1366" s="7" t="n">
        <v>1287</v>
      </c>
      <c r="F1366" s="7" t="inlineStr">
        <is>
          <t>Yes</t>
        </is>
      </c>
      <c r="G1366" s="8" t="n"/>
    </row>
    <row r="1367">
      <c r="A1367" s="8" t="inlineStr">
        <is>
          <t>PGCV_0025_1288</t>
        </is>
      </c>
      <c r="B1367" s="8" t="inlineStr">
        <is>
          <t>22-36926</t>
        </is>
      </c>
      <c r="C1367" s="8" t="inlineStr">
        <is>
          <t>GTTABJSNG2</t>
        </is>
      </c>
      <c r="D1367" s="7" t="n">
        <v>25</v>
      </c>
      <c r="E1367" s="7" t="n">
        <v>1288</v>
      </c>
      <c r="F1367" s="7" t="inlineStr">
        <is>
          <t>Yes</t>
        </is>
      </c>
      <c r="G1367" s="8" t="n"/>
    </row>
    <row r="1368">
      <c r="A1368" s="8" t="inlineStr">
        <is>
          <t>PGCV_0025_1289</t>
        </is>
      </c>
      <c r="B1368" s="8" t="inlineStr">
        <is>
          <t>22-37006</t>
        </is>
      </c>
      <c r="C1368" s="8" t="inlineStr">
        <is>
          <t>GXY2AS0WJA</t>
        </is>
      </c>
      <c r="D1368" s="7" t="n">
        <v>25</v>
      </c>
      <c r="E1368" s="7" t="n">
        <v>1289</v>
      </c>
      <c r="F1368" s="7" t="inlineStr">
        <is>
          <t>Yes</t>
        </is>
      </c>
      <c r="G1368" s="8" t="n"/>
    </row>
    <row r="1369">
      <c r="A1369" s="8" t="inlineStr">
        <is>
          <t>PGCV_0025_1290</t>
        </is>
      </c>
      <c r="B1369" s="8" t="inlineStr">
        <is>
          <t>22-37026</t>
        </is>
      </c>
      <c r="C1369" s="8" t="inlineStr">
        <is>
          <t>QPFCY3CIWX</t>
        </is>
      </c>
      <c r="D1369" s="7" t="n">
        <v>25</v>
      </c>
      <c r="E1369" s="7" t="n">
        <v>1290</v>
      </c>
      <c r="F1369" s="7" t="inlineStr">
        <is>
          <t>Yes</t>
        </is>
      </c>
      <c r="G1369" s="8" t="n"/>
    </row>
    <row r="1370">
      <c r="A1370" s="8" t="inlineStr">
        <is>
          <t>PGCV_0025_1291</t>
        </is>
      </c>
      <c r="B1370" s="8" t="inlineStr">
        <is>
          <t>22-37052</t>
        </is>
      </c>
      <c r="C1370" s="8" t="inlineStr">
        <is>
          <t>LNMTFQOZDA</t>
        </is>
      </c>
      <c r="D1370" s="7" t="n">
        <v>25</v>
      </c>
      <c r="E1370" s="7" t="n">
        <v>1291</v>
      </c>
      <c r="F1370" s="7" t="inlineStr">
        <is>
          <t>Yes</t>
        </is>
      </c>
      <c r="G1370" s="8" t="n"/>
    </row>
    <row r="1371">
      <c r="A1371" s="8" t="inlineStr">
        <is>
          <t>PGCV_0025_1292</t>
        </is>
      </c>
      <c r="B1371" s="8" t="inlineStr">
        <is>
          <t>22-37135</t>
        </is>
      </c>
      <c r="C1371" s="8" t="inlineStr">
        <is>
          <t>9IZ9YZCCD0</t>
        </is>
      </c>
      <c r="D1371" s="7" t="n">
        <v>25</v>
      </c>
      <c r="E1371" s="7" t="n">
        <v>1292</v>
      </c>
      <c r="F1371" s="7" t="inlineStr">
        <is>
          <t>Yes</t>
        </is>
      </c>
      <c r="G1371" s="8" t="n"/>
    </row>
    <row r="1372">
      <c r="A1372" s="8" t="inlineStr">
        <is>
          <t>PGCV_0025_1293</t>
        </is>
      </c>
      <c r="B1372" s="8" t="inlineStr">
        <is>
          <t>22-37136</t>
        </is>
      </c>
      <c r="C1372" s="8" t="inlineStr">
        <is>
          <t>NU5N20ZKXI</t>
        </is>
      </c>
      <c r="D1372" s="7" t="n">
        <v>25</v>
      </c>
      <c r="E1372" s="7" t="n">
        <v>1293</v>
      </c>
      <c r="F1372" s="7" t="inlineStr">
        <is>
          <t>Yes</t>
        </is>
      </c>
      <c r="G1372" s="8" t="n"/>
    </row>
    <row r="1373">
      <c r="A1373" s="8" t="inlineStr">
        <is>
          <t>PGCV_0025_1294</t>
        </is>
      </c>
      <c r="B1373" s="8" t="inlineStr">
        <is>
          <t>22-37139</t>
        </is>
      </c>
      <c r="C1373" s="8" t="inlineStr">
        <is>
          <t>YUICQN5S3S</t>
        </is>
      </c>
      <c r="D1373" s="7" t="n">
        <v>25</v>
      </c>
      <c r="E1373" s="7" t="n">
        <v>1294</v>
      </c>
      <c r="F1373" s="7" t="inlineStr">
        <is>
          <t>Yes</t>
        </is>
      </c>
      <c r="G1373" s="8" t="n"/>
    </row>
    <row r="1374">
      <c r="A1374" s="8" t="inlineStr">
        <is>
          <t>PGCV_0025_1295</t>
        </is>
      </c>
      <c r="B1374" s="8" t="inlineStr">
        <is>
          <t>22-37140</t>
        </is>
      </c>
      <c r="C1374" s="8" t="inlineStr">
        <is>
          <t>6RBINTQVSM</t>
        </is>
      </c>
      <c r="D1374" s="7" t="n">
        <v>25</v>
      </c>
      <c r="E1374" s="7" t="n">
        <v>1295</v>
      </c>
      <c r="F1374" s="7" t="inlineStr">
        <is>
          <t>Yes</t>
        </is>
      </c>
      <c r="G1374" s="8" t="n"/>
    </row>
    <row r="1375">
      <c r="A1375" s="8" t="inlineStr">
        <is>
          <t>PGCV_0025_1296</t>
        </is>
      </c>
      <c r="B1375" s="8" t="inlineStr">
        <is>
          <t>22-37224</t>
        </is>
      </c>
      <c r="C1375" s="8" t="inlineStr">
        <is>
          <t>9SN1IAOFTW</t>
        </is>
      </c>
      <c r="D1375" s="7" t="n">
        <v>25</v>
      </c>
      <c r="E1375" s="7" t="n">
        <v>1296</v>
      </c>
      <c r="F1375" s="7" t="inlineStr">
        <is>
          <t>Yes</t>
        </is>
      </c>
      <c r="G1375" s="8" t="n"/>
    </row>
    <row r="1376">
      <c r="A1376" s="8" t="inlineStr">
        <is>
          <t>PGCV_0025_1297</t>
        </is>
      </c>
      <c r="B1376" s="8" t="inlineStr">
        <is>
          <t>22-37232</t>
        </is>
      </c>
      <c r="C1376" s="8" t="inlineStr">
        <is>
          <t>FRIWYZP2OC</t>
        </is>
      </c>
      <c r="D1376" s="7" t="n">
        <v>25</v>
      </c>
      <c r="E1376" s="7" t="n">
        <v>1297</v>
      </c>
      <c r="F1376" s="7" t="inlineStr">
        <is>
          <t>Yes</t>
        </is>
      </c>
      <c r="G1376" s="8" t="n"/>
    </row>
    <row r="1377">
      <c r="A1377" s="8" t="inlineStr">
        <is>
          <t>PGCV_0025_1298</t>
        </is>
      </c>
      <c r="B1377" s="8" t="inlineStr">
        <is>
          <t>22-37233</t>
        </is>
      </c>
      <c r="C1377" s="8" t="inlineStr">
        <is>
          <t>CNBS5GIVFV</t>
        </is>
      </c>
      <c r="D1377" s="7" t="n">
        <v>25</v>
      </c>
      <c r="E1377" s="7" t="n">
        <v>1298</v>
      </c>
      <c r="F1377" s="7" t="inlineStr">
        <is>
          <t>Yes</t>
        </is>
      </c>
      <c r="G1377" s="8" t="n"/>
    </row>
    <row r="1378">
      <c r="A1378" s="8" t="inlineStr">
        <is>
          <t>PGCV_0025_1299</t>
        </is>
      </c>
      <c r="B1378" s="8" t="inlineStr">
        <is>
          <t>22-37283</t>
        </is>
      </c>
      <c r="C1378" s="8" t="inlineStr">
        <is>
          <t>UHB1R6VLC9</t>
        </is>
      </c>
      <c r="D1378" s="7" t="n">
        <v>25</v>
      </c>
      <c r="E1378" s="7" t="n">
        <v>1299</v>
      </c>
      <c r="F1378" s="7" t="inlineStr">
        <is>
          <t>Yes</t>
        </is>
      </c>
      <c r="G1378" s="8" t="n"/>
    </row>
    <row r="1379">
      <c r="A1379" s="8" t="inlineStr">
        <is>
          <t>PGCV_0025_1300</t>
        </is>
      </c>
      <c r="B1379" s="8" t="inlineStr">
        <is>
          <t>22-37284</t>
        </is>
      </c>
      <c r="C1379" s="8" t="inlineStr">
        <is>
          <t>EOMPOEP6MS</t>
        </is>
      </c>
      <c r="D1379" s="7" t="n">
        <v>25</v>
      </c>
      <c r="E1379" s="7" t="n">
        <v>1300</v>
      </c>
      <c r="F1379" s="7" t="inlineStr">
        <is>
          <t>Yes</t>
        </is>
      </c>
      <c r="G1379" s="8" t="n"/>
    </row>
    <row r="1380">
      <c r="A1380" s="8" t="inlineStr">
        <is>
          <t>PGCV_0025_1301</t>
        </is>
      </c>
      <c r="B1380" s="8" t="inlineStr">
        <is>
          <t>22-37286</t>
        </is>
      </c>
      <c r="C1380" s="8" t="inlineStr">
        <is>
          <t>6ZY4WGLI1I</t>
        </is>
      </c>
      <c r="D1380" s="7" t="n">
        <v>25</v>
      </c>
      <c r="E1380" s="7" t="n">
        <v>1301</v>
      </c>
      <c r="F1380" s="7" t="inlineStr">
        <is>
          <t>Yes</t>
        </is>
      </c>
      <c r="G1380" s="8" t="n"/>
    </row>
    <row r="1381">
      <c r="A1381" s="8" t="inlineStr">
        <is>
          <t>PGCV_0025_1302</t>
        </is>
      </c>
      <c r="B1381" s="8" t="inlineStr">
        <is>
          <t>22-37372</t>
        </is>
      </c>
      <c r="C1381" s="8" t="inlineStr">
        <is>
          <t>QK0C4NWGPR</t>
        </is>
      </c>
      <c r="D1381" s="7" t="n">
        <v>25</v>
      </c>
      <c r="E1381" s="7" t="n">
        <v>1302</v>
      </c>
      <c r="F1381" s="7" t="inlineStr">
        <is>
          <t>Yes</t>
        </is>
      </c>
      <c r="G1381" s="8" t="n"/>
    </row>
    <row r="1382">
      <c r="A1382" s="8" t="inlineStr">
        <is>
          <t>PGCV_0025_1303</t>
        </is>
      </c>
      <c r="B1382" s="8" t="inlineStr">
        <is>
          <t>22-37373</t>
        </is>
      </c>
      <c r="C1382" s="8" t="inlineStr">
        <is>
          <t>GZKFDQ06AO</t>
        </is>
      </c>
      <c r="D1382" s="7" t="n">
        <v>25</v>
      </c>
      <c r="E1382" s="7" t="n">
        <v>1303</v>
      </c>
      <c r="F1382" s="7" t="inlineStr">
        <is>
          <t>Yes</t>
        </is>
      </c>
      <c r="G1382" s="8" t="n"/>
    </row>
    <row r="1383">
      <c r="A1383" s="8" t="inlineStr">
        <is>
          <t>PGCV_0025_1304</t>
        </is>
      </c>
      <c r="B1383" s="8" t="inlineStr">
        <is>
          <t>22-37393</t>
        </is>
      </c>
      <c r="C1383" s="8" t="inlineStr">
        <is>
          <t>ALQ9WDEDV1</t>
        </is>
      </c>
      <c r="D1383" s="7" t="n">
        <v>25</v>
      </c>
      <c r="E1383" s="7" t="n">
        <v>1304</v>
      </c>
      <c r="F1383" s="7" t="inlineStr">
        <is>
          <t>Yes</t>
        </is>
      </c>
      <c r="G1383" s="8" t="n"/>
    </row>
    <row r="1384">
      <c r="A1384" s="8" t="inlineStr">
        <is>
          <t>PGCV_0025_1305</t>
        </is>
      </c>
      <c r="B1384" s="8" t="inlineStr">
        <is>
          <t>22-37478</t>
        </is>
      </c>
      <c r="C1384" s="8" t="inlineStr">
        <is>
          <t>9BXVOG8Q9I</t>
        </is>
      </c>
      <c r="D1384" s="7" t="n">
        <v>25</v>
      </c>
      <c r="E1384" s="7" t="n">
        <v>1305</v>
      </c>
      <c r="F1384" s="7" t="inlineStr">
        <is>
          <t>Yes</t>
        </is>
      </c>
      <c r="G1384" s="8" t="n"/>
    </row>
    <row r="1385">
      <c r="A1385" s="8" t="inlineStr">
        <is>
          <t>PGCV_0025_1306</t>
        </is>
      </c>
      <c r="B1385" s="8" t="inlineStr">
        <is>
          <t>22-37526</t>
        </is>
      </c>
      <c r="C1385" s="8" t="inlineStr">
        <is>
          <t>AA3EF37ZAX</t>
        </is>
      </c>
      <c r="D1385" s="7" t="n">
        <v>25</v>
      </c>
      <c r="E1385" s="7" t="n">
        <v>1306</v>
      </c>
      <c r="F1385" s="7" t="inlineStr">
        <is>
          <t>Yes</t>
        </is>
      </c>
      <c r="G1385" s="8" t="n"/>
    </row>
    <row r="1386">
      <c r="A1386" s="8" t="inlineStr">
        <is>
          <t>PGCV_0025_1307</t>
        </is>
      </c>
      <c r="B1386" s="8" t="inlineStr">
        <is>
          <t>22-37549</t>
        </is>
      </c>
      <c r="C1386" s="8" t="inlineStr">
        <is>
          <t>KOMW5OPN4Y</t>
        </is>
      </c>
      <c r="D1386" s="7" t="n">
        <v>25</v>
      </c>
      <c r="E1386" s="7" t="n">
        <v>1307</v>
      </c>
      <c r="F1386" s="7" t="inlineStr">
        <is>
          <t>Yes</t>
        </is>
      </c>
      <c r="G1386" s="8" t="n"/>
    </row>
    <row r="1387">
      <c r="A1387" s="8" t="inlineStr">
        <is>
          <t>PGCV_0025_1308</t>
        </is>
      </c>
      <c r="B1387" s="8" t="inlineStr">
        <is>
          <t>22-37551</t>
        </is>
      </c>
      <c r="C1387" s="8" t="inlineStr">
        <is>
          <t>7NXDYSDZIR</t>
        </is>
      </c>
      <c r="D1387" s="7" t="n">
        <v>25</v>
      </c>
      <c r="E1387" s="7" t="n">
        <v>1308</v>
      </c>
      <c r="F1387" s="7" t="inlineStr">
        <is>
          <t>Yes</t>
        </is>
      </c>
      <c r="G1387" s="8" t="n"/>
    </row>
    <row r="1388">
      <c r="A1388" s="8" t="inlineStr">
        <is>
          <t>PGCV_0025_1309</t>
        </is>
      </c>
      <c r="B1388" s="8" t="inlineStr">
        <is>
          <t>22-37581</t>
        </is>
      </c>
      <c r="C1388" s="8" t="inlineStr">
        <is>
          <t>1V0KO01ENR</t>
        </is>
      </c>
      <c r="D1388" s="7" t="n">
        <v>25</v>
      </c>
      <c r="E1388" s="7" t="n">
        <v>1309</v>
      </c>
      <c r="F1388" s="7" t="inlineStr">
        <is>
          <t>Yes</t>
        </is>
      </c>
      <c r="G1388" s="8" t="n"/>
    </row>
    <row r="1389">
      <c r="A1389" s="8" t="inlineStr">
        <is>
          <t>PGCV_0025_1310</t>
        </is>
      </c>
      <c r="B1389" s="8" t="inlineStr">
        <is>
          <t>22-37590</t>
        </is>
      </c>
      <c r="C1389" s="8" t="inlineStr">
        <is>
          <t>QB4OJ8P9PT</t>
        </is>
      </c>
      <c r="D1389" s="7" t="n">
        <v>25</v>
      </c>
      <c r="E1389" s="7" t="n">
        <v>1310</v>
      </c>
      <c r="F1389" s="7" t="inlineStr">
        <is>
          <t>Yes</t>
        </is>
      </c>
      <c r="G1389" s="8" t="n"/>
    </row>
    <row r="1390">
      <c r="A1390" s="8" t="inlineStr">
        <is>
          <t>PGCV_0025_1311</t>
        </is>
      </c>
      <c r="B1390" s="8" t="inlineStr">
        <is>
          <t>22-37605</t>
        </is>
      </c>
      <c r="C1390" s="8" t="inlineStr">
        <is>
          <t>IE4GFHSRLR</t>
        </is>
      </c>
      <c r="D1390" s="7" t="n">
        <v>25</v>
      </c>
      <c r="E1390" s="7" t="n">
        <v>1311</v>
      </c>
      <c r="F1390" s="7" t="inlineStr">
        <is>
          <t>Yes</t>
        </is>
      </c>
      <c r="G1390" s="8" t="n"/>
    </row>
    <row r="1391">
      <c r="A1391" s="8" t="inlineStr">
        <is>
          <t>PGCV_0025_1312</t>
        </is>
      </c>
      <c r="B1391" s="8" t="inlineStr">
        <is>
          <t>22-37608</t>
        </is>
      </c>
      <c r="C1391" s="8" t="inlineStr">
        <is>
          <t>YMLHMO5U3L</t>
        </is>
      </c>
      <c r="D1391" s="7" t="n">
        <v>25</v>
      </c>
      <c r="E1391" s="7" t="n">
        <v>1312</v>
      </c>
      <c r="F1391" s="7" t="inlineStr">
        <is>
          <t>Yes</t>
        </is>
      </c>
      <c r="G1391" s="8" t="n"/>
    </row>
    <row r="1392">
      <c r="A1392" s="8" t="inlineStr">
        <is>
          <t>PGCV_0025_1313</t>
        </is>
      </c>
      <c r="B1392" s="8" t="inlineStr">
        <is>
          <t>22-37609</t>
        </is>
      </c>
      <c r="C1392" s="8" t="inlineStr">
        <is>
          <t>QMVTXZXF9P</t>
        </is>
      </c>
      <c r="D1392" s="7" t="n">
        <v>25</v>
      </c>
      <c r="E1392" s="7" t="n">
        <v>1313</v>
      </c>
      <c r="F1392" s="7" t="inlineStr">
        <is>
          <t>Yes</t>
        </is>
      </c>
      <c r="G1392" s="8" t="n"/>
    </row>
    <row r="1393">
      <c r="A1393" s="8" t="inlineStr">
        <is>
          <t>PGCV_0025_1314</t>
        </is>
      </c>
      <c r="B1393" s="8" t="inlineStr">
        <is>
          <t>22-37635</t>
        </is>
      </c>
      <c r="C1393" s="8" t="inlineStr">
        <is>
          <t>RMGS7VQO0H</t>
        </is>
      </c>
      <c r="D1393" s="7" t="n">
        <v>25</v>
      </c>
      <c r="E1393" s="7" t="n">
        <v>1314</v>
      </c>
      <c r="F1393" s="7" t="inlineStr">
        <is>
          <t>Yes</t>
        </is>
      </c>
      <c r="G1393" s="8" t="n"/>
    </row>
    <row r="1394">
      <c r="A1394" s="8" t="inlineStr">
        <is>
          <t>PGCV_0025_1315</t>
        </is>
      </c>
      <c r="B1394" s="8" t="inlineStr">
        <is>
          <t>22-37636</t>
        </is>
      </c>
      <c r="C1394" s="8" t="inlineStr">
        <is>
          <t>FSACQZ7BRT</t>
        </is>
      </c>
      <c r="D1394" s="7" t="n">
        <v>25</v>
      </c>
      <c r="E1394" s="7" t="n">
        <v>1315</v>
      </c>
      <c r="F1394" s="7" t="inlineStr">
        <is>
          <t>Yes</t>
        </is>
      </c>
      <c r="G1394" s="8" t="n"/>
    </row>
    <row r="1395">
      <c r="A1395" s="8" t="inlineStr">
        <is>
          <t>PGCV_0025_1316</t>
        </is>
      </c>
      <c r="B1395" s="8" t="inlineStr">
        <is>
          <t>22-37637</t>
        </is>
      </c>
      <c r="C1395" s="8" t="inlineStr">
        <is>
          <t>7LJXZOXLHZ</t>
        </is>
      </c>
      <c r="D1395" s="7" t="n">
        <v>25</v>
      </c>
      <c r="E1395" s="7" t="n">
        <v>1316</v>
      </c>
      <c r="F1395" s="7" t="inlineStr">
        <is>
          <t>Yes</t>
        </is>
      </c>
      <c r="G1395" s="8" t="n"/>
    </row>
    <row r="1396">
      <c r="A1396" s="8" t="inlineStr">
        <is>
          <t>PGCV_0025_1317</t>
        </is>
      </c>
      <c r="B1396" s="8" t="inlineStr">
        <is>
          <t>22-37696</t>
        </is>
      </c>
      <c r="C1396" s="8" t="inlineStr">
        <is>
          <t>18NRWTKFGO</t>
        </is>
      </c>
      <c r="D1396" s="7" t="n">
        <v>25</v>
      </c>
      <c r="E1396" s="7" t="n">
        <v>1317</v>
      </c>
      <c r="F1396" s="7" t="inlineStr">
        <is>
          <t>Yes</t>
        </is>
      </c>
      <c r="G1396" s="8" t="n"/>
    </row>
    <row r="1397">
      <c r="A1397" s="8" t="inlineStr">
        <is>
          <t>PGCV_0025_1318</t>
        </is>
      </c>
      <c r="B1397" s="8" t="inlineStr">
        <is>
          <t>22-37715</t>
        </is>
      </c>
      <c r="C1397" s="8" t="inlineStr">
        <is>
          <t>Q0Z8LY9ATY</t>
        </is>
      </c>
      <c r="D1397" s="7" t="n">
        <v>25</v>
      </c>
      <c r="E1397" s="7" t="n">
        <v>1318</v>
      </c>
      <c r="F1397" s="7" t="inlineStr">
        <is>
          <t>Yes</t>
        </is>
      </c>
      <c r="G1397" s="8" t="n"/>
    </row>
    <row r="1398">
      <c r="A1398" s="8" t="inlineStr">
        <is>
          <t>PGCV_0025_1319</t>
        </is>
      </c>
      <c r="B1398" s="8" t="inlineStr">
        <is>
          <t>22-37765</t>
        </is>
      </c>
      <c r="C1398" s="8" t="inlineStr">
        <is>
          <t>YPWS5JHQRN</t>
        </is>
      </c>
      <c r="D1398" s="7" t="n">
        <v>25</v>
      </c>
      <c r="E1398" s="7" t="n">
        <v>1319</v>
      </c>
      <c r="F1398" s="7" t="inlineStr">
        <is>
          <t>Yes</t>
        </is>
      </c>
      <c r="G1398" s="8" t="n"/>
    </row>
    <row r="1399">
      <c r="A1399" s="8" t="inlineStr">
        <is>
          <t>PGCV_0025_1320</t>
        </is>
      </c>
      <c r="B1399" s="8" t="inlineStr">
        <is>
          <t>22-37789</t>
        </is>
      </c>
      <c r="C1399" s="8" t="inlineStr">
        <is>
          <t>RMGS7VQO0H</t>
        </is>
      </c>
      <c r="D1399" s="7" t="n">
        <v>25</v>
      </c>
      <c r="E1399" s="7" t="n">
        <v>1320</v>
      </c>
      <c r="F1399" s="7" t="inlineStr">
        <is>
          <t>Yes</t>
        </is>
      </c>
      <c r="G1399" s="8" t="n"/>
    </row>
    <row r="1400">
      <c r="A1400" s="8" t="inlineStr">
        <is>
          <t>PGCV_0025_1321</t>
        </is>
      </c>
      <c r="B1400" s="8" t="inlineStr">
        <is>
          <t>22-37790</t>
        </is>
      </c>
      <c r="C1400" s="8" t="inlineStr">
        <is>
          <t>HBSQTPS5AR</t>
        </is>
      </c>
      <c r="D1400" s="7" t="n">
        <v>25</v>
      </c>
      <c r="E1400" s="7" t="n">
        <v>1321</v>
      </c>
      <c r="F1400" s="7" t="inlineStr">
        <is>
          <t>Yes</t>
        </is>
      </c>
      <c r="G1400" s="8" t="n"/>
    </row>
    <row r="1401">
      <c r="A1401" s="8" t="inlineStr">
        <is>
          <t>PGCV_0025_1322</t>
        </is>
      </c>
      <c r="B1401" s="8" t="inlineStr">
        <is>
          <t>22-37791</t>
        </is>
      </c>
      <c r="C1401" s="8" t="inlineStr">
        <is>
          <t>GOLHM4QF7I</t>
        </is>
      </c>
      <c r="D1401" s="7" t="n">
        <v>25</v>
      </c>
      <c r="E1401" s="7" t="n">
        <v>1322</v>
      </c>
      <c r="F1401" s="7" t="inlineStr">
        <is>
          <t>Yes</t>
        </is>
      </c>
      <c r="G1401" s="8" t="n"/>
    </row>
    <row r="1402">
      <c r="A1402" s="8" t="inlineStr">
        <is>
          <t>PGCV_0025_1323</t>
        </is>
      </c>
      <c r="B1402" s="8" t="inlineStr">
        <is>
          <t>C32380</t>
        </is>
      </c>
      <c r="C1402" s="8" t="inlineStr">
        <is>
          <t>HFBUL6CPMW</t>
        </is>
      </c>
      <c r="D1402" s="7" t="n">
        <v>25</v>
      </c>
      <c r="E1402" s="7" t="n">
        <v>1323</v>
      </c>
      <c r="F1402" s="7" t="inlineStr">
        <is>
          <t>Yes</t>
        </is>
      </c>
      <c r="G1402" s="8" t="n"/>
    </row>
    <row r="1403">
      <c r="A1403" s="8" t="inlineStr">
        <is>
          <t>PGCV_0025_1324</t>
        </is>
      </c>
      <c r="B1403" s="8" t="inlineStr">
        <is>
          <t>C32539</t>
        </is>
      </c>
      <c r="C1403" s="8" t="inlineStr">
        <is>
          <t>G6OQ013XLH</t>
        </is>
      </c>
      <c r="D1403" s="7" t="n">
        <v>25</v>
      </c>
      <c r="E1403" s="7" t="n">
        <v>1324</v>
      </c>
      <c r="F1403" s="7" t="inlineStr">
        <is>
          <t>Yes</t>
        </is>
      </c>
      <c r="G1403" s="8" t="n"/>
    </row>
    <row r="1404">
      <c r="A1404" s="8" t="inlineStr">
        <is>
          <t>PGCV_0025_1325</t>
        </is>
      </c>
      <c r="B1404" s="8" t="inlineStr">
        <is>
          <t>C32604</t>
        </is>
      </c>
      <c r="C1404" s="8" t="inlineStr">
        <is>
          <t>FEUTBOHEU4</t>
        </is>
      </c>
      <c r="D1404" s="7" t="n">
        <v>25</v>
      </c>
      <c r="E1404" s="7" t="n">
        <v>1325</v>
      </c>
      <c r="F1404" s="7" t="inlineStr">
        <is>
          <t>Yes</t>
        </is>
      </c>
      <c r="G1404" s="8" t="n"/>
    </row>
    <row r="1405">
      <c r="A1405" s="8" t="inlineStr">
        <is>
          <t>PGCV_0025_1326</t>
        </is>
      </c>
      <c r="B1405" s="8" t="inlineStr">
        <is>
          <t>C32612</t>
        </is>
      </c>
      <c r="C1405" s="8" t="inlineStr">
        <is>
          <t>4B4TM9CIDC</t>
        </is>
      </c>
      <c r="D1405" s="7" t="n">
        <v>25</v>
      </c>
      <c r="E1405" s="7" t="n">
        <v>1326</v>
      </c>
      <c r="F1405" s="7" t="inlineStr">
        <is>
          <t>Yes</t>
        </is>
      </c>
      <c r="G1405" s="8" t="n"/>
    </row>
    <row r="1406">
      <c r="A1406" s="8" t="inlineStr">
        <is>
          <t>PGCV_0025_1327</t>
        </is>
      </c>
      <c r="B1406" s="8" t="inlineStr">
        <is>
          <t>C32750</t>
        </is>
      </c>
      <c r="C1406" s="8" t="inlineStr">
        <is>
          <t>JG5E4MNTSY</t>
        </is>
      </c>
      <c r="D1406" s="7" t="n">
        <v>25</v>
      </c>
      <c r="E1406" s="7" t="n">
        <v>1327</v>
      </c>
      <c r="F1406" s="7" t="inlineStr">
        <is>
          <t>Yes</t>
        </is>
      </c>
      <c r="G1406" s="8" t="n"/>
    </row>
    <row r="1407">
      <c r="A1407" s="8" t="inlineStr">
        <is>
          <t>PGCV_0025_1328</t>
        </is>
      </c>
      <c r="B1407" s="8" t="inlineStr">
        <is>
          <t>C32751</t>
        </is>
      </c>
      <c r="C1407" s="8" t="inlineStr">
        <is>
          <t>ZWCOZ9ERWL</t>
        </is>
      </c>
      <c r="D1407" s="7" t="n">
        <v>25</v>
      </c>
      <c r="E1407" s="7" t="n">
        <v>1328</v>
      </c>
      <c r="F1407" s="7" t="inlineStr">
        <is>
          <t>Yes</t>
        </is>
      </c>
      <c r="G1407" s="8" t="n"/>
    </row>
    <row r="1408">
      <c r="A1408" s="8" t="inlineStr">
        <is>
          <t>PGCV_0026_1329</t>
        </is>
      </c>
      <c r="B1408" s="8" t="inlineStr">
        <is>
          <t>717B112999</t>
        </is>
      </c>
      <c r="C1408" s="8" t="inlineStr">
        <is>
          <t>AISFGX05ZS</t>
        </is>
      </c>
      <c r="D1408" s="7" t="n">
        <v>26</v>
      </c>
      <c r="E1408" s="7" t="n">
        <v>1329</v>
      </c>
      <c r="F1408" s="7" t="inlineStr">
        <is>
          <t>Yes</t>
        </is>
      </c>
      <c r="G1408" s="8" t="n"/>
    </row>
    <row r="1409">
      <c r="A1409" s="8" t="inlineStr">
        <is>
          <t>PGCV_0026_1330</t>
        </is>
      </c>
      <c r="B1409" s="8" t="inlineStr">
        <is>
          <t>717B112952</t>
        </is>
      </c>
      <c r="C1409" s="8" t="inlineStr">
        <is>
          <t>OXTCXY2A67</t>
        </is>
      </c>
      <c r="D1409" s="7" t="n">
        <v>26</v>
      </c>
      <c r="E1409" s="7" t="n">
        <v>1330</v>
      </c>
      <c r="F1409" s="7" t="inlineStr">
        <is>
          <t>Yes</t>
        </is>
      </c>
      <c r="G1409" s="8" t="n"/>
    </row>
    <row r="1410">
      <c r="A1410" s="8" t="inlineStr">
        <is>
          <t>PGCV_0026_1331</t>
        </is>
      </c>
      <c r="B1410" s="8" t="inlineStr">
        <is>
          <t>717B112957</t>
        </is>
      </c>
      <c r="C1410" s="8" t="inlineStr">
        <is>
          <t>DRGJDZ8QZT</t>
        </is>
      </c>
      <c r="D1410" s="7" t="n">
        <v>26</v>
      </c>
      <c r="E1410" s="7" t="n">
        <v>1331</v>
      </c>
      <c r="F1410" s="7" t="inlineStr">
        <is>
          <t>Yes</t>
        </is>
      </c>
      <c r="G1410" s="8" t="n"/>
    </row>
    <row r="1411">
      <c r="A1411" s="8" t="inlineStr">
        <is>
          <t>PGCV_0026_1332</t>
        </is>
      </c>
      <c r="B1411" s="8" t="inlineStr">
        <is>
          <t>717B112962</t>
        </is>
      </c>
      <c r="C1411" s="8" t="inlineStr">
        <is>
          <t>AXMIWLGONN</t>
        </is>
      </c>
      <c r="D1411" s="7" t="n">
        <v>26</v>
      </c>
      <c r="E1411" s="7" t="n">
        <v>1332</v>
      </c>
      <c r="F1411" s="7" t="inlineStr">
        <is>
          <t>Yes</t>
        </is>
      </c>
      <c r="G1411" s="8" t="n"/>
    </row>
    <row r="1412">
      <c r="A1412" s="8" t="inlineStr">
        <is>
          <t>PGCV_0026_1333</t>
        </is>
      </c>
      <c r="B1412" s="8" t="inlineStr">
        <is>
          <t>718B113101</t>
        </is>
      </c>
      <c r="C1412" s="8" t="inlineStr">
        <is>
          <t>RG7DTSIWGP</t>
        </is>
      </c>
      <c r="D1412" s="7" t="n">
        <v>26</v>
      </c>
      <c r="E1412" s="7" t="n">
        <v>1333</v>
      </c>
      <c r="F1412" s="7" t="inlineStr">
        <is>
          <t>Yes</t>
        </is>
      </c>
      <c r="G1412" s="8" t="n"/>
    </row>
    <row r="1413">
      <c r="A1413" s="8" t="inlineStr">
        <is>
          <t>PGCV_0026_1334</t>
        </is>
      </c>
      <c r="B1413" s="8" t="inlineStr">
        <is>
          <t>719B113401</t>
        </is>
      </c>
      <c r="C1413" s="8" t="inlineStr">
        <is>
          <t>BFTUQPJZPV</t>
        </is>
      </c>
      <c r="D1413" s="7" t="n">
        <v>26</v>
      </c>
      <c r="E1413" s="7" t="n">
        <v>1334</v>
      </c>
      <c r="F1413" s="7" t="inlineStr">
        <is>
          <t>Yes</t>
        </is>
      </c>
      <c r="G1413" s="8" t="n"/>
    </row>
    <row r="1414">
      <c r="A1414" s="8" t="inlineStr">
        <is>
          <t>PGCV_0026_1335</t>
        </is>
      </c>
      <c r="B1414" s="8" t="inlineStr">
        <is>
          <t>719B113286</t>
        </is>
      </c>
      <c r="C1414" s="8" t="inlineStr">
        <is>
          <t>WRYGSC556G</t>
        </is>
      </c>
      <c r="D1414" s="7" t="n">
        <v>26</v>
      </c>
      <c r="E1414" s="7" t="n">
        <v>1335</v>
      </c>
      <c r="F1414" s="7" t="inlineStr">
        <is>
          <t>Yes</t>
        </is>
      </c>
      <c r="G1414" s="8" t="n"/>
    </row>
    <row r="1415">
      <c r="A1415" s="8" t="inlineStr">
        <is>
          <t>PGCV_0026_1336</t>
        </is>
      </c>
      <c r="B1415" s="8" t="inlineStr">
        <is>
          <t>720B113486</t>
        </is>
      </c>
      <c r="C1415" s="8" t="inlineStr">
        <is>
          <t>OJMUQEMCP9</t>
        </is>
      </c>
      <c r="D1415" s="7" t="n">
        <v>26</v>
      </c>
      <c r="E1415" s="7" t="n">
        <v>1336</v>
      </c>
      <c r="F1415" s="7" t="inlineStr">
        <is>
          <t>Yes</t>
        </is>
      </c>
      <c r="G1415" s="8" t="n"/>
    </row>
    <row r="1416">
      <c r="A1416" s="8" t="inlineStr">
        <is>
          <t>PGCV_0025_1337</t>
        </is>
      </c>
      <c r="B1416" s="8" t="inlineStr">
        <is>
          <t>720B113558</t>
        </is>
      </c>
      <c r="C1416" s="8" t="inlineStr">
        <is>
          <t>DNDZECPIOY</t>
        </is>
      </c>
      <c r="D1416" s="7" t="n">
        <v>25</v>
      </c>
      <c r="E1416" s="7" t="n">
        <v>1337</v>
      </c>
      <c r="F1416" s="7" t="inlineStr">
        <is>
          <t>Yes</t>
        </is>
      </c>
      <c r="G1416" s="8" t="n"/>
    </row>
    <row r="1417">
      <c r="A1417" s="8" t="inlineStr">
        <is>
          <t>PGCV_0025_1338</t>
        </is>
      </c>
      <c r="B1417" s="8" t="inlineStr">
        <is>
          <t>721B113653</t>
        </is>
      </c>
      <c r="C1417" s="8" t="inlineStr">
        <is>
          <t>KMIGWYVXW9</t>
        </is>
      </c>
      <c r="D1417" s="7" t="n">
        <v>25</v>
      </c>
      <c r="E1417" s="7" t="n">
        <v>1338</v>
      </c>
      <c r="F1417" s="7" t="inlineStr">
        <is>
          <t>Yes</t>
        </is>
      </c>
      <c r="G1417" s="8" t="n"/>
    </row>
    <row r="1418">
      <c r="A1418" s="8" t="inlineStr">
        <is>
          <t>PGCV_0025_1339</t>
        </is>
      </c>
      <c r="B1418" s="8" t="inlineStr">
        <is>
          <t>721B113656</t>
        </is>
      </c>
      <c r="C1418" s="8" t="inlineStr">
        <is>
          <t>WTMJREA9YG</t>
        </is>
      </c>
      <c r="D1418" s="7" t="n">
        <v>25</v>
      </c>
      <c r="E1418" s="7" t="n">
        <v>1339</v>
      </c>
      <c r="F1418" s="7" t="inlineStr">
        <is>
          <t>Yes</t>
        </is>
      </c>
      <c r="G1418" s="8" t="n"/>
    </row>
    <row r="1419">
      <c r="A1419" s="8" t="inlineStr">
        <is>
          <t>PGCV_0025_1340</t>
        </is>
      </c>
      <c r="B1419" s="8" t="inlineStr">
        <is>
          <t>721B113659</t>
        </is>
      </c>
      <c r="C1419" s="8" t="inlineStr">
        <is>
          <t>Y4RBCDOI54</t>
        </is>
      </c>
      <c r="D1419" s="7" t="n">
        <v>25</v>
      </c>
      <c r="E1419" s="7" t="n">
        <v>1340</v>
      </c>
      <c r="F1419" s="7" t="inlineStr">
        <is>
          <t>Yes</t>
        </is>
      </c>
      <c r="G1419" s="8" t="n"/>
    </row>
    <row r="1420">
      <c r="A1420" s="8" t="inlineStr">
        <is>
          <t>PGCV_0025_1341</t>
        </is>
      </c>
      <c r="B1420" s="8" t="inlineStr">
        <is>
          <t>721B113660</t>
        </is>
      </c>
      <c r="C1420" s="8" t="inlineStr">
        <is>
          <t>ROOAJCDS42</t>
        </is>
      </c>
      <c r="D1420" s="7" t="n">
        <v>25</v>
      </c>
      <c r="E1420" s="7" t="n">
        <v>1341</v>
      </c>
      <c r="F1420" s="7" t="inlineStr">
        <is>
          <t>Yes</t>
        </is>
      </c>
      <c r="G1420" s="8" t="n"/>
    </row>
    <row r="1421">
      <c r="A1421" s="8" t="inlineStr">
        <is>
          <t>PGCV_0026_1342</t>
        </is>
      </c>
      <c r="B1421" s="8" t="inlineStr">
        <is>
          <t>721B113673</t>
        </is>
      </c>
      <c r="C1421" s="8" t="inlineStr">
        <is>
          <t>W0OJ2TDY9Y</t>
        </is>
      </c>
      <c r="D1421" s="7" t="n">
        <v>26</v>
      </c>
      <c r="E1421" s="7" t="n">
        <v>1342</v>
      </c>
      <c r="F1421" s="7" t="inlineStr">
        <is>
          <t>Yes</t>
        </is>
      </c>
      <c r="G1421" s="8" t="n"/>
    </row>
    <row r="1422">
      <c r="A1422" s="8" t="inlineStr">
        <is>
          <t>PGCV_0025_1343</t>
        </is>
      </c>
      <c r="B1422" s="8" t="inlineStr">
        <is>
          <t>721B113674</t>
        </is>
      </c>
      <c r="C1422" s="8" t="inlineStr">
        <is>
          <t>UZUSIWO1LC</t>
        </is>
      </c>
      <c r="D1422" s="7" t="n">
        <v>25</v>
      </c>
      <c r="E1422" s="7" t="n">
        <v>1343</v>
      </c>
      <c r="F1422" s="7" t="inlineStr">
        <is>
          <t>Yes</t>
        </is>
      </c>
      <c r="G1422" s="8" t="n"/>
    </row>
    <row r="1423">
      <c r="A1423" s="8" t="inlineStr">
        <is>
          <t>PGCV_0025_1344</t>
        </is>
      </c>
      <c r="B1423" s="8" t="inlineStr">
        <is>
          <t>721B113675</t>
        </is>
      </c>
      <c r="C1423" s="8" t="inlineStr">
        <is>
          <t>JDNQMGC1XD</t>
        </is>
      </c>
      <c r="D1423" s="7" t="n">
        <v>25</v>
      </c>
      <c r="E1423" s="7" t="n">
        <v>1344</v>
      </c>
      <c r="F1423" s="7" t="inlineStr">
        <is>
          <t>Yes</t>
        </is>
      </c>
      <c r="G1423" s="8" t="n"/>
    </row>
    <row r="1424">
      <c r="A1424" s="8" t="inlineStr">
        <is>
          <t>PGCV_0026_1345</t>
        </is>
      </c>
      <c r="B1424" s="8" t="inlineStr">
        <is>
          <t>721B113676</t>
        </is>
      </c>
      <c r="C1424" s="8" t="inlineStr">
        <is>
          <t>OSE7WRH0PK</t>
        </is>
      </c>
      <c r="D1424" s="7" t="n">
        <v>26</v>
      </c>
      <c r="E1424" s="7" t="n">
        <v>1345</v>
      </c>
      <c r="F1424" s="7" t="inlineStr">
        <is>
          <t>Yes</t>
        </is>
      </c>
      <c r="G1424" s="8" t="n"/>
    </row>
    <row r="1425">
      <c r="A1425" s="8" t="inlineStr">
        <is>
          <t>PGCV_0026_1346</t>
        </is>
      </c>
      <c r="B1425" s="8" t="inlineStr">
        <is>
          <t>721B113677</t>
        </is>
      </c>
      <c r="C1425" s="8" t="inlineStr">
        <is>
          <t>ZKJX6NXY78</t>
        </is>
      </c>
      <c r="D1425" s="7" t="n">
        <v>26</v>
      </c>
      <c r="E1425" s="7" t="n">
        <v>1346</v>
      </c>
      <c r="F1425" s="7" t="inlineStr">
        <is>
          <t>Yes</t>
        </is>
      </c>
      <c r="G1425" s="8" t="n"/>
    </row>
    <row r="1426">
      <c r="A1426" s="8" t="inlineStr">
        <is>
          <t>PGCV_0025_1347</t>
        </is>
      </c>
      <c r="B1426" s="8" t="inlineStr">
        <is>
          <t>722B113735</t>
        </is>
      </c>
      <c r="C1426" s="8" t="inlineStr">
        <is>
          <t>VWWVONULD1</t>
        </is>
      </c>
      <c r="D1426" s="7" t="n">
        <v>25</v>
      </c>
      <c r="E1426" s="7" t="n">
        <v>1347</v>
      </c>
      <c r="F1426" s="7" t="inlineStr">
        <is>
          <t>Yes</t>
        </is>
      </c>
      <c r="G1426" s="8" t="n"/>
    </row>
    <row r="1427">
      <c r="A1427" s="8" t="inlineStr">
        <is>
          <t>PGCV_0025_1348</t>
        </is>
      </c>
      <c r="B1427" s="8" t="inlineStr">
        <is>
          <t>RPMVI25584</t>
        </is>
      </c>
      <c r="C1427" s="8" t="inlineStr">
        <is>
          <t>Y9NKSDOODM</t>
        </is>
      </c>
      <c r="D1427" s="7" t="n">
        <v>25</v>
      </c>
      <c r="E1427" s="7" t="n">
        <v>1348</v>
      </c>
      <c r="F1427" s="7" t="inlineStr">
        <is>
          <t>Yes</t>
        </is>
      </c>
      <c r="G1427" s="8" t="n"/>
    </row>
    <row r="1428">
      <c r="A1428" s="8" t="inlineStr">
        <is>
          <t>PGCV_0025_1349</t>
        </is>
      </c>
      <c r="B1428" s="8" t="inlineStr">
        <is>
          <t>RPMVI25892</t>
        </is>
      </c>
      <c r="C1428" s="8" t="inlineStr">
        <is>
          <t>J1YIMOIL0Z</t>
        </is>
      </c>
      <c r="D1428" s="7" t="n">
        <v>25</v>
      </c>
      <c r="E1428" s="7" t="n">
        <v>1349</v>
      </c>
      <c r="F1428" s="7" t="inlineStr">
        <is>
          <t>Yes</t>
        </is>
      </c>
      <c r="G1428" s="8" t="n"/>
    </row>
    <row r="1429">
      <c r="A1429" s="8" t="inlineStr">
        <is>
          <t>PGCV_0025_1350</t>
        </is>
      </c>
      <c r="B1429" s="8" t="inlineStr">
        <is>
          <t>RPMVI25885</t>
        </is>
      </c>
      <c r="C1429" s="8" t="inlineStr">
        <is>
          <t>EDFCHWMDYB</t>
        </is>
      </c>
      <c r="D1429" s="7" t="n">
        <v>25</v>
      </c>
      <c r="E1429" s="7" t="n">
        <v>1350</v>
      </c>
      <c r="F1429" s="7" t="inlineStr">
        <is>
          <t>Yes</t>
        </is>
      </c>
      <c r="G1429" s="8" t="n"/>
    </row>
    <row r="1430">
      <c r="A1430" s="8" t="inlineStr">
        <is>
          <t>PGCV_0025_1351</t>
        </is>
      </c>
      <c r="B1430" s="8" t="inlineStr">
        <is>
          <t>RPMVI25893</t>
        </is>
      </c>
      <c r="C1430" s="8" t="inlineStr">
        <is>
          <t>AEYVWW0AKN</t>
        </is>
      </c>
      <c r="D1430" s="7" t="n">
        <v>25</v>
      </c>
      <c r="E1430" s="7" t="n">
        <v>1351</v>
      </c>
      <c r="F1430" s="7" t="inlineStr">
        <is>
          <t>Yes</t>
        </is>
      </c>
      <c r="G1430" s="8" t="n"/>
    </row>
    <row r="1431">
      <c r="A1431" s="8" t="inlineStr">
        <is>
          <t>PGCV_0025_1352</t>
        </is>
      </c>
      <c r="B1431" s="8" t="inlineStr">
        <is>
          <t>RPMVI25897</t>
        </is>
      </c>
      <c r="C1431" s="8" t="inlineStr">
        <is>
          <t>Q1DF0HMFOW</t>
        </is>
      </c>
      <c r="D1431" s="7" t="n">
        <v>25</v>
      </c>
      <c r="E1431" s="7" t="n">
        <v>1352</v>
      </c>
      <c r="F1431" s="7" t="inlineStr">
        <is>
          <t>Yes</t>
        </is>
      </c>
      <c r="G1431" s="8" t="n"/>
    </row>
    <row r="1432">
      <c r="A1432" s="8" t="inlineStr">
        <is>
          <t>PGCV_0025_1353</t>
        </is>
      </c>
      <c r="B1432" s="8" t="inlineStr">
        <is>
          <t>RPMVI25902</t>
        </is>
      </c>
      <c r="C1432" s="8" t="inlineStr">
        <is>
          <t>XBJ7ZBNNWC</t>
        </is>
      </c>
      <c r="D1432" s="7" t="n">
        <v>25</v>
      </c>
      <c r="E1432" s="7" t="n">
        <v>1353</v>
      </c>
      <c r="F1432" s="7" t="inlineStr">
        <is>
          <t>Yes</t>
        </is>
      </c>
      <c r="G1432" s="8" t="n"/>
    </row>
    <row r="1433">
      <c r="A1433" s="8" t="inlineStr">
        <is>
          <t>PGCV_0025_1354</t>
        </is>
      </c>
      <c r="B1433" s="8" t="inlineStr">
        <is>
          <t>RPMVI25903</t>
        </is>
      </c>
      <c r="C1433" s="8" t="inlineStr">
        <is>
          <t>FGFEMX2HLT</t>
        </is>
      </c>
      <c r="D1433" s="7" t="n">
        <v>25</v>
      </c>
      <c r="E1433" s="7" t="n">
        <v>1354</v>
      </c>
      <c r="F1433" s="7" t="inlineStr">
        <is>
          <t>Yes</t>
        </is>
      </c>
      <c r="G1433" s="8" t="n"/>
    </row>
    <row r="1434">
      <c r="A1434" s="8" t="inlineStr">
        <is>
          <t>PGCV_0025_1355</t>
        </is>
      </c>
      <c r="B1434" s="8" t="inlineStr">
        <is>
          <t>RPMVI25924</t>
        </is>
      </c>
      <c r="C1434" s="8" t="inlineStr">
        <is>
          <t>RSFB58JCWE</t>
        </is>
      </c>
      <c r="D1434" s="7" t="n">
        <v>25</v>
      </c>
      <c r="E1434" s="7" t="n">
        <v>1355</v>
      </c>
      <c r="F1434" s="7" t="inlineStr">
        <is>
          <t>Yes</t>
        </is>
      </c>
      <c r="G1434" s="8" t="n"/>
    </row>
    <row r="1435">
      <c r="A1435" s="8" t="inlineStr">
        <is>
          <t>PGCV_0025_1356</t>
        </is>
      </c>
      <c r="B1435" s="8" t="inlineStr">
        <is>
          <t>RPMVI25923</t>
        </is>
      </c>
      <c r="C1435" s="8" t="inlineStr">
        <is>
          <t>BJI9CK74UN</t>
        </is>
      </c>
      <c r="D1435" s="7" t="n">
        <v>25</v>
      </c>
      <c r="E1435" s="7" t="n">
        <v>1356</v>
      </c>
      <c r="F1435" s="7" t="inlineStr">
        <is>
          <t>Yes</t>
        </is>
      </c>
      <c r="G1435" s="8" t="n"/>
    </row>
    <row r="1436">
      <c r="A1436" s="8" t="inlineStr">
        <is>
          <t>PGCV_0025_1357</t>
        </is>
      </c>
      <c r="B1436" s="8" t="inlineStr">
        <is>
          <t>RMMCI1390</t>
        </is>
      </c>
      <c r="C1436" s="8" t="inlineStr">
        <is>
          <t>CEDOCH1IOG</t>
        </is>
      </c>
      <c r="D1436" s="7" t="n">
        <v>25</v>
      </c>
      <c r="E1436" s="7" t="n">
        <v>1357</v>
      </c>
      <c r="F1436" s="7" t="inlineStr">
        <is>
          <t>Yes</t>
        </is>
      </c>
      <c r="G1436" s="8" t="n"/>
    </row>
    <row r="1437">
      <c r="A1437" s="8" t="inlineStr">
        <is>
          <t>PGCV_0025_1358</t>
        </is>
      </c>
      <c r="B1437" s="8" t="inlineStr">
        <is>
          <t>RPMVI25939</t>
        </is>
      </c>
      <c r="C1437" s="8" t="inlineStr">
        <is>
          <t>CBZKOENSYD</t>
        </is>
      </c>
      <c r="D1437" s="7" t="n">
        <v>25</v>
      </c>
      <c r="E1437" s="7" t="n">
        <v>1358</v>
      </c>
      <c r="F1437" s="7" t="inlineStr">
        <is>
          <t>Yes</t>
        </is>
      </c>
      <c r="G1437" s="8" t="n"/>
    </row>
    <row r="1438">
      <c r="A1438" s="8" t="inlineStr">
        <is>
          <t>PGCV_0025_1359</t>
        </is>
      </c>
      <c r="B1438" s="8" t="inlineStr">
        <is>
          <t>RPMVI25962</t>
        </is>
      </c>
      <c r="C1438" s="8" t="inlineStr">
        <is>
          <t>T4VBABDSP0</t>
        </is>
      </c>
      <c r="D1438" s="7" t="n">
        <v>25</v>
      </c>
      <c r="E1438" s="7" t="n">
        <v>1359</v>
      </c>
      <c r="F1438" s="7" t="inlineStr">
        <is>
          <t>Yes</t>
        </is>
      </c>
      <c r="G1438" s="8" t="n"/>
    </row>
    <row r="1439">
      <c r="A1439" s="8" t="inlineStr">
        <is>
          <t>PGCV_0025_1360</t>
        </is>
      </c>
      <c r="B1439" s="8" t="inlineStr">
        <is>
          <t>RPMVI25971</t>
        </is>
      </c>
      <c r="C1439" s="8" t="inlineStr">
        <is>
          <t>IR0KECQ6JM</t>
        </is>
      </c>
      <c r="D1439" s="7" t="n">
        <v>25</v>
      </c>
      <c r="E1439" s="7" t="n">
        <v>1360</v>
      </c>
      <c r="F1439" s="7" t="inlineStr">
        <is>
          <t>Yes</t>
        </is>
      </c>
      <c r="G1439" s="8" t="n"/>
    </row>
    <row r="1440">
      <c r="A1440" s="8" t="inlineStr">
        <is>
          <t>PGCV_0025_1361</t>
        </is>
      </c>
      <c r="B1440" s="8" t="inlineStr">
        <is>
          <t>RPMVI25976</t>
        </is>
      </c>
      <c r="C1440" s="8" t="inlineStr">
        <is>
          <t>VLVLMO8ITJ</t>
        </is>
      </c>
      <c r="D1440" s="7" t="n">
        <v>25</v>
      </c>
      <c r="E1440" s="7" t="n">
        <v>1361</v>
      </c>
      <c r="F1440" s="7" t="inlineStr">
        <is>
          <t>Yes</t>
        </is>
      </c>
      <c r="G1440" s="8" t="n"/>
    </row>
    <row r="1441">
      <c r="A1441" s="8" t="inlineStr">
        <is>
          <t>PGCV_0025_1362</t>
        </is>
      </c>
      <c r="B1441" s="8" t="inlineStr">
        <is>
          <t>RPMVI25980</t>
        </is>
      </c>
      <c r="C1441" s="8" t="inlineStr">
        <is>
          <t>XTREFKU3AO</t>
        </is>
      </c>
      <c r="D1441" s="7" t="n">
        <v>25</v>
      </c>
      <c r="E1441" s="7" t="n">
        <v>1362</v>
      </c>
      <c r="F1441" s="7" t="inlineStr">
        <is>
          <t>Yes</t>
        </is>
      </c>
      <c r="G1441" s="8" t="n"/>
    </row>
    <row r="1442">
      <c r="A1442" s="8" t="inlineStr">
        <is>
          <t>PGCV_0025_1363</t>
        </is>
      </c>
      <c r="B1442" s="8" t="inlineStr">
        <is>
          <t>RPMVI25982</t>
        </is>
      </c>
      <c r="C1442" s="8" t="inlineStr">
        <is>
          <t>VNPJMF0LV2</t>
        </is>
      </c>
      <c r="D1442" s="7" t="n">
        <v>25</v>
      </c>
      <c r="E1442" s="7" t="n">
        <v>1363</v>
      </c>
      <c r="F1442" s="7" t="inlineStr">
        <is>
          <t>Yes</t>
        </is>
      </c>
      <c r="G1442" s="8" t="n"/>
    </row>
    <row r="1443">
      <c r="A1443" s="8" t="inlineStr">
        <is>
          <t>PGCV_0025_1364</t>
        </is>
      </c>
      <c r="B1443" s="8" t="inlineStr">
        <is>
          <t>RPMVI25988</t>
        </is>
      </c>
      <c r="C1443" s="8" t="inlineStr">
        <is>
          <t>HKRFIFPPWG</t>
        </is>
      </c>
      <c r="D1443" s="7" t="n">
        <v>25</v>
      </c>
      <c r="E1443" s="7" t="n">
        <v>1364</v>
      </c>
      <c r="F1443" s="7" t="inlineStr">
        <is>
          <t>Yes</t>
        </is>
      </c>
      <c r="G1443" s="8" t="n"/>
    </row>
    <row r="1444">
      <c r="A1444" s="8" t="inlineStr">
        <is>
          <t>PGCV_0025_1365</t>
        </is>
      </c>
      <c r="B1444" s="8" t="inlineStr">
        <is>
          <t>RPMVI25989</t>
        </is>
      </c>
      <c r="C1444" s="8" t="inlineStr">
        <is>
          <t>TPEMOCAKZJ</t>
        </is>
      </c>
      <c r="D1444" s="7" t="n">
        <v>25</v>
      </c>
      <c r="E1444" s="7" t="n">
        <v>1365</v>
      </c>
      <c r="F1444" s="7" t="inlineStr">
        <is>
          <t>Yes</t>
        </is>
      </c>
      <c r="G1444" s="8" t="n"/>
    </row>
    <row r="1445">
      <c r="A1445" s="8" t="inlineStr">
        <is>
          <t>PGCV_0025_1366</t>
        </is>
      </c>
      <c r="B1445" s="8" t="inlineStr">
        <is>
          <t>RPMVI25996</t>
        </is>
      </c>
      <c r="C1445" s="8" t="inlineStr">
        <is>
          <t>M64SRD0ED8</t>
        </is>
      </c>
      <c r="D1445" s="7" t="n">
        <v>25</v>
      </c>
      <c r="E1445" s="7" t="n">
        <v>1366</v>
      </c>
      <c r="F1445" s="7" t="inlineStr">
        <is>
          <t>Yes</t>
        </is>
      </c>
      <c r="G1445" s="8" t="n"/>
    </row>
    <row r="1446">
      <c r="A1446" s="8" t="inlineStr">
        <is>
          <t>PGCV_0025_1367</t>
        </is>
      </c>
      <c r="B1446" s="8" t="inlineStr">
        <is>
          <t>RPMVI26005</t>
        </is>
      </c>
      <c r="C1446" s="8" t="inlineStr">
        <is>
          <t>KHYD9YIA74</t>
        </is>
      </c>
      <c r="D1446" s="7" t="n">
        <v>25</v>
      </c>
      <c r="E1446" s="7" t="n">
        <v>1367</v>
      </c>
      <c r="F1446" s="7" t="inlineStr">
        <is>
          <t>Yes</t>
        </is>
      </c>
      <c r="G1446" s="8" t="n"/>
    </row>
    <row r="1447">
      <c r="A1447" s="8" t="inlineStr">
        <is>
          <t>PGCV_0025_1368</t>
        </is>
      </c>
      <c r="B1447" s="8" t="inlineStr">
        <is>
          <t>RPMVI26007</t>
        </is>
      </c>
      <c r="C1447" s="8" t="inlineStr">
        <is>
          <t>3TSZ8NZWDT</t>
        </is>
      </c>
      <c r="D1447" s="7" t="n">
        <v>25</v>
      </c>
      <c r="E1447" s="7" t="n">
        <v>1368</v>
      </c>
      <c r="F1447" s="7" t="inlineStr">
        <is>
          <t>Yes</t>
        </is>
      </c>
      <c r="G1447" s="8" t="n"/>
    </row>
    <row r="1448">
      <c r="A1448" s="8" t="inlineStr">
        <is>
          <t>PGCV_0025_1369</t>
        </is>
      </c>
      <c r="B1448" s="8" t="inlineStr">
        <is>
          <t>RPMVI26012</t>
        </is>
      </c>
      <c r="C1448" s="8" t="inlineStr">
        <is>
          <t>JANCZKX7I1</t>
        </is>
      </c>
      <c r="D1448" s="7" t="n">
        <v>25</v>
      </c>
      <c r="E1448" s="7" t="n">
        <v>1369</v>
      </c>
      <c r="F1448" s="7" t="inlineStr">
        <is>
          <t>Yes</t>
        </is>
      </c>
      <c r="G1448" s="8" t="n"/>
    </row>
    <row r="1449">
      <c r="A1449" s="8" t="inlineStr">
        <is>
          <t>PGCV_0025_1370</t>
        </is>
      </c>
      <c r="B1449" s="8" t="inlineStr">
        <is>
          <t>RPMVI26014</t>
        </is>
      </c>
      <c r="C1449" s="8" t="inlineStr">
        <is>
          <t>F4P5MBHHUJ</t>
        </is>
      </c>
      <c r="D1449" s="7" t="n">
        <v>25</v>
      </c>
      <c r="E1449" s="7" t="n">
        <v>1370</v>
      </c>
      <c r="F1449" s="7" t="inlineStr">
        <is>
          <t>Yes</t>
        </is>
      </c>
      <c r="G1449" s="8" t="n"/>
    </row>
    <row r="1450">
      <c r="A1450" s="8" t="inlineStr">
        <is>
          <t>PGCV_0025_1371</t>
        </is>
      </c>
      <c r="B1450" s="8" t="inlineStr">
        <is>
          <t>RPMVI26019</t>
        </is>
      </c>
      <c r="C1450" s="8" t="inlineStr">
        <is>
          <t>AVZKGL6DI9</t>
        </is>
      </c>
      <c r="D1450" s="7" t="n">
        <v>25</v>
      </c>
      <c r="E1450" s="7" t="n">
        <v>1371</v>
      </c>
      <c r="F1450" s="7" t="inlineStr">
        <is>
          <t>Yes</t>
        </is>
      </c>
      <c r="G1450" s="8" t="n"/>
    </row>
    <row r="1451">
      <c r="A1451" s="8" t="inlineStr">
        <is>
          <t>PGCV_0025_1372</t>
        </is>
      </c>
      <c r="B1451" s="8" t="inlineStr">
        <is>
          <t>RQHHS02358</t>
        </is>
      </c>
      <c r="C1451" s="8" t="inlineStr">
        <is>
          <t>QKJNJBSNO7</t>
        </is>
      </c>
      <c r="D1451" s="7" t="n">
        <v>25</v>
      </c>
      <c r="E1451" s="7" t="n">
        <v>1372</v>
      </c>
      <c r="F1451" s="7" t="inlineStr">
        <is>
          <t>Yes</t>
        </is>
      </c>
      <c r="G1451" s="8" t="n"/>
    </row>
    <row r="1452">
      <c r="A1452" s="8" t="inlineStr">
        <is>
          <t>PGCV_0025_1373</t>
        </is>
      </c>
      <c r="B1452" s="8" t="inlineStr">
        <is>
          <t>RQHHS02360</t>
        </is>
      </c>
      <c r="C1452" s="8" t="inlineStr">
        <is>
          <t>G4YXV6BF4X</t>
        </is>
      </c>
      <c r="D1452" s="7" t="n">
        <v>25</v>
      </c>
      <c r="E1452" s="7" t="n">
        <v>1373</v>
      </c>
      <c r="F1452" s="7" t="inlineStr">
        <is>
          <t>Yes</t>
        </is>
      </c>
      <c r="G1452" s="8" t="n"/>
    </row>
    <row r="1453">
      <c r="A1453" s="8" t="inlineStr">
        <is>
          <t>PGCV_0025_1374</t>
        </is>
      </c>
      <c r="B1453" s="8" t="inlineStr">
        <is>
          <t>RQIPD01161</t>
        </is>
      </c>
      <c r="C1453" s="8" t="inlineStr">
        <is>
          <t>7MMOSJPBRF</t>
        </is>
      </c>
      <c r="D1453" s="7" t="n">
        <v>25</v>
      </c>
      <c r="E1453" s="7" t="n">
        <v>1374</v>
      </c>
      <c r="F1453" s="7" t="inlineStr">
        <is>
          <t>Yes</t>
        </is>
      </c>
      <c r="G1453" s="8" t="n"/>
    </row>
    <row r="1454">
      <c r="A1454" s="8" t="inlineStr">
        <is>
          <t>PGCV_0025_1375</t>
        </is>
      </c>
      <c r="B1454" s="8" t="inlineStr">
        <is>
          <t>RLGUO00023</t>
        </is>
      </c>
      <c r="C1454" s="8" t="inlineStr">
        <is>
          <t>2ZBAITZKJN</t>
        </is>
      </c>
      <c r="D1454" s="7" t="n">
        <v>25</v>
      </c>
      <c r="E1454" s="7" t="n">
        <v>1375</v>
      </c>
      <c r="F1454" s="7" t="inlineStr">
        <is>
          <t>Yes</t>
        </is>
      </c>
      <c r="G1454" s="8" t="n"/>
    </row>
    <row r="1455">
      <c r="A1455" s="8" t="inlineStr">
        <is>
          <t>PGCV_0026_1376</t>
        </is>
      </c>
      <c r="B1455" s="8" t="inlineStr">
        <is>
          <t>COVID-SNL-22-70235</t>
        </is>
      </c>
      <c r="C1455" s="8" t="inlineStr">
        <is>
          <t>VSCT60NZXL</t>
        </is>
      </c>
      <c r="D1455" s="7" t="n">
        <v>26</v>
      </c>
      <c r="E1455" s="7" t="n">
        <v>1376</v>
      </c>
      <c r="F1455" s="7" t="inlineStr">
        <is>
          <t>Yes</t>
        </is>
      </c>
      <c r="G1455" s="8" t="n"/>
    </row>
    <row r="1456">
      <c r="A1456" s="8" t="inlineStr">
        <is>
          <t>PGCV_0026_1377</t>
        </is>
      </c>
      <c r="B1456" s="8" t="inlineStr">
        <is>
          <t>COVID-SNL-22-70283</t>
        </is>
      </c>
      <c r="C1456" s="8" t="inlineStr">
        <is>
          <t>DLSS7LLMHO</t>
        </is>
      </c>
      <c r="D1456" s="7" t="n">
        <v>26</v>
      </c>
      <c r="E1456" s="7" t="n">
        <v>1377</v>
      </c>
      <c r="F1456" s="7" t="inlineStr">
        <is>
          <t>Yes</t>
        </is>
      </c>
      <c r="G1456" s="8" t="n"/>
    </row>
    <row r="1457">
      <c r="A1457" s="8" t="inlineStr">
        <is>
          <t>PGCV_0026_1378</t>
        </is>
      </c>
      <c r="B1457" s="8" t="inlineStr">
        <is>
          <t>COVID-SNL-22-70321</t>
        </is>
      </c>
      <c r="C1457" s="8" t="inlineStr">
        <is>
          <t>0VCWQOY62R</t>
        </is>
      </c>
      <c r="D1457" s="7" t="n">
        <v>26</v>
      </c>
      <c r="E1457" s="7" t="n">
        <v>1378</v>
      </c>
      <c r="F1457" s="7" t="inlineStr">
        <is>
          <t>Yes</t>
        </is>
      </c>
      <c r="G1457" s="8" t="n"/>
    </row>
    <row r="1458">
      <c r="A1458" s="8" t="inlineStr">
        <is>
          <t>PGCV_0026_1379</t>
        </is>
      </c>
      <c r="B1458" s="8" t="inlineStr">
        <is>
          <t>COVID-SNL-22-70336</t>
        </is>
      </c>
      <c r="C1458" s="8" t="inlineStr">
        <is>
          <t>DMNJTPSRCU</t>
        </is>
      </c>
      <c r="D1458" s="7" t="n">
        <v>26</v>
      </c>
      <c r="E1458" s="7" t="n">
        <v>1379</v>
      </c>
      <c r="F1458" s="7" t="inlineStr">
        <is>
          <t>Yes</t>
        </is>
      </c>
      <c r="G1458" s="8" t="n"/>
    </row>
    <row r="1459">
      <c r="A1459" s="8" t="inlineStr">
        <is>
          <t>PGCV_0026_1380</t>
        </is>
      </c>
      <c r="B1459" s="8" t="inlineStr">
        <is>
          <t>COVID-SNL-22-70340</t>
        </is>
      </c>
      <c r="C1459" s="8" t="inlineStr">
        <is>
          <t>BTUWJMNF3P</t>
        </is>
      </c>
      <c r="D1459" s="7" t="n">
        <v>26</v>
      </c>
      <c r="E1459" s="7" t="n">
        <v>1380</v>
      </c>
      <c r="F1459" s="7" t="inlineStr">
        <is>
          <t>Yes</t>
        </is>
      </c>
      <c r="G1459" s="8" t="n"/>
    </row>
    <row r="1460">
      <c r="A1460" s="8" t="inlineStr">
        <is>
          <t>PGCV_0026_1381</t>
        </is>
      </c>
      <c r="B1460" s="8" t="inlineStr">
        <is>
          <t>COVID-SNL-22-70342</t>
        </is>
      </c>
      <c r="C1460" s="8" t="inlineStr">
        <is>
          <t>ST5PQTYAPK</t>
        </is>
      </c>
      <c r="D1460" s="7" t="n">
        <v>26</v>
      </c>
      <c r="E1460" s="7" t="n">
        <v>1381</v>
      </c>
      <c r="F1460" s="7" t="inlineStr">
        <is>
          <t>Yes</t>
        </is>
      </c>
      <c r="G1460" s="8" t="n"/>
    </row>
    <row r="1461">
      <c r="A1461" s="8" t="inlineStr">
        <is>
          <t>PGCV_0026_1382</t>
        </is>
      </c>
      <c r="B1461" s="8" t="inlineStr">
        <is>
          <t>COVID-SNL-22-70380</t>
        </is>
      </c>
      <c r="C1461" s="8" t="inlineStr">
        <is>
          <t>K57LNIBPF6</t>
        </is>
      </c>
      <c r="D1461" s="7" t="n">
        <v>26</v>
      </c>
      <c r="E1461" s="7" t="n">
        <v>1382</v>
      </c>
      <c r="F1461" s="7" t="inlineStr">
        <is>
          <t>Yes</t>
        </is>
      </c>
      <c r="G1461" s="8" t="n"/>
    </row>
    <row r="1462">
      <c r="A1462" s="8" t="inlineStr">
        <is>
          <t>PGCV_0026_1383</t>
        </is>
      </c>
      <c r="B1462" s="8" t="inlineStr">
        <is>
          <t>COVID-SNL-22-70385</t>
        </is>
      </c>
      <c r="C1462" s="8" t="inlineStr">
        <is>
          <t>NXBRFEUYQC</t>
        </is>
      </c>
      <c r="D1462" s="7" t="n">
        <v>26</v>
      </c>
      <c r="E1462" s="7" t="n">
        <v>1383</v>
      </c>
      <c r="F1462" s="7" t="inlineStr">
        <is>
          <t>Yes</t>
        </is>
      </c>
      <c r="G1462" s="8" t="n"/>
    </row>
    <row r="1463">
      <c r="A1463" s="8" t="inlineStr">
        <is>
          <t>PGCV_0026_1384</t>
        </is>
      </c>
      <c r="B1463" s="8" t="inlineStr">
        <is>
          <t>COVID-SNL-22-70391</t>
        </is>
      </c>
      <c r="C1463" s="8" t="inlineStr">
        <is>
          <t>DILK3HMFO5</t>
        </is>
      </c>
      <c r="D1463" s="7" t="n">
        <v>26</v>
      </c>
      <c r="E1463" s="7" t="n">
        <v>1384</v>
      </c>
      <c r="F1463" s="7" t="inlineStr">
        <is>
          <t>Yes</t>
        </is>
      </c>
      <c r="G1463" s="8" t="n"/>
    </row>
    <row r="1464">
      <c r="A1464" s="8" t="inlineStr">
        <is>
          <t>PGCV_0026_1385</t>
        </is>
      </c>
      <c r="B1464" s="8" t="inlineStr">
        <is>
          <t>COVID-SNL-22-70394</t>
        </is>
      </c>
      <c r="C1464" s="8" t="inlineStr">
        <is>
          <t>8QTPEHSBGZ</t>
        </is>
      </c>
      <c r="D1464" s="7" t="n">
        <v>26</v>
      </c>
      <c r="E1464" s="7" t="n">
        <v>1385</v>
      </c>
      <c r="F1464" s="7" t="inlineStr">
        <is>
          <t>Yes</t>
        </is>
      </c>
      <c r="G1464" s="8" t="n"/>
    </row>
    <row r="1465">
      <c r="A1465" s="8" t="inlineStr">
        <is>
          <t>PGCV_0026_1386</t>
        </is>
      </c>
      <c r="B1465" s="8" t="inlineStr">
        <is>
          <t>COVID-SNL-22-70401</t>
        </is>
      </c>
      <c r="C1465" s="8" t="inlineStr">
        <is>
          <t>NRKLOBIUDB</t>
        </is>
      </c>
      <c r="D1465" s="7" t="n">
        <v>26</v>
      </c>
      <c r="E1465" s="7" t="n">
        <v>1386</v>
      </c>
      <c r="F1465" s="7" t="inlineStr">
        <is>
          <t>Yes</t>
        </is>
      </c>
      <c r="G1465" s="8" t="n"/>
    </row>
    <row r="1466">
      <c r="A1466" s="8" t="inlineStr">
        <is>
          <t>PGCV_0026_1387</t>
        </is>
      </c>
      <c r="B1466" s="8" t="inlineStr">
        <is>
          <t>COVID-SNL-22-70405</t>
        </is>
      </c>
      <c r="C1466" s="8" t="inlineStr">
        <is>
          <t>GNS13MNVJI</t>
        </is>
      </c>
      <c r="D1466" s="7" t="n">
        <v>26</v>
      </c>
      <c r="E1466" s="7" t="n">
        <v>1387</v>
      </c>
      <c r="F1466" s="7" t="inlineStr">
        <is>
          <t>Yes</t>
        </is>
      </c>
      <c r="G1466" s="8" t="n"/>
    </row>
    <row r="1467">
      <c r="A1467" s="8" t="inlineStr">
        <is>
          <t>PGCV_0026_1388</t>
        </is>
      </c>
      <c r="B1467" s="8" t="inlineStr">
        <is>
          <t>COVID-SNL-22-70437</t>
        </is>
      </c>
      <c r="C1467" s="8" t="inlineStr">
        <is>
          <t>ICO2QFJTJN</t>
        </is>
      </c>
      <c r="D1467" s="7" t="n">
        <v>26</v>
      </c>
      <c r="E1467" s="7" t="n">
        <v>1388</v>
      </c>
      <c r="F1467" s="7" t="inlineStr">
        <is>
          <t>Yes</t>
        </is>
      </c>
      <c r="G1467" s="8" t="n"/>
    </row>
    <row r="1468">
      <c r="A1468" s="8" t="inlineStr">
        <is>
          <t>PGCV_0026_1389</t>
        </is>
      </c>
      <c r="B1468" s="8" t="inlineStr">
        <is>
          <t>COVID-SNL-22-70443</t>
        </is>
      </c>
      <c r="C1468" s="8" t="inlineStr">
        <is>
          <t>BYG6NELCSN</t>
        </is>
      </c>
      <c r="D1468" s="7" t="n">
        <v>26</v>
      </c>
      <c r="E1468" s="7" t="n">
        <v>1389</v>
      </c>
      <c r="F1468" s="7" t="inlineStr">
        <is>
          <t>Yes</t>
        </is>
      </c>
      <c r="G1468" s="8" t="n"/>
    </row>
    <row r="1469">
      <c r="A1469" s="8" t="inlineStr">
        <is>
          <t>PGCV_0026_1390</t>
        </is>
      </c>
      <c r="B1469" s="8" t="inlineStr">
        <is>
          <t>COVID-SNL-22-70468</t>
        </is>
      </c>
      <c r="C1469" s="8" t="inlineStr">
        <is>
          <t>TBHCD9QZYI</t>
        </is>
      </c>
      <c r="D1469" s="7" t="n">
        <v>26</v>
      </c>
      <c r="E1469" s="7" t="n">
        <v>1390</v>
      </c>
      <c r="F1469" s="7" t="inlineStr">
        <is>
          <t>Yes</t>
        </is>
      </c>
      <c r="G1469" s="8" t="n"/>
    </row>
    <row r="1470">
      <c r="A1470" s="8" t="inlineStr">
        <is>
          <t>PGCV_0026_1391</t>
        </is>
      </c>
      <c r="B1470" s="8" t="inlineStr">
        <is>
          <t>COVID-SNL-22-70473</t>
        </is>
      </c>
      <c r="C1470" s="8" t="inlineStr">
        <is>
          <t>OCKRIH1GEZ</t>
        </is>
      </c>
      <c r="D1470" s="7" t="n">
        <v>26</v>
      </c>
      <c r="E1470" s="7" t="n">
        <v>1391</v>
      </c>
      <c r="F1470" s="7" t="inlineStr">
        <is>
          <t>Yes</t>
        </is>
      </c>
      <c r="G1470" s="8" t="n"/>
    </row>
    <row r="1471">
      <c r="A1471" s="8" t="inlineStr">
        <is>
          <t>PGCV_0026_1392</t>
        </is>
      </c>
      <c r="B1471" s="8" t="inlineStr">
        <is>
          <t>COVID-SNL-22-70484</t>
        </is>
      </c>
      <c r="C1471" s="8" t="inlineStr">
        <is>
          <t>8CWGOBUVFF</t>
        </is>
      </c>
      <c r="D1471" s="7" t="n">
        <v>26</v>
      </c>
      <c r="E1471" s="7" t="n">
        <v>1392</v>
      </c>
      <c r="F1471" s="7" t="inlineStr">
        <is>
          <t>Yes</t>
        </is>
      </c>
      <c r="G1471" s="8" t="n"/>
    </row>
    <row r="1472">
      <c r="A1472" s="8" t="inlineStr">
        <is>
          <t>PGCV_0026_1393</t>
        </is>
      </c>
      <c r="B1472" s="8" t="inlineStr">
        <is>
          <t>COVID-SNL-22-70489</t>
        </is>
      </c>
      <c r="C1472" s="8" t="inlineStr">
        <is>
          <t>MIQCXPMZNY</t>
        </is>
      </c>
      <c r="D1472" s="7" t="n">
        <v>26</v>
      </c>
      <c r="E1472" s="7" t="n">
        <v>1393</v>
      </c>
      <c r="F1472" s="7" t="inlineStr">
        <is>
          <t>Yes</t>
        </is>
      </c>
      <c r="G1472" s="8" t="n"/>
    </row>
    <row r="1473">
      <c r="A1473" s="8" t="inlineStr">
        <is>
          <t>PGCV_0026_1394</t>
        </is>
      </c>
      <c r="B1473" s="8" t="inlineStr">
        <is>
          <t>COVID-SNL-22-70499</t>
        </is>
      </c>
      <c r="C1473" s="8" t="inlineStr">
        <is>
          <t>HJGLB9YRIQ</t>
        </is>
      </c>
      <c r="D1473" s="7" t="n">
        <v>26</v>
      </c>
      <c r="E1473" s="7" t="n">
        <v>1394</v>
      </c>
      <c r="F1473" s="7" t="inlineStr">
        <is>
          <t>Yes</t>
        </is>
      </c>
      <c r="G1473" s="8" t="n"/>
    </row>
    <row r="1474">
      <c r="A1474" s="8" t="inlineStr">
        <is>
          <t>PGCV_0026_1395</t>
        </is>
      </c>
      <c r="B1474" s="8" t="inlineStr">
        <is>
          <t>COVID-SNL-22-70504</t>
        </is>
      </c>
      <c r="C1474" s="8" t="inlineStr">
        <is>
          <t>RJ9XBNP9CT</t>
        </is>
      </c>
      <c r="D1474" s="7" t="n">
        <v>26</v>
      </c>
      <c r="E1474" s="7" t="n">
        <v>1395</v>
      </c>
      <c r="F1474" s="7" t="inlineStr">
        <is>
          <t>Yes</t>
        </is>
      </c>
      <c r="G1474" s="8" t="n"/>
    </row>
    <row r="1475">
      <c r="A1475" s="8" t="inlineStr">
        <is>
          <t>PGCV_0026_1396</t>
        </is>
      </c>
      <c r="B1475" s="8" t="inlineStr">
        <is>
          <t>COVID-SNL-22-70510</t>
        </is>
      </c>
      <c r="C1475" s="8" t="inlineStr">
        <is>
          <t>PTOG0ELDSI</t>
        </is>
      </c>
      <c r="D1475" s="7" t="n">
        <v>26</v>
      </c>
      <c r="E1475" s="7" t="n">
        <v>1396</v>
      </c>
      <c r="F1475" s="7" t="inlineStr">
        <is>
          <t>Yes</t>
        </is>
      </c>
      <c r="G1475" s="8" t="n"/>
    </row>
    <row r="1476">
      <c r="A1476" s="8" t="inlineStr">
        <is>
          <t>PGCV_0026_1397</t>
        </is>
      </c>
      <c r="B1476" s="8" t="inlineStr">
        <is>
          <t>COVID-SNL-22-70513</t>
        </is>
      </c>
      <c r="C1476" s="8" t="inlineStr">
        <is>
          <t>AHYPNU2REI</t>
        </is>
      </c>
      <c r="D1476" s="7" t="n">
        <v>26</v>
      </c>
      <c r="E1476" s="7" t="n">
        <v>1397</v>
      </c>
      <c r="F1476" s="7" t="inlineStr">
        <is>
          <t>Yes</t>
        </is>
      </c>
      <c r="G1476" s="8" t="n"/>
    </row>
    <row r="1477">
      <c r="A1477" s="8" t="inlineStr">
        <is>
          <t>PGCV_0026_1398</t>
        </is>
      </c>
      <c r="B1477" s="8" t="inlineStr">
        <is>
          <t>COVID-SNL-22-70581</t>
        </is>
      </c>
      <c r="C1477" s="8" t="inlineStr">
        <is>
          <t>30LWCTHJNN</t>
        </is>
      </c>
      <c r="D1477" s="7" t="n">
        <v>26</v>
      </c>
      <c r="E1477" s="7" t="n">
        <v>1398</v>
      </c>
      <c r="F1477" s="7" t="inlineStr">
        <is>
          <t>Yes</t>
        </is>
      </c>
      <c r="G1477" s="8" t="n"/>
    </row>
    <row r="1478">
      <c r="A1478" s="8" t="inlineStr">
        <is>
          <t>PGCV_0026_1399</t>
        </is>
      </c>
      <c r="B1478" s="8" t="inlineStr">
        <is>
          <t>COVID-SNL-22-70533</t>
        </is>
      </c>
      <c r="C1478" s="8" t="inlineStr">
        <is>
          <t>PNQ6SXQNXG</t>
        </is>
      </c>
      <c r="D1478" s="7" t="n">
        <v>26</v>
      </c>
      <c r="E1478" s="7" t="n">
        <v>1399</v>
      </c>
      <c r="F1478" s="7" t="inlineStr">
        <is>
          <t>Yes</t>
        </is>
      </c>
      <c r="G1478" s="8" t="n"/>
    </row>
    <row r="1479">
      <c r="A1479" s="8" t="inlineStr">
        <is>
          <t>PGCV_0026_1400</t>
        </is>
      </c>
      <c r="B1479" s="8" t="inlineStr">
        <is>
          <t>COVID-SNL-22-70535</t>
        </is>
      </c>
      <c r="C1479" s="8" t="inlineStr">
        <is>
          <t>WJJ2FIOCKD</t>
        </is>
      </c>
      <c r="D1479" s="7" t="n">
        <v>26</v>
      </c>
      <c r="E1479" s="7" t="n">
        <v>1400</v>
      </c>
      <c r="F1479" s="7" t="inlineStr">
        <is>
          <t>No</t>
        </is>
      </c>
      <c r="G1479" s="8" t="n"/>
    </row>
    <row r="1480">
      <c r="A1480" s="8" t="inlineStr">
        <is>
          <t>PGCV_0026_1401</t>
        </is>
      </c>
      <c r="B1480" s="8" t="inlineStr">
        <is>
          <t>COVID-SNL-22-70547</t>
        </is>
      </c>
      <c r="C1480" s="8" t="inlineStr">
        <is>
          <t>J7PFB6EEW9</t>
        </is>
      </c>
      <c r="D1480" s="7" t="n">
        <v>26</v>
      </c>
      <c r="E1480" s="7" t="n">
        <v>1401</v>
      </c>
      <c r="F1480" s="7" t="inlineStr">
        <is>
          <t>Yes</t>
        </is>
      </c>
      <c r="G1480" s="8" t="n"/>
    </row>
    <row r="1481">
      <c r="A1481" s="8" t="inlineStr">
        <is>
          <t>PGCV_0026_1402</t>
        </is>
      </c>
      <c r="B1481" s="8" t="inlineStr">
        <is>
          <t>COVID-SNL-22-70578</t>
        </is>
      </c>
      <c r="C1481" s="8" t="inlineStr">
        <is>
          <t>JRBX2TOMZJ</t>
        </is>
      </c>
      <c r="D1481" s="7" t="n">
        <v>26</v>
      </c>
      <c r="E1481" s="7" t="n">
        <v>1402</v>
      </c>
      <c r="F1481" s="7" t="inlineStr">
        <is>
          <t>Yes</t>
        </is>
      </c>
      <c r="G1481" s="8" t="n"/>
    </row>
    <row r="1482">
      <c r="A1482" s="8" t="inlineStr">
        <is>
          <t>PGCV_0026_1403</t>
        </is>
      </c>
      <c r="B1482" s="8" t="inlineStr">
        <is>
          <t>COVID-SNL-22-70624</t>
        </is>
      </c>
      <c r="C1482" s="8" t="inlineStr">
        <is>
          <t>BRAEEBIH</t>
        </is>
      </c>
      <c r="D1482" s="7" t="n">
        <v>26</v>
      </c>
      <c r="E1482" s="7" t="n">
        <v>1403</v>
      </c>
      <c r="F1482" s="7" t="inlineStr">
        <is>
          <t>Yes</t>
        </is>
      </c>
      <c r="G1482" s="8" t="n"/>
    </row>
    <row r="1483">
      <c r="A1483" s="8" t="inlineStr">
        <is>
          <t>PGCV_0026_1404</t>
        </is>
      </c>
      <c r="B1483" s="8" t="inlineStr">
        <is>
          <t>COVID-SNL-22-70630</t>
        </is>
      </c>
      <c r="C1483" s="8" t="inlineStr">
        <is>
          <t>EVS4MACR7E</t>
        </is>
      </c>
      <c r="D1483" s="7" t="n">
        <v>26</v>
      </c>
      <c r="E1483" s="7" t="n">
        <v>1404</v>
      </c>
      <c r="F1483" s="7" t="inlineStr">
        <is>
          <t>Yes</t>
        </is>
      </c>
      <c r="G1483" s="8" t="n"/>
    </row>
    <row r="1484">
      <c r="A1484" s="8" t="inlineStr">
        <is>
          <t>PGCV_0026_1405</t>
        </is>
      </c>
      <c r="B1484" s="8" t="inlineStr">
        <is>
          <t>COVID-SNL-22-70652</t>
        </is>
      </c>
      <c r="C1484" s="8" t="inlineStr">
        <is>
          <t>KKYONVFWZB</t>
        </is>
      </c>
      <c r="D1484" s="7" t="n">
        <v>26</v>
      </c>
      <c r="E1484" s="7" t="n">
        <v>1405</v>
      </c>
      <c r="F1484" s="7" t="inlineStr">
        <is>
          <t>Yes</t>
        </is>
      </c>
      <c r="G1484" s="8" t="n"/>
    </row>
    <row r="1485">
      <c r="A1485" s="8" t="inlineStr">
        <is>
          <t>PGCV_0026_1406</t>
        </is>
      </c>
      <c r="B1485" s="8" t="inlineStr">
        <is>
          <t>COVID-SNL-22-70653</t>
        </is>
      </c>
      <c r="C1485" s="8" t="inlineStr">
        <is>
          <t>HZ8ZRQOL4O</t>
        </is>
      </c>
      <c r="D1485" s="7" t="n">
        <v>26</v>
      </c>
      <c r="E1485" s="7" t="n">
        <v>1406</v>
      </c>
      <c r="F1485" s="7" t="inlineStr">
        <is>
          <t>Yes</t>
        </is>
      </c>
      <c r="G1485" s="8" t="n"/>
    </row>
    <row r="1486">
      <c r="A1486" s="8" t="inlineStr">
        <is>
          <t>PGCV_0026_1407</t>
        </is>
      </c>
      <c r="B1486" s="8" t="inlineStr">
        <is>
          <t>COVID-SNL-22-70682</t>
        </is>
      </c>
      <c r="C1486" s="8" t="inlineStr">
        <is>
          <t>NMFFX3LTV8</t>
        </is>
      </c>
      <c r="D1486" s="7" t="n">
        <v>26</v>
      </c>
      <c r="E1486" s="7" t="n">
        <v>1407</v>
      </c>
      <c r="F1486" s="7" t="inlineStr">
        <is>
          <t>Yes</t>
        </is>
      </c>
      <c r="G1486" s="8" t="n"/>
    </row>
    <row r="1487">
      <c r="A1487" s="8" t="inlineStr">
        <is>
          <t>PGCV_0026_1408</t>
        </is>
      </c>
      <c r="B1487" s="8" t="inlineStr">
        <is>
          <t>COVID-SNL-22-70718</t>
        </is>
      </c>
      <c r="C1487" s="8" t="inlineStr">
        <is>
          <t>8QEB27ZDP4</t>
        </is>
      </c>
      <c r="D1487" s="7" t="n">
        <v>26</v>
      </c>
      <c r="E1487" s="7" t="n">
        <v>1408</v>
      </c>
      <c r="F1487" s="7" t="inlineStr">
        <is>
          <t>No</t>
        </is>
      </c>
      <c r="G1487" s="8" t="n"/>
    </row>
    <row r="1488">
      <c r="A1488" s="8" t="inlineStr">
        <is>
          <t>PGCV_0026_1409</t>
        </is>
      </c>
      <c r="B1488" s="8" t="inlineStr">
        <is>
          <t>COVID-SNL-22-70733</t>
        </is>
      </c>
      <c r="C1488" s="8" t="inlineStr">
        <is>
          <t>4DPCUHZMMS</t>
        </is>
      </c>
      <c r="D1488" s="7" t="n">
        <v>26</v>
      </c>
      <c r="E1488" s="7" t="n">
        <v>1409</v>
      </c>
      <c r="F1488" s="7" t="inlineStr">
        <is>
          <t>Yes</t>
        </is>
      </c>
      <c r="G1488" s="8" t="n"/>
    </row>
    <row r="1489">
      <c r="A1489" s="8" t="inlineStr">
        <is>
          <t>PGCV_0026_1410</t>
        </is>
      </c>
      <c r="B1489" s="8" t="inlineStr">
        <is>
          <t>COVID-SNL-22-70734</t>
        </is>
      </c>
      <c r="C1489" s="8" t="inlineStr">
        <is>
          <t>SOSYDZITYQ</t>
        </is>
      </c>
      <c r="D1489" s="7" t="n">
        <v>26</v>
      </c>
      <c r="E1489" s="7" t="n">
        <v>1410</v>
      </c>
      <c r="F1489" s="7" t="inlineStr">
        <is>
          <t>Yes</t>
        </is>
      </c>
      <c r="G1489" s="8" t="n"/>
    </row>
    <row r="1490">
      <c r="A1490" s="8" t="inlineStr">
        <is>
          <t>PGCV_0026_1411</t>
        </is>
      </c>
      <c r="B1490" s="8" t="inlineStr">
        <is>
          <t>COVID-SNL-22-70739</t>
        </is>
      </c>
      <c r="C1490" s="8" t="inlineStr">
        <is>
          <t>IFARMTDYAA</t>
        </is>
      </c>
      <c r="D1490" s="7" t="n">
        <v>26</v>
      </c>
      <c r="E1490" s="7" t="n">
        <v>1411</v>
      </c>
      <c r="F1490" s="7" t="inlineStr">
        <is>
          <t>Yes</t>
        </is>
      </c>
      <c r="G1490" s="8" t="n"/>
    </row>
    <row r="1491">
      <c r="A1491" s="8" t="inlineStr">
        <is>
          <t>PGCV_0026_1412</t>
        </is>
      </c>
      <c r="B1491" s="8" t="inlineStr">
        <is>
          <t>COVID-SNL-22-70763</t>
        </is>
      </c>
      <c r="C1491" s="8" t="inlineStr">
        <is>
          <t>6UQNPRQINQ</t>
        </is>
      </c>
      <c r="D1491" s="7" t="n">
        <v>26</v>
      </c>
      <c r="E1491" s="7" t="n">
        <v>1412</v>
      </c>
      <c r="F1491" s="7" t="inlineStr">
        <is>
          <t>Yes</t>
        </is>
      </c>
      <c r="G1491" s="8" t="n"/>
    </row>
    <row r="1492">
      <c r="A1492" s="8" t="inlineStr">
        <is>
          <t>PGCV_0026_1413</t>
        </is>
      </c>
      <c r="B1492" s="8" t="inlineStr">
        <is>
          <t>COVID-SNL-22-70765</t>
        </is>
      </c>
      <c r="C1492" s="8" t="inlineStr">
        <is>
          <t>NN5YIUU2QT</t>
        </is>
      </c>
      <c r="D1492" s="7" t="n">
        <v>26</v>
      </c>
      <c r="E1492" s="7" t="n">
        <v>1413</v>
      </c>
      <c r="F1492" s="7" t="inlineStr">
        <is>
          <t>Yes</t>
        </is>
      </c>
      <c r="G1492" s="8" t="n"/>
    </row>
    <row r="1493">
      <c r="A1493" s="8" t="inlineStr">
        <is>
          <t>PGCV_0026_1414</t>
        </is>
      </c>
      <c r="B1493" s="8" t="inlineStr">
        <is>
          <t>COVID-SNL-22-70774</t>
        </is>
      </c>
      <c r="C1493" s="8" t="inlineStr">
        <is>
          <t>H2D5S4N2J2</t>
        </is>
      </c>
      <c r="D1493" s="7" t="n">
        <v>26</v>
      </c>
      <c r="E1493" s="7" t="n">
        <v>1414</v>
      </c>
      <c r="F1493" s="7" t="inlineStr">
        <is>
          <t>Yes</t>
        </is>
      </c>
      <c r="G1493" s="8" t="n"/>
    </row>
    <row r="1494">
      <c r="A1494" s="8" t="inlineStr">
        <is>
          <t>PGCV_0026_1415</t>
        </is>
      </c>
      <c r="B1494" s="8" t="inlineStr">
        <is>
          <t>COVID-SNL-22-70783</t>
        </is>
      </c>
      <c r="C1494" s="8" t="inlineStr">
        <is>
          <t>CZINKGT3IU</t>
        </is>
      </c>
      <c r="D1494" s="7" t="n">
        <v>26</v>
      </c>
      <c r="E1494" s="7" t="n">
        <v>1415</v>
      </c>
      <c r="F1494" s="7" t="inlineStr">
        <is>
          <t>Yes</t>
        </is>
      </c>
      <c r="G1494" s="8" t="n"/>
    </row>
    <row r="1495">
      <c r="A1495" s="8" t="inlineStr">
        <is>
          <t>PGCV_0026_1416</t>
        </is>
      </c>
      <c r="B1495" s="8" t="inlineStr">
        <is>
          <t>COVID-SNL-22-70784</t>
        </is>
      </c>
      <c r="C1495" s="8" t="inlineStr">
        <is>
          <t>4JO1U5JSSN</t>
        </is>
      </c>
      <c r="D1495" s="7" t="n">
        <v>26</v>
      </c>
      <c r="E1495" s="7" t="n">
        <v>1416</v>
      </c>
      <c r="F1495" s="7" t="inlineStr">
        <is>
          <t>Yes</t>
        </is>
      </c>
      <c r="G1495" s="8" t="n"/>
    </row>
    <row r="1496">
      <c r="A1496" s="8" t="inlineStr">
        <is>
          <t>PGCV_0026_1417</t>
        </is>
      </c>
      <c r="B1496" s="8" t="inlineStr">
        <is>
          <t>COVID-SNL-22-70787</t>
        </is>
      </c>
      <c r="C1496" s="8" t="inlineStr">
        <is>
          <t>AZWLI5W4VL</t>
        </is>
      </c>
      <c r="D1496" s="7" t="n">
        <v>26</v>
      </c>
      <c r="E1496" s="7" t="n">
        <v>1417</v>
      </c>
      <c r="F1496" s="7" t="inlineStr">
        <is>
          <t>Yes</t>
        </is>
      </c>
      <c r="G1496" s="8" t="n"/>
    </row>
    <row r="1497">
      <c r="A1497" s="8" t="inlineStr">
        <is>
          <t>PGCV_0026_1418</t>
        </is>
      </c>
      <c r="B1497" s="8" t="inlineStr">
        <is>
          <t>COVID-SNL-22-70938</t>
        </is>
      </c>
      <c r="C1497" s="8" t="inlineStr">
        <is>
          <t>OWUVN48S3U</t>
        </is>
      </c>
      <c r="D1497" s="7" t="n">
        <v>26</v>
      </c>
      <c r="E1497" s="7" t="n">
        <v>1418</v>
      </c>
      <c r="F1497" s="7" t="inlineStr">
        <is>
          <t>Yes</t>
        </is>
      </c>
      <c r="G1497" s="8" t="n"/>
    </row>
    <row r="1498">
      <c r="A1498" s="8" t="inlineStr">
        <is>
          <t>PGCV_0026_1419</t>
        </is>
      </c>
      <c r="B1498" s="8" t="inlineStr">
        <is>
          <t>COVID-SNL-22-70948</t>
        </is>
      </c>
      <c r="C1498" s="8" t="inlineStr">
        <is>
          <t>QXNBHEA1AN</t>
        </is>
      </c>
      <c r="D1498" s="7" t="n">
        <v>26</v>
      </c>
      <c r="E1498" s="7" t="n">
        <v>1419</v>
      </c>
      <c r="F1498" s="7" t="inlineStr">
        <is>
          <t>Yes</t>
        </is>
      </c>
      <c r="G1498" s="8" t="n"/>
    </row>
    <row r="1499">
      <c r="A1499" s="8" t="inlineStr">
        <is>
          <t>PGCV_0026_1420</t>
        </is>
      </c>
      <c r="B1499" s="8" t="inlineStr">
        <is>
          <t>COVID-SNL-22-70818</t>
        </is>
      </c>
      <c r="C1499" s="8" t="inlineStr">
        <is>
          <t>LBJHQEJJN3</t>
        </is>
      </c>
      <c r="D1499" s="7" t="n">
        <v>26</v>
      </c>
      <c r="E1499" s="7" t="n">
        <v>1420</v>
      </c>
      <c r="F1499" s="7" t="inlineStr">
        <is>
          <t>Yes</t>
        </is>
      </c>
      <c r="G1499" s="8" t="n"/>
    </row>
    <row r="1500">
      <c r="A1500" s="8" t="inlineStr">
        <is>
          <t>PGCV_0026_1421</t>
        </is>
      </c>
      <c r="B1500" s="8" t="inlineStr">
        <is>
          <t>COVID-SNL-22-70865</t>
        </is>
      </c>
      <c r="C1500" s="8" t="inlineStr">
        <is>
          <t>KBCMCS3DV0</t>
        </is>
      </c>
      <c r="D1500" s="7" t="n">
        <v>26</v>
      </c>
      <c r="E1500" s="7" t="n">
        <v>1421</v>
      </c>
      <c r="F1500" s="7" t="inlineStr">
        <is>
          <t>Yes</t>
        </is>
      </c>
      <c r="G1500" s="8" t="n"/>
    </row>
    <row r="1501">
      <c r="A1501" s="8" t="inlineStr">
        <is>
          <t>PGCV_0026_1422</t>
        </is>
      </c>
      <c r="B1501" s="8" t="inlineStr">
        <is>
          <t>COVID-SNL-22-70889</t>
        </is>
      </c>
      <c r="C1501" s="8" t="inlineStr">
        <is>
          <t>HBW6JP5HOD</t>
        </is>
      </c>
      <c r="D1501" s="7" t="n">
        <v>26</v>
      </c>
      <c r="E1501" s="7" t="n">
        <v>1422</v>
      </c>
      <c r="F1501" s="7" t="inlineStr">
        <is>
          <t>Yes</t>
        </is>
      </c>
      <c r="G1501" s="8" t="n"/>
    </row>
    <row r="1502">
      <c r="A1502" s="8" t="inlineStr">
        <is>
          <t>PGCV_0026_1423</t>
        </is>
      </c>
      <c r="B1502" s="8" t="inlineStr">
        <is>
          <t>COVID-SNL-22-70906</t>
        </is>
      </c>
      <c r="C1502" s="8" t="inlineStr">
        <is>
          <t>WF0QKB6QKY</t>
        </is>
      </c>
      <c r="D1502" s="7" t="n">
        <v>26</v>
      </c>
      <c r="E1502" s="7" t="n">
        <v>1423</v>
      </c>
      <c r="F1502" s="7" t="inlineStr">
        <is>
          <t>Yes</t>
        </is>
      </c>
      <c r="G1502" s="8" t="n"/>
    </row>
    <row r="1503">
      <c r="A1503" s="8" t="inlineStr">
        <is>
          <t>PGCV_0026_1424</t>
        </is>
      </c>
      <c r="B1503" s="8" t="inlineStr">
        <is>
          <t>COVID-SNL-22-70911</t>
        </is>
      </c>
      <c r="C1503" s="8" t="inlineStr">
        <is>
          <t>IJNA7FMXZ0</t>
        </is>
      </c>
      <c r="D1503" s="7" t="n">
        <v>26</v>
      </c>
      <c r="E1503" s="7" t="n">
        <v>1424</v>
      </c>
      <c r="F1503" s="7" t="inlineStr">
        <is>
          <t>Yes</t>
        </is>
      </c>
      <c r="G1503" s="8" t="n"/>
    </row>
    <row r="1504">
      <c r="A1504" s="8" t="inlineStr">
        <is>
          <t>PGCV_0026_1425</t>
        </is>
      </c>
      <c r="B1504" s="8" t="inlineStr">
        <is>
          <t>COVID-SNL-22-71073</t>
        </is>
      </c>
      <c r="C1504" s="8" t="inlineStr">
        <is>
          <t>EOWPZ87YDJ</t>
        </is>
      </c>
      <c r="D1504" s="7" t="n">
        <v>26</v>
      </c>
      <c r="E1504" s="7" t="n">
        <v>1425</v>
      </c>
      <c r="F1504" s="7" t="inlineStr">
        <is>
          <t>Yes</t>
        </is>
      </c>
      <c r="G1504" s="8" t="n"/>
    </row>
    <row r="1505">
      <c r="A1505" s="8" t="inlineStr">
        <is>
          <t>PGCV_0026_1426</t>
        </is>
      </c>
      <c r="B1505" s="8" t="inlineStr">
        <is>
          <t>COVID-SNL-22-71087</t>
        </is>
      </c>
      <c r="C1505" s="8" t="inlineStr">
        <is>
          <t>EYIQKOP474</t>
        </is>
      </c>
      <c r="D1505" s="7" t="n">
        <v>26</v>
      </c>
      <c r="E1505" s="7" t="n">
        <v>1426</v>
      </c>
      <c r="F1505" s="7" t="inlineStr">
        <is>
          <t>Yes</t>
        </is>
      </c>
      <c r="G1505" s="8" t="n"/>
    </row>
    <row r="1506">
      <c r="A1506" s="8" t="inlineStr">
        <is>
          <t>PGCV_0026_1427</t>
        </is>
      </c>
      <c r="B1506" s="8" t="inlineStr">
        <is>
          <t>COVID-SNL-22-71089</t>
        </is>
      </c>
      <c r="C1506" s="8" t="inlineStr">
        <is>
          <t>RNSHIQE4JW</t>
        </is>
      </c>
      <c r="D1506" s="7" t="n">
        <v>26</v>
      </c>
      <c r="E1506" s="7" t="n">
        <v>1427</v>
      </c>
      <c r="F1506" s="7" t="inlineStr">
        <is>
          <t>Yes</t>
        </is>
      </c>
      <c r="G1506" s="8" t="n"/>
    </row>
    <row r="1507">
      <c r="A1507" s="8" t="inlineStr">
        <is>
          <t>PGCV_0026_1428</t>
        </is>
      </c>
      <c r="B1507" s="8" t="inlineStr">
        <is>
          <t>COVID-SNL-22-71094</t>
        </is>
      </c>
      <c r="C1507" s="8" t="inlineStr">
        <is>
          <t>W8FRXUKBS2</t>
        </is>
      </c>
      <c r="D1507" s="7" t="n">
        <v>26</v>
      </c>
      <c r="E1507" s="7" t="n">
        <v>1428</v>
      </c>
      <c r="F1507" s="7" t="inlineStr">
        <is>
          <t>Yes</t>
        </is>
      </c>
      <c r="G1507" s="8" t="n"/>
    </row>
    <row r="1508">
      <c r="A1508" s="8" t="inlineStr">
        <is>
          <t>PGCV_0026_1429</t>
        </is>
      </c>
      <c r="B1508" s="8" t="inlineStr">
        <is>
          <t>COVID-SNL-22-71098</t>
        </is>
      </c>
      <c r="C1508" s="8" t="inlineStr">
        <is>
          <t>QOKIUKGU9B</t>
        </is>
      </c>
      <c r="D1508" s="7" t="n">
        <v>26</v>
      </c>
      <c r="E1508" s="7" t="n">
        <v>1429</v>
      </c>
      <c r="F1508" s="7" t="inlineStr">
        <is>
          <t>Yes</t>
        </is>
      </c>
      <c r="G1508" s="8" t="n"/>
    </row>
    <row r="1509">
      <c r="A1509" s="8" t="inlineStr">
        <is>
          <t>PGCV_0026_1430</t>
        </is>
      </c>
      <c r="B1509" s="8" t="inlineStr">
        <is>
          <t>COVID-SNL-22-71111</t>
        </is>
      </c>
      <c r="C1509" s="8" t="inlineStr">
        <is>
          <t>4SZ9XE2UV9</t>
        </is>
      </c>
      <c r="D1509" s="7" t="n">
        <v>26</v>
      </c>
      <c r="E1509" s="7" t="n">
        <v>1430</v>
      </c>
      <c r="F1509" s="7" t="inlineStr">
        <is>
          <t>Yes</t>
        </is>
      </c>
      <c r="G1509" s="8" t="n"/>
    </row>
    <row r="1510">
      <c r="A1510" s="8" t="inlineStr">
        <is>
          <t>PGCV_0026_1431</t>
        </is>
      </c>
      <c r="B1510" s="8" t="inlineStr">
        <is>
          <t>COVID-SNL-22-71041</t>
        </is>
      </c>
      <c r="C1510" s="8" t="inlineStr">
        <is>
          <t>LQIEDXDEGY</t>
        </is>
      </c>
      <c r="D1510" s="7" t="n">
        <v>26</v>
      </c>
      <c r="E1510" s="7" t="n">
        <v>1431</v>
      </c>
      <c r="F1510" s="7" t="inlineStr">
        <is>
          <t>Yes</t>
        </is>
      </c>
      <c r="G1510" s="8" t="n"/>
    </row>
    <row r="1511">
      <c r="A1511" s="8" t="inlineStr">
        <is>
          <t>PGCV_0026_1432</t>
        </is>
      </c>
      <c r="B1511" s="8" t="inlineStr">
        <is>
          <t>COVID-SNL-22-71027</t>
        </is>
      </c>
      <c r="C1511" s="8" t="inlineStr">
        <is>
          <t>MXQUH25ZLS</t>
        </is>
      </c>
      <c r="D1511" s="7" t="n">
        <v>26</v>
      </c>
      <c r="E1511" s="7" t="n">
        <v>1432</v>
      </c>
      <c r="F1511" s="7" t="inlineStr">
        <is>
          <t>Yes</t>
        </is>
      </c>
      <c r="G1511" s="8" t="n"/>
    </row>
    <row r="1512">
      <c r="A1512" s="8" t="inlineStr">
        <is>
          <t>PGCV_0026_1433</t>
        </is>
      </c>
      <c r="B1512" s="8" t="inlineStr">
        <is>
          <t>COVID-SNL-22-71034</t>
        </is>
      </c>
      <c r="C1512" s="8" t="inlineStr">
        <is>
          <t>HMV9IHSOHG</t>
        </is>
      </c>
      <c r="D1512" s="7" t="n">
        <v>26</v>
      </c>
      <c r="E1512" s="7" t="n">
        <v>1433</v>
      </c>
      <c r="F1512" s="7" t="inlineStr">
        <is>
          <t>Yes</t>
        </is>
      </c>
      <c r="G1512" s="8" t="n"/>
    </row>
    <row r="1513">
      <c r="A1513" s="8" t="inlineStr">
        <is>
          <t>PGCV_0026_1434</t>
        </is>
      </c>
      <c r="B1513" s="8" t="inlineStr">
        <is>
          <t>COVID-SNL-22-71129</t>
        </is>
      </c>
      <c r="C1513" s="8" t="inlineStr">
        <is>
          <t>COA1XCFUIE</t>
        </is>
      </c>
      <c r="D1513" s="7" t="n">
        <v>26</v>
      </c>
      <c r="E1513" s="7" t="n">
        <v>1434</v>
      </c>
      <c r="F1513" s="7" t="inlineStr">
        <is>
          <t>Yes</t>
        </is>
      </c>
      <c r="G1513" s="8" t="n"/>
    </row>
    <row r="1514">
      <c r="A1514" s="8" t="inlineStr">
        <is>
          <t>PGCV_0026_1435</t>
        </is>
      </c>
      <c r="B1514" s="8" t="inlineStr">
        <is>
          <t>COVID-SNL-22-71156</t>
        </is>
      </c>
      <c r="C1514" s="8" t="inlineStr">
        <is>
          <t>PESRHWMTBI</t>
        </is>
      </c>
      <c r="D1514" s="7" t="n">
        <v>26</v>
      </c>
      <c r="E1514" s="7" t="n">
        <v>1435</v>
      </c>
      <c r="F1514" s="7" t="inlineStr">
        <is>
          <t>Yes</t>
        </is>
      </c>
      <c r="G1514" s="8" t="n"/>
    </row>
    <row r="1515">
      <c r="A1515" s="8" t="inlineStr">
        <is>
          <t>PGCV_0026_1436</t>
        </is>
      </c>
      <c r="B1515" s="8" t="inlineStr">
        <is>
          <t>COVID-SNL-22-71161</t>
        </is>
      </c>
      <c r="C1515" s="8" t="inlineStr">
        <is>
          <t>43M3O8GP7F</t>
        </is>
      </c>
      <c r="D1515" s="7" t="n">
        <v>26</v>
      </c>
      <c r="E1515" s="7" t="n">
        <v>1436</v>
      </c>
      <c r="F1515" s="7" t="inlineStr">
        <is>
          <t>Yes</t>
        </is>
      </c>
      <c r="G1515" s="8" t="n"/>
    </row>
    <row r="1516">
      <c r="A1516" s="8" t="inlineStr">
        <is>
          <t>PGCV_0026_1437</t>
        </is>
      </c>
      <c r="B1516" s="8" t="inlineStr">
        <is>
          <t>COVID-SNL-22-71166</t>
        </is>
      </c>
      <c r="C1516" s="8" t="inlineStr">
        <is>
          <t>ETTCYZJQQ0</t>
        </is>
      </c>
      <c r="D1516" s="7" t="n">
        <v>26</v>
      </c>
      <c r="E1516" s="7" t="n">
        <v>1437</v>
      </c>
      <c r="F1516" s="7" t="inlineStr">
        <is>
          <t>Yes</t>
        </is>
      </c>
      <c r="G1516" s="8" t="n"/>
    </row>
    <row r="1517">
      <c r="A1517" s="8" t="inlineStr">
        <is>
          <t>PGCV_0026_1438</t>
        </is>
      </c>
      <c r="B1517" s="8" t="inlineStr">
        <is>
          <t>COVID-SNL-22-71167</t>
        </is>
      </c>
      <c r="C1517" s="8" t="inlineStr">
        <is>
          <t>GWZQLUCUTH</t>
        </is>
      </c>
      <c r="D1517" s="7" t="n">
        <v>26</v>
      </c>
      <c r="E1517" s="7" t="n">
        <v>1438</v>
      </c>
      <c r="F1517" s="7" t="inlineStr">
        <is>
          <t>Yes</t>
        </is>
      </c>
      <c r="G1517" s="8" t="n"/>
    </row>
    <row r="1518">
      <c r="A1518" s="8" t="inlineStr">
        <is>
          <t>PGCV_0026_1439</t>
        </is>
      </c>
      <c r="B1518" s="8" t="inlineStr">
        <is>
          <t>COVID-SNL-22-71173</t>
        </is>
      </c>
      <c r="C1518" s="8" t="inlineStr">
        <is>
          <t>F50VXSTXF6</t>
        </is>
      </c>
      <c r="D1518" s="7" t="n">
        <v>26</v>
      </c>
      <c r="E1518" s="7" t="n">
        <v>1439</v>
      </c>
      <c r="F1518" s="7" t="inlineStr">
        <is>
          <t>Yes</t>
        </is>
      </c>
      <c r="G1518" s="8" t="n"/>
    </row>
    <row r="1519">
      <c r="A1519" s="8" t="inlineStr">
        <is>
          <t>PGCV_0026_1440</t>
        </is>
      </c>
      <c r="B1519" s="8" t="inlineStr">
        <is>
          <t>COVID-SNL-22-71197</t>
        </is>
      </c>
      <c r="C1519" s="8" t="inlineStr">
        <is>
          <t>AAPCH2KADT</t>
        </is>
      </c>
      <c r="D1519" s="7" t="n">
        <v>26</v>
      </c>
      <c r="E1519" s="7" t="n">
        <v>1440</v>
      </c>
      <c r="F1519" s="7" t="inlineStr">
        <is>
          <t>Yes</t>
        </is>
      </c>
      <c r="G1519" s="8" t="n"/>
    </row>
    <row r="1520">
      <c r="A1520" s="8" t="inlineStr">
        <is>
          <t>PGCV_0026_1441</t>
        </is>
      </c>
      <c r="B1520" s="8" t="inlineStr">
        <is>
          <t>COVID-SNL-22-71179</t>
        </is>
      </c>
      <c r="C1520" s="8" t="inlineStr">
        <is>
          <t>AJR7IIW2ER</t>
        </is>
      </c>
      <c r="D1520" s="7" t="n">
        <v>26</v>
      </c>
      <c r="E1520" s="7" t="n">
        <v>1441</v>
      </c>
      <c r="F1520" s="7" t="inlineStr">
        <is>
          <t>Yes</t>
        </is>
      </c>
      <c r="G1520" s="8" t="n"/>
    </row>
    <row r="1521">
      <c r="A1521" s="8" t="inlineStr">
        <is>
          <t>PGCV_0026_1442</t>
        </is>
      </c>
      <c r="B1521" s="8" t="inlineStr">
        <is>
          <t>COVID-SNL-22-71237</t>
        </is>
      </c>
      <c r="C1521" s="8" t="inlineStr">
        <is>
          <t>YGGYJ2Z6UG</t>
        </is>
      </c>
      <c r="D1521" s="7" t="n">
        <v>26</v>
      </c>
      <c r="E1521" s="7" t="n">
        <v>1442</v>
      </c>
      <c r="F1521" s="7" t="inlineStr">
        <is>
          <t>Yes</t>
        </is>
      </c>
      <c r="G1521" s="8" t="n"/>
    </row>
    <row r="1522">
      <c r="A1522" s="8" t="inlineStr">
        <is>
          <t>PGCV_0026_1443</t>
        </is>
      </c>
      <c r="B1522" s="8" t="inlineStr">
        <is>
          <t>COVID-SNL-22-71362</t>
        </is>
      </c>
      <c r="C1522" s="8" t="inlineStr">
        <is>
          <t>ROL9V3ZSUO</t>
        </is>
      </c>
      <c r="D1522" s="7" t="n">
        <v>26</v>
      </c>
      <c r="E1522" s="7" t="n">
        <v>1443</v>
      </c>
      <c r="F1522" s="7" t="inlineStr">
        <is>
          <t>Yes</t>
        </is>
      </c>
      <c r="G1522" s="8" t="n"/>
    </row>
    <row r="1523">
      <c r="A1523" s="8" t="inlineStr">
        <is>
          <t>PGCV_0026_1444</t>
        </is>
      </c>
      <c r="B1523" s="8" t="inlineStr">
        <is>
          <t>COVID-SNL-22-71291</t>
        </is>
      </c>
      <c r="C1523" s="8" t="inlineStr">
        <is>
          <t>182ZXNSRQ8</t>
        </is>
      </c>
      <c r="D1523" s="7" t="n">
        <v>26</v>
      </c>
      <c r="E1523" s="7" t="n">
        <v>1444</v>
      </c>
      <c r="F1523" s="7" t="inlineStr">
        <is>
          <t>Yes</t>
        </is>
      </c>
      <c r="G1523" s="8" t="n"/>
    </row>
    <row r="1524">
      <c r="A1524" s="8" t="inlineStr">
        <is>
          <t>PGCV_0026_1445</t>
        </is>
      </c>
      <c r="B1524" s="8" t="inlineStr">
        <is>
          <t>COVID-SNL-22-71384</t>
        </is>
      </c>
      <c r="C1524" s="8" t="inlineStr">
        <is>
          <t>CS6KU05PTM</t>
        </is>
      </c>
      <c r="D1524" s="7" t="n">
        <v>26</v>
      </c>
      <c r="E1524" s="7" t="n">
        <v>1445</v>
      </c>
      <c r="F1524" s="7" t="inlineStr">
        <is>
          <t>Yes</t>
        </is>
      </c>
      <c r="G1524" s="8" t="n"/>
    </row>
    <row r="1525">
      <c r="A1525" s="8" t="inlineStr">
        <is>
          <t>PGCV_0026_1446</t>
        </is>
      </c>
      <c r="B1525" s="8" t="inlineStr">
        <is>
          <t>COVID-SNL-22-71408</t>
        </is>
      </c>
      <c r="C1525" s="8" t="inlineStr">
        <is>
          <t>KG2K7O8OHI</t>
        </is>
      </c>
      <c r="D1525" s="7" t="n">
        <v>26</v>
      </c>
      <c r="E1525" s="7" t="n">
        <v>1446</v>
      </c>
      <c r="F1525" s="7" t="inlineStr">
        <is>
          <t>Yes</t>
        </is>
      </c>
      <c r="G1525" s="8" t="n"/>
    </row>
    <row r="1526">
      <c r="A1526" s="8" t="inlineStr">
        <is>
          <t>PGCV_0026_1447</t>
        </is>
      </c>
      <c r="B1526" s="8" t="inlineStr">
        <is>
          <t>COVID-SNL-22-71444</t>
        </is>
      </c>
      <c r="C1526" s="8" t="inlineStr">
        <is>
          <t>S1D94FTTXI</t>
        </is>
      </c>
      <c r="D1526" s="7" t="n">
        <v>26</v>
      </c>
      <c r="E1526" s="7" t="n">
        <v>1447</v>
      </c>
      <c r="F1526" s="7" t="inlineStr">
        <is>
          <t>Yes</t>
        </is>
      </c>
      <c r="G1526" s="8" t="n"/>
    </row>
    <row r="1527">
      <c r="A1527" s="8" t="inlineStr">
        <is>
          <t>PGCV_0026_1448</t>
        </is>
      </c>
      <c r="B1527" s="8" t="inlineStr">
        <is>
          <t>COVID-SNL-22-71445</t>
        </is>
      </c>
      <c r="C1527" s="8" t="inlineStr">
        <is>
          <t>NNMICDS75S</t>
        </is>
      </c>
      <c r="D1527" s="7" t="n">
        <v>26</v>
      </c>
      <c r="E1527" s="7" t="n">
        <v>1448</v>
      </c>
      <c r="F1527" s="7" t="inlineStr">
        <is>
          <t>Yes</t>
        </is>
      </c>
      <c r="G1527" s="8" t="n"/>
    </row>
    <row r="1528">
      <c r="A1528" s="8" t="inlineStr">
        <is>
          <t>PGCV_0026_1449</t>
        </is>
      </c>
      <c r="B1528" s="8" t="inlineStr">
        <is>
          <t>COVID-SNL-22-71451</t>
        </is>
      </c>
      <c r="C1528" s="8" t="inlineStr">
        <is>
          <t>8OCQZVFJMV</t>
        </is>
      </c>
      <c r="D1528" s="7" t="n">
        <v>26</v>
      </c>
      <c r="E1528" s="7" t="n">
        <v>1449</v>
      </c>
      <c r="F1528" s="7" t="inlineStr">
        <is>
          <t>Yes</t>
        </is>
      </c>
      <c r="G1528" s="8" t="n"/>
    </row>
    <row r="1529">
      <c r="A1529" s="8" t="inlineStr">
        <is>
          <t>PGCV_0026_1450</t>
        </is>
      </c>
      <c r="B1529" s="8" t="inlineStr">
        <is>
          <t>COVID-SNL-22-71530</t>
        </is>
      </c>
      <c r="C1529" s="8" t="inlineStr">
        <is>
          <t>DT1J7DUCOQ</t>
        </is>
      </c>
      <c r="D1529" s="7" t="n">
        <v>26</v>
      </c>
      <c r="E1529" s="7" t="n">
        <v>1450</v>
      </c>
      <c r="F1529" s="7" t="inlineStr">
        <is>
          <t>Yes</t>
        </is>
      </c>
      <c r="G1529" s="8" t="n"/>
    </row>
    <row r="1530">
      <c r="A1530" s="8" t="inlineStr">
        <is>
          <t>PGCV_0026_1451</t>
        </is>
      </c>
      <c r="B1530" s="8" t="inlineStr">
        <is>
          <t>COVID-SNL-22-71521</t>
        </is>
      </c>
      <c r="C1530" s="8" t="inlineStr">
        <is>
          <t>JEYYIEMDNN</t>
        </is>
      </c>
      <c r="D1530" s="7" t="n">
        <v>26</v>
      </c>
      <c r="E1530" s="7" t="n">
        <v>1451</v>
      </c>
      <c r="F1530" s="7" t="inlineStr">
        <is>
          <t>Yes</t>
        </is>
      </c>
      <c r="G1530" s="8" t="n"/>
    </row>
    <row r="1531">
      <c r="A1531" s="8" t="inlineStr">
        <is>
          <t>PGCV_0026_1452</t>
        </is>
      </c>
      <c r="B1531" s="8" t="inlineStr">
        <is>
          <t>COVID-SNL-22-71526</t>
        </is>
      </c>
      <c r="C1531" s="8" t="inlineStr">
        <is>
          <t>6FMNEZQC9M</t>
        </is>
      </c>
      <c r="D1531" s="7" t="n">
        <v>26</v>
      </c>
      <c r="E1531" s="7" t="n">
        <v>1452</v>
      </c>
      <c r="F1531" s="7" t="inlineStr">
        <is>
          <t>Yes</t>
        </is>
      </c>
      <c r="G1531" s="8" t="n"/>
    </row>
    <row r="1532">
      <c r="A1532" s="8" t="inlineStr">
        <is>
          <t>PGCV_0026_1453</t>
        </is>
      </c>
      <c r="B1532" s="8" t="inlineStr">
        <is>
          <t>COVID-SNL-22-71518</t>
        </is>
      </c>
      <c r="C1532" s="8" t="inlineStr">
        <is>
          <t>DQJI4EJTKH</t>
        </is>
      </c>
      <c r="D1532" s="7" t="n">
        <v>26</v>
      </c>
      <c r="E1532" s="7" t="n">
        <v>1453</v>
      </c>
      <c r="F1532" s="7" t="inlineStr">
        <is>
          <t>Yes</t>
        </is>
      </c>
      <c r="G1532" s="8" t="n"/>
    </row>
    <row r="1533">
      <c r="A1533" s="8" t="inlineStr">
        <is>
          <t>PGCV_0026_1454</t>
        </is>
      </c>
      <c r="B1533" s="8" t="inlineStr">
        <is>
          <t>COVID-SNL-22-71460</t>
        </is>
      </c>
      <c r="C1533" s="8" t="inlineStr">
        <is>
          <t>HZV38YHPRA</t>
        </is>
      </c>
      <c r="D1533" s="7" t="n">
        <v>26</v>
      </c>
      <c r="E1533" s="7" t="n">
        <v>1454</v>
      </c>
      <c r="F1533" s="7" t="inlineStr">
        <is>
          <t>Yes</t>
        </is>
      </c>
      <c r="G1533" s="8" t="n"/>
    </row>
    <row r="1534">
      <c r="A1534" s="8" t="inlineStr">
        <is>
          <t>PGCV_0026_1455</t>
        </is>
      </c>
      <c r="B1534" s="8" t="inlineStr">
        <is>
          <t>COVID-SNL-22-71469</t>
        </is>
      </c>
      <c r="C1534" s="8" t="inlineStr">
        <is>
          <t>ARWQ2FGEHZ</t>
        </is>
      </c>
      <c r="D1534" s="7" t="n">
        <v>26</v>
      </c>
      <c r="E1534" s="7" t="n">
        <v>1455</v>
      </c>
      <c r="F1534" s="7" t="inlineStr">
        <is>
          <t>Yes</t>
        </is>
      </c>
      <c r="G1534" s="8" t="n"/>
    </row>
    <row r="1535">
      <c r="A1535" s="8" t="inlineStr">
        <is>
          <t>PGCV_0026_1456</t>
        </is>
      </c>
      <c r="B1535" s="8" t="inlineStr">
        <is>
          <t>COVID-SNL-22-71552</t>
        </is>
      </c>
      <c r="C1535" s="8" t="inlineStr">
        <is>
          <t>9WXZHXSW</t>
        </is>
      </c>
      <c r="D1535" s="7" t="n">
        <v>26</v>
      </c>
      <c r="E1535" s="7" t="n">
        <v>1456</v>
      </c>
      <c r="F1535" s="7" t="inlineStr">
        <is>
          <t>Yes</t>
        </is>
      </c>
      <c r="G1535" s="8" t="n"/>
    </row>
    <row r="1536">
      <c r="A1536" s="8" t="inlineStr">
        <is>
          <t>PGCV_0026_1457</t>
        </is>
      </c>
      <c r="B1536" s="8" t="inlineStr">
        <is>
          <t>COVID-SNL-22-71586</t>
        </is>
      </c>
      <c r="C1536" s="8" t="inlineStr">
        <is>
          <t>Y5F0XBXHXX</t>
        </is>
      </c>
      <c r="D1536" s="7" t="n">
        <v>26</v>
      </c>
      <c r="E1536" s="7" t="n">
        <v>1457</v>
      </c>
      <c r="F1536" s="7" t="inlineStr">
        <is>
          <t>Yes</t>
        </is>
      </c>
      <c r="G1536" s="8" t="n"/>
    </row>
    <row r="1537">
      <c r="A1537" s="8" t="inlineStr">
        <is>
          <t>PGCV_0026_1458</t>
        </is>
      </c>
      <c r="B1537" s="8" t="inlineStr">
        <is>
          <t>COVID-SNL-22-71263</t>
        </is>
      </c>
      <c r="C1537" s="8" t="inlineStr">
        <is>
          <t>ZXJNM1ZXKQ</t>
        </is>
      </c>
      <c r="D1537" s="7" t="n">
        <v>26</v>
      </c>
      <c r="E1537" s="7" t="n">
        <v>1458</v>
      </c>
      <c r="F1537" s="7" t="inlineStr">
        <is>
          <t>Yes</t>
        </is>
      </c>
      <c r="G1537" s="8" t="n"/>
    </row>
    <row r="1538">
      <c r="A1538" s="8" t="inlineStr">
        <is>
          <t>PGCV_0026_1459</t>
        </is>
      </c>
      <c r="B1538" s="8" t="inlineStr">
        <is>
          <t>COVID-SNL-22-71600</t>
        </is>
      </c>
      <c r="C1538" s="8" t="inlineStr">
        <is>
          <t>GCBDVOKVDU</t>
        </is>
      </c>
      <c r="D1538" s="7" t="n">
        <v>26</v>
      </c>
      <c r="E1538" s="7" t="n">
        <v>1459</v>
      </c>
      <c r="F1538" s="7" t="inlineStr">
        <is>
          <t>Yes</t>
        </is>
      </c>
      <c r="G1538" s="8" t="n"/>
    </row>
    <row r="1539">
      <c r="A1539" s="8" t="inlineStr">
        <is>
          <t>PGCV_0026_1460</t>
        </is>
      </c>
      <c r="B1539" s="8" t="inlineStr">
        <is>
          <t>COVID-SNL-22-71603</t>
        </is>
      </c>
      <c r="C1539" s="8" t="inlineStr">
        <is>
          <t>SZCO4ZUIUI</t>
        </is>
      </c>
      <c r="D1539" s="7" t="n">
        <v>26</v>
      </c>
      <c r="E1539" s="7" t="n">
        <v>1460</v>
      </c>
      <c r="F1539" s="7" t="inlineStr">
        <is>
          <t>Yes</t>
        </is>
      </c>
      <c r="G1539" s="8" t="n"/>
    </row>
    <row r="1540">
      <c r="A1540" s="8" t="inlineStr">
        <is>
          <t>PGCV_0026_1461</t>
        </is>
      </c>
      <c r="B1540" s="8" t="inlineStr">
        <is>
          <t>COVID-SNL-22-71656</t>
        </is>
      </c>
      <c r="C1540" s="8" t="inlineStr">
        <is>
          <t>EGLXKFWLW5</t>
        </is>
      </c>
      <c r="D1540" s="7" t="n">
        <v>26</v>
      </c>
      <c r="E1540" s="7" t="n">
        <v>1461</v>
      </c>
      <c r="F1540" s="7" t="inlineStr">
        <is>
          <t>Yes</t>
        </is>
      </c>
      <c r="G1540" s="8" t="n"/>
    </row>
    <row r="1541">
      <c r="A1541" s="8" t="inlineStr">
        <is>
          <t>PGCV_0026_1462</t>
        </is>
      </c>
      <c r="B1541" s="8" t="inlineStr">
        <is>
          <t>COVID-SNL-22-71660</t>
        </is>
      </c>
      <c r="C1541" s="8" t="inlineStr">
        <is>
          <t>18J2HTTSTF</t>
        </is>
      </c>
      <c r="D1541" s="7" t="n">
        <v>26</v>
      </c>
      <c r="E1541" s="7" t="n">
        <v>1462</v>
      </c>
      <c r="F1541" s="7" t="inlineStr">
        <is>
          <t>Yes</t>
        </is>
      </c>
      <c r="G1541" s="8" t="n"/>
    </row>
    <row r="1542">
      <c r="A1542" s="8" t="inlineStr">
        <is>
          <t>PGCV_0026_1463</t>
        </is>
      </c>
      <c r="B1542" s="8" t="inlineStr">
        <is>
          <t>COVID-SNL-22-71665</t>
        </is>
      </c>
      <c r="C1542" s="8" t="inlineStr">
        <is>
          <t>2XJZUTDWLK</t>
        </is>
      </c>
      <c r="D1542" s="7" t="n">
        <v>26</v>
      </c>
      <c r="E1542" s="7" t="n">
        <v>1463</v>
      </c>
      <c r="F1542" s="7" t="inlineStr">
        <is>
          <t>Yes</t>
        </is>
      </c>
      <c r="G1542" s="8" t="n"/>
    </row>
    <row r="1543">
      <c r="A1543" s="8" t="inlineStr">
        <is>
          <t>PGCV_0026_1464</t>
        </is>
      </c>
      <c r="B1543" s="8" t="inlineStr">
        <is>
          <t>COVID-SNL-22-71667</t>
        </is>
      </c>
      <c r="C1543" s="8" t="inlineStr">
        <is>
          <t>51BMMQVF2F</t>
        </is>
      </c>
      <c r="D1543" s="7" t="n">
        <v>26</v>
      </c>
      <c r="E1543" s="7" t="n">
        <v>1464</v>
      </c>
      <c r="F1543" s="7" t="inlineStr">
        <is>
          <t>Yes</t>
        </is>
      </c>
      <c r="G1543" s="8" t="n"/>
    </row>
    <row r="1544">
      <c r="A1544" s="8" t="inlineStr">
        <is>
          <t>PGCV_0026_1465</t>
        </is>
      </c>
      <c r="B1544" s="8" t="inlineStr">
        <is>
          <t>COVID-SNL-22-71717</t>
        </is>
      </c>
      <c r="C1544" s="8" t="inlineStr">
        <is>
          <t>JL8GJM3DRS</t>
        </is>
      </c>
      <c r="D1544" s="7" t="n">
        <v>26</v>
      </c>
      <c r="E1544" s="7" t="n">
        <v>1465</v>
      </c>
      <c r="F1544" s="7" t="inlineStr">
        <is>
          <t>Yes</t>
        </is>
      </c>
      <c r="G1544" s="8" t="n"/>
    </row>
    <row r="1545">
      <c r="A1545" s="8" t="inlineStr">
        <is>
          <t>PGCV_0026_1466</t>
        </is>
      </c>
      <c r="B1545" s="8" t="inlineStr">
        <is>
          <t>COVID-SNL-22-71721</t>
        </is>
      </c>
      <c r="C1545" s="8" t="inlineStr">
        <is>
          <t>TGWYEOAX17</t>
        </is>
      </c>
      <c r="D1545" s="7" t="n">
        <v>26</v>
      </c>
      <c r="E1545" s="7" t="n">
        <v>1466</v>
      </c>
      <c r="F1545" s="7" t="inlineStr">
        <is>
          <t>Yes</t>
        </is>
      </c>
      <c r="G1545" s="8" t="n"/>
    </row>
    <row r="1546">
      <c r="A1546" s="8" t="inlineStr">
        <is>
          <t>PGCV_0026_1467</t>
        </is>
      </c>
      <c r="B1546" s="8" t="inlineStr">
        <is>
          <t>COVID-SNL-22-71685</t>
        </is>
      </c>
      <c r="C1546" s="8" t="inlineStr">
        <is>
          <t>MIDYRRE0B4</t>
        </is>
      </c>
      <c r="D1546" s="7" t="n">
        <v>26</v>
      </c>
      <c r="E1546" s="7" t="n">
        <v>1467</v>
      </c>
      <c r="F1546" s="7" t="inlineStr">
        <is>
          <t>Yes</t>
        </is>
      </c>
      <c r="G1546" s="8" t="n"/>
    </row>
    <row r="1547">
      <c r="A1547" s="8" t="inlineStr">
        <is>
          <t>PGCV_0026_1468</t>
        </is>
      </c>
      <c r="B1547" s="8" t="inlineStr">
        <is>
          <t>COVID-SNL-22-71801</t>
        </is>
      </c>
      <c r="C1547" s="8" t="inlineStr">
        <is>
          <t>SAKLVIDDR7</t>
        </is>
      </c>
      <c r="D1547" s="7" t="n">
        <v>26</v>
      </c>
      <c r="E1547" s="7" t="n">
        <v>1468</v>
      </c>
      <c r="F1547" s="7" t="inlineStr">
        <is>
          <t>Yes</t>
        </is>
      </c>
      <c r="G1547" s="8" t="n"/>
    </row>
    <row r="1548">
      <c r="A1548" s="8" t="inlineStr">
        <is>
          <t>PGCV_0026_1469</t>
        </is>
      </c>
      <c r="B1548" s="8" t="inlineStr">
        <is>
          <t>COVID-SNL-22-71816</t>
        </is>
      </c>
      <c r="C1548" s="8" t="inlineStr">
        <is>
          <t>MXFTPFOFJR</t>
        </is>
      </c>
      <c r="D1548" s="7" t="n">
        <v>26</v>
      </c>
      <c r="E1548" s="7" t="n">
        <v>1469</v>
      </c>
      <c r="F1548" s="7" t="inlineStr">
        <is>
          <t>Yes</t>
        </is>
      </c>
      <c r="G1548" s="8" t="n"/>
    </row>
    <row r="1549">
      <c r="A1549" s="8" t="inlineStr">
        <is>
          <t>PGCV_0026_1470</t>
        </is>
      </c>
      <c r="B1549" s="8" t="inlineStr">
        <is>
          <t>COVID-SNL-22-71847</t>
        </is>
      </c>
      <c r="C1549" s="8" t="inlineStr">
        <is>
          <t>UJGOAJWUDA</t>
        </is>
      </c>
      <c r="D1549" s="7" t="n">
        <v>26</v>
      </c>
      <c r="E1549" s="7" t="n">
        <v>1470</v>
      </c>
      <c r="F1549" s="7" t="inlineStr">
        <is>
          <t>Yes</t>
        </is>
      </c>
      <c r="G1549" s="8" t="n"/>
    </row>
    <row r="1550">
      <c r="A1550" s="8" t="inlineStr">
        <is>
          <t>PGCV_0026_1471</t>
        </is>
      </c>
      <c r="B1550" s="8" t="inlineStr">
        <is>
          <t>COVID-SNL-22-71872</t>
        </is>
      </c>
      <c r="C1550" s="8" t="inlineStr">
        <is>
          <t>S6YVO1QNMJ</t>
        </is>
      </c>
      <c r="D1550" s="7" t="n">
        <v>26</v>
      </c>
      <c r="E1550" s="7" t="n">
        <v>1471</v>
      </c>
      <c r="F1550" s="7" t="inlineStr">
        <is>
          <t>Yes</t>
        </is>
      </c>
      <c r="G1550" s="8" t="n"/>
    </row>
    <row r="1551">
      <c r="A1551" s="8" t="inlineStr">
        <is>
          <t>PGCV_0026_1472</t>
        </is>
      </c>
      <c r="B1551" s="8" t="inlineStr">
        <is>
          <t>COVID-SNL-22-71873</t>
        </is>
      </c>
      <c r="C1551" s="8" t="inlineStr">
        <is>
          <t>HWMPYXRN5R</t>
        </is>
      </c>
      <c r="D1551" s="7" t="n">
        <v>26</v>
      </c>
      <c r="E1551" s="7" t="n">
        <v>1472</v>
      </c>
      <c r="F1551" s="7" t="inlineStr">
        <is>
          <t>Yes</t>
        </is>
      </c>
      <c r="G1551" s="8" t="n"/>
    </row>
    <row r="1552">
      <c r="A1552" s="8" t="inlineStr">
        <is>
          <t>PGCV_0026_1473</t>
        </is>
      </c>
      <c r="B1552" s="8" t="inlineStr">
        <is>
          <t>COVID-SNL-22-71874</t>
        </is>
      </c>
      <c r="C1552" s="8" t="inlineStr">
        <is>
          <t>MIE9WANAO4</t>
        </is>
      </c>
      <c r="D1552" s="7" t="n">
        <v>26</v>
      </c>
      <c r="E1552" s="7" t="n">
        <v>1473</v>
      </c>
      <c r="F1552" s="7" t="inlineStr">
        <is>
          <t>Yes</t>
        </is>
      </c>
      <c r="G1552" s="8" t="n"/>
    </row>
    <row r="1553">
      <c r="A1553" s="8" t="inlineStr">
        <is>
          <t>PGCV_0026_1474</t>
        </is>
      </c>
      <c r="B1553" s="8" t="inlineStr">
        <is>
          <t>COVID-SNL-22-71958</t>
        </is>
      </c>
      <c r="C1553" s="8" t="inlineStr">
        <is>
          <t>O063OL9PCD</t>
        </is>
      </c>
      <c r="D1553" s="7" t="n">
        <v>26</v>
      </c>
      <c r="E1553" s="7" t="n">
        <v>1474</v>
      </c>
      <c r="F1553" s="7" t="inlineStr">
        <is>
          <t>Yes</t>
        </is>
      </c>
      <c r="G1553" s="8" t="n"/>
    </row>
    <row r="1554">
      <c r="A1554" s="8" t="inlineStr">
        <is>
          <t>PGCV_0026_1475</t>
        </is>
      </c>
      <c r="B1554" s="8" t="inlineStr">
        <is>
          <t>COVID-SNL-22-71959</t>
        </is>
      </c>
      <c r="C1554" s="8" t="inlineStr">
        <is>
          <t>YPPHVRJBMW</t>
        </is>
      </c>
      <c r="D1554" s="7" t="n">
        <v>26</v>
      </c>
      <c r="E1554" s="7" t="n">
        <v>1475</v>
      </c>
      <c r="F1554" s="7" t="inlineStr">
        <is>
          <t>Yes</t>
        </is>
      </c>
      <c r="G1554" s="8" t="n"/>
    </row>
    <row r="1555">
      <c r="A1555" s="8" t="inlineStr">
        <is>
          <t>PGCV_0026_1476</t>
        </is>
      </c>
      <c r="B1555" s="8" t="inlineStr">
        <is>
          <t>COVID-SNL-22-71974</t>
        </is>
      </c>
      <c r="C1555" s="8" t="inlineStr">
        <is>
          <t>YYHQOAONU5</t>
        </is>
      </c>
      <c r="D1555" s="7" t="n">
        <v>26</v>
      </c>
      <c r="E1555" s="7" t="n">
        <v>1476</v>
      </c>
      <c r="F1555" s="7" t="inlineStr">
        <is>
          <t>Yes</t>
        </is>
      </c>
      <c r="G1555" s="8" t="n"/>
    </row>
    <row r="1556">
      <c r="A1556" s="8" t="inlineStr">
        <is>
          <t>PGCV_0026_1477</t>
        </is>
      </c>
      <c r="B1556" s="8" t="inlineStr">
        <is>
          <t>COVID-SNL-22-71993</t>
        </is>
      </c>
      <c r="C1556" s="8" t="inlineStr">
        <is>
          <t>SJJN7RZVGM</t>
        </is>
      </c>
      <c r="D1556" s="7" t="n">
        <v>26</v>
      </c>
      <c r="E1556" s="7" t="n">
        <v>1477</v>
      </c>
      <c r="F1556" s="7" t="inlineStr">
        <is>
          <t>Yes</t>
        </is>
      </c>
      <c r="G1556" s="8" t="n"/>
    </row>
    <row r="1557">
      <c r="A1557" s="8" t="inlineStr">
        <is>
          <t>PGCV_0026_1478</t>
        </is>
      </c>
      <c r="B1557" s="8" t="inlineStr">
        <is>
          <t>COVID-SNL-22-71994</t>
        </is>
      </c>
      <c r="C1557" s="8" t="inlineStr">
        <is>
          <t>Y6MESECNXI</t>
        </is>
      </c>
      <c r="D1557" s="7" t="n">
        <v>26</v>
      </c>
      <c r="E1557" s="7" t="n">
        <v>1478</v>
      </c>
      <c r="F1557" s="7" t="inlineStr">
        <is>
          <t>Yes</t>
        </is>
      </c>
      <c r="G1557" s="8" t="n"/>
    </row>
    <row r="1558">
      <c r="A1558" s="8" t="inlineStr">
        <is>
          <t>PGCV_0026_1479</t>
        </is>
      </c>
      <c r="B1558" s="8" t="inlineStr">
        <is>
          <t>COVID-SNL-22-72008</t>
        </is>
      </c>
      <c r="C1558" s="8" t="inlineStr">
        <is>
          <t>LF0RPFPOQZ</t>
        </is>
      </c>
      <c r="D1558" s="7" t="n">
        <v>26</v>
      </c>
      <c r="E1558" s="7" t="n">
        <v>1479</v>
      </c>
      <c r="F1558" s="7" t="inlineStr">
        <is>
          <t>Yes</t>
        </is>
      </c>
      <c r="G1558" s="8" t="n"/>
    </row>
    <row r="1559">
      <c r="A1559" s="8" t="inlineStr">
        <is>
          <t>PGCV_0026_1480</t>
        </is>
      </c>
      <c r="B1559" s="8" t="inlineStr">
        <is>
          <t>COVID-SNL-22-72020</t>
        </is>
      </c>
      <c r="C1559" s="8" t="inlineStr">
        <is>
          <t>05MRH1NIGL</t>
        </is>
      </c>
      <c r="D1559" s="7" t="n">
        <v>26</v>
      </c>
      <c r="E1559" s="7" t="n">
        <v>1480</v>
      </c>
      <c r="F1559" s="7" t="inlineStr">
        <is>
          <t>Yes</t>
        </is>
      </c>
      <c r="G1559" s="8" t="n"/>
    </row>
    <row r="1560">
      <c r="A1560" s="8" t="inlineStr">
        <is>
          <t>PGCV_0026_1481</t>
        </is>
      </c>
      <c r="B1560" s="8" t="inlineStr">
        <is>
          <t>COVID-SNL-22-72030</t>
        </is>
      </c>
      <c r="C1560" s="8" t="inlineStr">
        <is>
          <t>KQICNNNSLC</t>
        </is>
      </c>
      <c r="D1560" s="7" t="n">
        <v>26</v>
      </c>
      <c r="E1560" s="7" t="n">
        <v>1481</v>
      </c>
      <c r="F1560" s="7" t="inlineStr">
        <is>
          <t>Yes</t>
        </is>
      </c>
      <c r="G1560" s="8" t="n"/>
    </row>
    <row r="1561">
      <c r="A1561" s="8" t="inlineStr">
        <is>
          <t>PGCV_0026_1482</t>
        </is>
      </c>
      <c r="B1561" s="8" t="inlineStr">
        <is>
          <t>COVID-SNL-22-72034</t>
        </is>
      </c>
      <c r="C1561" s="8" t="inlineStr">
        <is>
          <t>ULVFEVBUOM</t>
        </is>
      </c>
      <c r="D1561" s="7" t="n">
        <v>26</v>
      </c>
      <c r="E1561" s="7" t="n">
        <v>1482</v>
      </c>
      <c r="F1561" s="7" t="inlineStr">
        <is>
          <t>Yes</t>
        </is>
      </c>
      <c r="G1561" s="8" t="n"/>
    </row>
    <row r="1562">
      <c r="A1562" s="8" t="inlineStr">
        <is>
          <t>PGCV_0026_1483</t>
        </is>
      </c>
      <c r="B1562" s="8" t="inlineStr">
        <is>
          <t>COVID-SNL-22-72073</t>
        </is>
      </c>
      <c r="C1562" s="8" t="inlineStr">
        <is>
          <t>H7BEMERO4M</t>
        </is>
      </c>
      <c r="D1562" s="7" t="n">
        <v>26</v>
      </c>
      <c r="E1562" s="7" t="n">
        <v>1483</v>
      </c>
      <c r="F1562" s="7" t="inlineStr">
        <is>
          <t>Yes</t>
        </is>
      </c>
      <c r="G1562" s="8" t="n"/>
    </row>
    <row r="1563">
      <c r="A1563" s="8" t="inlineStr">
        <is>
          <t>PGCV_0026_1484</t>
        </is>
      </c>
      <c r="B1563" s="8" t="inlineStr">
        <is>
          <t>COVID-SNL-22-72079</t>
        </is>
      </c>
      <c r="C1563" s="8" t="inlineStr">
        <is>
          <t>TOKUHIMRBB</t>
        </is>
      </c>
      <c r="D1563" s="7" t="n">
        <v>26</v>
      </c>
      <c r="E1563" s="7" t="n">
        <v>1484</v>
      </c>
      <c r="F1563" s="7" t="inlineStr">
        <is>
          <t>Yes</t>
        </is>
      </c>
      <c r="G1563" s="8" t="n"/>
    </row>
    <row r="1564">
      <c r="A1564" s="8" t="inlineStr">
        <is>
          <t>PGCV_0026_1485</t>
        </is>
      </c>
      <c r="B1564" s="8" t="inlineStr">
        <is>
          <t>COVID-SNL-22-72110</t>
        </is>
      </c>
      <c r="C1564" s="8" t="inlineStr">
        <is>
          <t>4DGPH6HZRE</t>
        </is>
      </c>
      <c r="D1564" s="7" t="n">
        <v>26</v>
      </c>
      <c r="E1564" s="7" t="n">
        <v>1485</v>
      </c>
      <c r="F1564" s="7" t="inlineStr">
        <is>
          <t>Yes</t>
        </is>
      </c>
      <c r="G1564" s="8" t="n"/>
    </row>
    <row r="1565">
      <c r="A1565" s="8" t="inlineStr">
        <is>
          <t>PGCV_0026_1486</t>
        </is>
      </c>
      <c r="B1565" s="8" t="inlineStr">
        <is>
          <t>COVID-SNL-22-72139</t>
        </is>
      </c>
      <c r="C1565" s="8" t="inlineStr">
        <is>
          <t>GJEFGNLJAY</t>
        </is>
      </c>
      <c r="D1565" s="7" t="n">
        <v>26</v>
      </c>
      <c r="E1565" s="7" t="n">
        <v>1486</v>
      </c>
      <c r="F1565" s="7" t="inlineStr">
        <is>
          <t>Yes</t>
        </is>
      </c>
      <c r="G1565" s="8" t="n"/>
    </row>
    <row r="1566">
      <c r="A1566" s="8" t="inlineStr">
        <is>
          <t>PGCV_0026_1487</t>
        </is>
      </c>
      <c r="B1566" s="8" t="inlineStr">
        <is>
          <t>COVID-SNL-22-72153</t>
        </is>
      </c>
      <c r="C1566" s="8" t="inlineStr">
        <is>
          <t>ZILNC40YQ4</t>
        </is>
      </c>
      <c r="D1566" s="7" t="n">
        <v>26</v>
      </c>
      <c r="E1566" s="7" t="n">
        <v>1487</v>
      </c>
      <c r="F1566" s="7" t="inlineStr">
        <is>
          <t>Yes</t>
        </is>
      </c>
      <c r="G1566" s="8" t="n"/>
    </row>
    <row r="1567">
      <c r="A1567" s="8" t="inlineStr">
        <is>
          <t>PGCV_0026_1488</t>
        </is>
      </c>
      <c r="B1567" s="8" t="inlineStr">
        <is>
          <t>COVID-SNL-22-72178</t>
        </is>
      </c>
      <c r="C1567" s="8" t="inlineStr">
        <is>
          <t>JV5LNSKDRX</t>
        </is>
      </c>
      <c r="D1567" s="7" t="n">
        <v>26</v>
      </c>
      <c r="E1567" s="7" t="n">
        <v>1488</v>
      </c>
      <c r="F1567" s="7" t="inlineStr">
        <is>
          <t>Yes</t>
        </is>
      </c>
      <c r="G1567" s="8" t="n"/>
    </row>
    <row r="1568">
      <c r="A1568" s="8" t="inlineStr">
        <is>
          <t>PGCV_0026_1489</t>
        </is>
      </c>
      <c r="B1568" s="8" t="inlineStr">
        <is>
          <t>COVID-SNL-22-72179</t>
        </is>
      </c>
      <c r="C1568" s="8" t="inlineStr">
        <is>
          <t>D4ZTN6DJGA</t>
        </is>
      </c>
      <c r="D1568" s="7" t="n">
        <v>26</v>
      </c>
      <c r="E1568" s="7" t="n">
        <v>1489</v>
      </c>
      <c r="F1568" s="7" t="inlineStr">
        <is>
          <t>Yes</t>
        </is>
      </c>
      <c r="G1568" s="8" t="n"/>
    </row>
    <row r="1569">
      <c r="A1569" s="8" t="inlineStr">
        <is>
          <t>PGCV_0026_1490</t>
        </is>
      </c>
      <c r="B1569" s="8" t="inlineStr">
        <is>
          <t>COVID-SNL-22-72180</t>
        </is>
      </c>
      <c r="C1569" s="8" t="inlineStr">
        <is>
          <t>4APLSRJP3B</t>
        </is>
      </c>
      <c r="D1569" s="7" t="n">
        <v>26</v>
      </c>
      <c r="E1569" s="7" t="n">
        <v>1490</v>
      </c>
      <c r="F1569" s="7" t="inlineStr">
        <is>
          <t>Yes</t>
        </is>
      </c>
      <c r="G1569" s="8" t="n"/>
    </row>
    <row r="1570">
      <c r="A1570" s="8" t="inlineStr">
        <is>
          <t>PGCV_0026_1491</t>
        </is>
      </c>
      <c r="B1570" s="8" t="inlineStr">
        <is>
          <t>COVID-SNL-22-72181</t>
        </is>
      </c>
      <c r="C1570" s="8" t="inlineStr">
        <is>
          <t>YM04ZRQQJ0</t>
        </is>
      </c>
      <c r="D1570" s="7" t="n">
        <v>26</v>
      </c>
      <c r="E1570" s="7" t="n">
        <v>1491</v>
      </c>
      <c r="F1570" s="7" t="inlineStr">
        <is>
          <t>Yes</t>
        </is>
      </c>
      <c r="G1570" s="8" t="n"/>
    </row>
    <row r="1571">
      <c r="A1571" s="8" t="inlineStr">
        <is>
          <t>PGCV_0026_1492</t>
        </is>
      </c>
      <c r="B1571" s="8" t="inlineStr">
        <is>
          <t>COVID-SNL-22-72183</t>
        </is>
      </c>
      <c r="C1571" s="8" t="inlineStr">
        <is>
          <t>9VPDI06IWM</t>
        </is>
      </c>
      <c r="D1571" s="7" t="n">
        <v>26</v>
      </c>
      <c r="E1571" s="7" t="n">
        <v>1492</v>
      </c>
      <c r="F1571" s="7" t="inlineStr">
        <is>
          <t>Yes</t>
        </is>
      </c>
      <c r="G1571" s="8" t="n"/>
    </row>
    <row r="1572">
      <c r="A1572" s="8" t="inlineStr">
        <is>
          <t>PGCV_0026_1493</t>
        </is>
      </c>
      <c r="B1572" s="8" t="inlineStr">
        <is>
          <t>COVID-SNL-22-72187</t>
        </is>
      </c>
      <c r="C1572" s="8" t="inlineStr">
        <is>
          <t>G8Z4XATSTB</t>
        </is>
      </c>
      <c r="D1572" s="7" t="n">
        <v>26</v>
      </c>
      <c r="E1572" s="7" t="n">
        <v>1493</v>
      </c>
      <c r="F1572" s="7" t="inlineStr">
        <is>
          <t>Yes</t>
        </is>
      </c>
      <c r="G1572" s="8" t="n"/>
    </row>
    <row r="1573">
      <c r="A1573" s="8" t="inlineStr">
        <is>
          <t>PGCV_0026_1494</t>
        </is>
      </c>
      <c r="B1573" s="8" t="inlineStr">
        <is>
          <t>COVID-SNL-22-72194</t>
        </is>
      </c>
      <c r="C1573" s="8" t="inlineStr">
        <is>
          <t>N02RNA49LS</t>
        </is>
      </c>
      <c r="D1573" s="7" t="n">
        <v>26</v>
      </c>
      <c r="E1573" s="7" t="n">
        <v>1494</v>
      </c>
      <c r="F1573" s="7" t="inlineStr">
        <is>
          <t>Yes</t>
        </is>
      </c>
      <c r="G1573" s="8" t="n"/>
    </row>
    <row r="1574">
      <c r="A1574" s="8" t="inlineStr">
        <is>
          <t>PGCV_0026_1495</t>
        </is>
      </c>
      <c r="B1574" s="8" t="inlineStr">
        <is>
          <t>COVID-SNL-22-72217</t>
        </is>
      </c>
      <c r="C1574" s="8" t="inlineStr">
        <is>
          <t>WCSU2YHVSF</t>
        </is>
      </c>
      <c r="D1574" s="7" t="n">
        <v>26</v>
      </c>
      <c r="E1574" s="7" t="n">
        <v>1495</v>
      </c>
      <c r="F1574" s="7" t="inlineStr">
        <is>
          <t>Yes</t>
        </is>
      </c>
      <c r="G1574" s="8" t="n"/>
    </row>
    <row r="1575">
      <c r="A1575" s="8" t="inlineStr">
        <is>
          <t>PGCV_0026_1496</t>
        </is>
      </c>
      <c r="B1575" s="8" t="inlineStr">
        <is>
          <t>COVID-SNL-22-72218</t>
        </is>
      </c>
      <c r="C1575" s="8" t="inlineStr">
        <is>
          <t>CHZEFBNOTJ</t>
        </is>
      </c>
      <c r="D1575" s="7" t="n">
        <v>26</v>
      </c>
      <c r="E1575" s="7" t="n">
        <v>1496</v>
      </c>
      <c r="F1575" s="7" t="inlineStr">
        <is>
          <t>Yes</t>
        </is>
      </c>
      <c r="G1575" s="8" t="n"/>
    </row>
    <row r="1576">
      <c r="A1576" s="8" t="inlineStr">
        <is>
          <t>PGCV_0026_1497</t>
        </is>
      </c>
      <c r="B1576" s="8" t="inlineStr">
        <is>
          <t>COVID-SNL-22-72221</t>
        </is>
      </c>
      <c r="C1576" s="8" t="inlineStr">
        <is>
          <t>RQYO4MURRC</t>
        </is>
      </c>
      <c r="D1576" s="7" t="n">
        <v>26</v>
      </c>
      <c r="E1576" s="7" t="n">
        <v>1497</v>
      </c>
      <c r="F1576" s="7" t="inlineStr">
        <is>
          <t>Yes</t>
        </is>
      </c>
      <c r="G1576" s="8" t="n"/>
    </row>
    <row r="1577">
      <c r="A1577" s="8" t="inlineStr">
        <is>
          <t>PGCV_0026_1498</t>
        </is>
      </c>
      <c r="B1577" s="8" t="inlineStr">
        <is>
          <t>COVID-SNL-22-72223</t>
        </is>
      </c>
      <c r="C1577" s="8" t="inlineStr">
        <is>
          <t>GA5VNBQKUQ</t>
        </is>
      </c>
      <c r="D1577" s="7" t="n">
        <v>26</v>
      </c>
      <c r="E1577" s="7" t="n">
        <v>1498</v>
      </c>
      <c r="F1577" s="7" t="inlineStr">
        <is>
          <t>Yes</t>
        </is>
      </c>
      <c r="G1577" s="8" t="n"/>
    </row>
    <row r="1578">
      <c r="A1578" s="8" t="inlineStr">
        <is>
          <t>PGCV_0026_1499</t>
        </is>
      </c>
      <c r="B1578" s="8" t="inlineStr">
        <is>
          <t>COVID-SNL-22-72322</t>
        </is>
      </c>
      <c r="C1578" s="8" t="inlineStr">
        <is>
          <t>QG04RLOGT7</t>
        </is>
      </c>
      <c r="D1578" s="7" t="n">
        <v>26</v>
      </c>
      <c r="E1578" s="7" t="n">
        <v>1499</v>
      </c>
      <c r="F1578" s="7" t="inlineStr">
        <is>
          <t>Yes</t>
        </is>
      </c>
      <c r="G1578" s="8" t="n"/>
    </row>
    <row r="1579">
      <c r="A1579" s="8" t="inlineStr">
        <is>
          <t>PGCV_0026_1500</t>
        </is>
      </c>
      <c r="B1579" s="8" t="inlineStr">
        <is>
          <t>COVID-SNL-22-72319</t>
        </is>
      </c>
      <c r="C1579" s="8" t="inlineStr">
        <is>
          <t>RVYO5BAW1L</t>
        </is>
      </c>
      <c r="D1579" s="7" t="n">
        <v>26</v>
      </c>
      <c r="E1579" s="7" t="n">
        <v>1500</v>
      </c>
      <c r="F1579" s="7" t="inlineStr">
        <is>
          <t>Yes</t>
        </is>
      </c>
      <c r="G1579" s="8" t="n"/>
    </row>
    <row r="1580">
      <c r="A1580" s="8" t="inlineStr">
        <is>
          <t>PGCV_0026_1501</t>
        </is>
      </c>
      <c r="B1580" s="8" t="inlineStr">
        <is>
          <t>COVID-SNL-22-72325</t>
        </is>
      </c>
      <c r="C1580" s="8" t="inlineStr">
        <is>
          <t>XZ0LYRERQQ</t>
        </is>
      </c>
      <c r="D1580" s="7" t="n">
        <v>26</v>
      </c>
      <c r="E1580" s="7" t="n">
        <v>1501</v>
      </c>
      <c r="F1580" s="7" t="inlineStr">
        <is>
          <t>Yes</t>
        </is>
      </c>
      <c r="G1580" s="8" t="n"/>
    </row>
    <row r="1581">
      <c r="A1581" s="8" t="inlineStr">
        <is>
          <t>PGCV_0026_1502</t>
        </is>
      </c>
      <c r="B1581" s="8" t="inlineStr">
        <is>
          <t>COVID-SNL-22-72349</t>
        </is>
      </c>
      <c r="C1581" s="8" t="inlineStr">
        <is>
          <t>Z5LSKU2WUH</t>
        </is>
      </c>
      <c r="D1581" s="7" t="n">
        <v>26</v>
      </c>
      <c r="E1581" s="7" t="n">
        <v>1502</v>
      </c>
      <c r="F1581" s="7" t="inlineStr">
        <is>
          <t>Yes</t>
        </is>
      </c>
      <c r="G1581" s="8" t="n"/>
    </row>
    <row r="1582">
      <c r="A1582" s="8" t="inlineStr">
        <is>
          <t>PGCV_0026_1503</t>
        </is>
      </c>
      <c r="B1582" s="8" t="inlineStr">
        <is>
          <t>COVID-SNL-22-72355</t>
        </is>
      </c>
      <c r="C1582" s="8" t="inlineStr">
        <is>
          <t>I5F8V0J6KN</t>
        </is>
      </c>
      <c r="D1582" s="7" t="n">
        <v>26</v>
      </c>
      <c r="E1582" s="7" t="n">
        <v>1503</v>
      </c>
      <c r="F1582" s="7" t="inlineStr">
        <is>
          <t>Yes</t>
        </is>
      </c>
      <c r="G1582" s="8" t="n"/>
    </row>
    <row r="1583">
      <c r="A1583" s="8" t="inlineStr">
        <is>
          <t>PGCV_0026_1504</t>
        </is>
      </c>
      <c r="B1583" s="8" t="inlineStr">
        <is>
          <t>COVID-SNL-22-72364</t>
        </is>
      </c>
      <c r="C1583" s="8" t="inlineStr">
        <is>
          <t>XCPMYEUNLX</t>
        </is>
      </c>
      <c r="D1583" s="7" t="n">
        <v>26</v>
      </c>
      <c r="E1583" s="7" t="n">
        <v>1504</v>
      </c>
      <c r="F1583" s="7" t="inlineStr">
        <is>
          <t>Yes</t>
        </is>
      </c>
      <c r="G1583" s="8" t="n"/>
    </row>
    <row r="1584">
      <c r="A1584" s="8" t="inlineStr">
        <is>
          <t>PGCV_0026_1505</t>
        </is>
      </c>
      <c r="B1584" s="8" t="inlineStr">
        <is>
          <t>COVID-SNL-22-72259</t>
        </is>
      </c>
      <c r="C1584" s="8" t="inlineStr">
        <is>
          <t>PJ4FMLTCSP</t>
        </is>
      </c>
      <c r="D1584" s="7" t="n">
        <v>26</v>
      </c>
      <c r="E1584" s="7" t="n">
        <v>1505</v>
      </c>
      <c r="F1584" s="7" t="inlineStr">
        <is>
          <t>Yes</t>
        </is>
      </c>
      <c r="G1584" s="8" t="n"/>
    </row>
    <row r="1585">
      <c r="A1585" s="8" t="inlineStr">
        <is>
          <t>PGCV_0026_1506</t>
        </is>
      </c>
      <c r="B1585" s="8" t="inlineStr">
        <is>
          <t>COVID-SNL-22-72385</t>
        </is>
      </c>
      <c r="C1585" s="8" t="inlineStr">
        <is>
          <t>ZZDE6QQ4XB</t>
        </is>
      </c>
      <c r="D1585" s="7" t="n">
        <v>26</v>
      </c>
      <c r="E1585" s="7" t="n">
        <v>1506</v>
      </c>
      <c r="F1585" s="7" t="inlineStr">
        <is>
          <t>Yes</t>
        </is>
      </c>
      <c r="G1585" s="8" t="n"/>
    </row>
    <row r="1586">
      <c r="A1586" s="8" t="inlineStr">
        <is>
          <t>PGCV_0026_1507</t>
        </is>
      </c>
      <c r="B1586" s="8" t="inlineStr">
        <is>
          <t>COVID-SNL-22-72389</t>
        </is>
      </c>
      <c r="C1586" s="8" t="inlineStr">
        <is>
          <t>RBGVKGZE6R</t>
        </is>
      </c>
      <c r="D1586" s="7" t="n">
        <v>26</v>
      </c>
      <c r="E1586" s="7" t="n">
        <v>1507</v>
      </c>
      <c r="F1586" s="7" t="inlineStr">
        <is>
          <t>Yes</t>
        </is>
      </c>
      <c r="G1586" s="8" t="n"/>
    </row>
    <row r="1587">
      <c r="A1587" s="8" t="inlineStr">
        <is>
          <t>PGCV_0026_1508</t>
        </is>
      </c>
      <c r="B1587" s="8" t="inlineStr">
        <is>
          <t>COVID-SNL-22-72397</t>
        </is>
      </c>
      <c r="C1587" s="8" t="inlineStr">
        <is>
          <t>AHNH9VWXQT</t>
        </is>
      </c>
      <c r="D1587" s="7" t="n">
        <v>26</v>
      </c>
      <c r="E1587" s="7" t="n">
        <v>1508</v>
      </c>
      <c r="F1587" s="7" t="inlineStr">
        <is>
          <t>Yes</t>
        </is>
      </c>
      <c r="G1587" s="8" t="n"/>
    </row>
    <row r="1588">
      <c r="A1588" s="8" t="inlineStr">
        <is>
          <t>PGCV_0026_1509</t>
        </is>
      </c>
      <c r="B1588" s="8" t="inlineStr">
        <is>
          <t>COVID-SNL-22-72446</t>
        </is>
      </c>
      <c r="C1588" s="8" t="inlineStr">
        <is>
          <t>EGHXTMYYGM</t>
        </is>
      </c>
      <c r="D1588" s="7" t="n">
        <v>26</v>
      </c>
      <c r="E1588" s="7" t="n">
        <v>1509</v>
      </c>
      <c r="F1588" s="7" t="inlineStr">
        <is>
          <t>Yes</t>
        </is>
      </c>
      <c r="G1588" s="8" t="n"/>
    </row>
    <row r="1589">
      <c r="A1589" s="8" t="inlineStr">
        <is>
          <t>PGCV_0026_1510</t>
        </is>
      </c>
      <c r="B1589" s="8" t="inlineStr">
        <is>
          <t>COVID-SNL-22-72452</t>
        </is>
      </c>
      <c r="C1589" s="8" t="inlineStr">
        <is>
          <t>T7FL9SKWGB</t>
        </is>
      </c>
      <c r="D1589" s="7" t="n">
        <v>26</v>
      </c>
      <c r="E1589" s="7" t="n">
        <v>1510</v>
      </c>
      <c r="F1589" s="7" t="inlineStr">
        <is>
          <t>Yes</t>
        </is>
      </c>
      <c r="G1589" s="8" t="n"/>
    </row>
    <row r="1590">
      <c r="A1590" s="8" t="inlineStr">
        <is>
          <t>PGCV_0026_1511</t>
        </is>
      </c>
      <c r="B1590" s="8" t="inlineStr">
        <is>
          <t>COVID-SNL-22-72453</t>
        </is>
      </c>
      <c r="C1590" s="8" t="inlineStr">
        <is>
          <t>NNWAMYQLYG</t>
        </is>
      </c>
      <c r="D1590" s="7" t="n">
        <v>26</v>
      </c>
      <c r="E1590" s="7" t="n">
        <v>1511</v>
      </c>
      <c r="F1590" s="7" t="inlineStr">
        <is>
          <t>Yes</t>
        </is>
      </c>
      <c r="G1590" s="8" t="n"/>
    </row>
    <row r="1591">
      <c r="A1591" s="8" t="inlineStr">
        <is>
          <t>PGCV_0026_1512</t>
        </is>
      </c>
      <c r="B1591" s="8" t="inlineStr">
        <is>
          <t>COVID-SNL-22-72454</t>
        </is>
      </c>
      <c r="C1591" s="8" t="inlineStr">
        <is>
          <t>15OK3YKVII</t>
        </is>
      </c>
      <c r="D1591" s="7" t="n">
        <v>26</v>
      </c>
      <c r="E1591" s="7" t="n">
        <v>1512</v>
      </c>
      <c r="F1591" s="7" t="inlineStr">
        <is>
          <t>Yes</t>
        </is>
      </c>
      <c r="G1591" s="8" t="n"/>
    </row>
    <row r="1592">
      <c r="A1592" s="8" t="inlineStr">
        <is>
          <t>PGCV_0026_1513</t>
        </is>
      </c>
      <c r="B1592" s="8" t="inlineStr">
        <is>
          <t>COVID-SNL-22-72461</t>
        </is>
      </c>
      <c r="C1592" s="8" t="inlineStr">
        <is>
          <t>BEZRKN3LNH</t>
        </is>
      </c>
      <c r="D1592" s="7" t="n">
        <v>26</v>
      </c>
      <c r="E1592" s="7" t="n">
        <v>1513</v>
      </c>
      <c r="F1592" s="7" t="inlineStr">
        <is>
          <t>Yes</t>
        </is>
      </c>
      <c r="G1592" s="8" t="n"/>
    </row>
    <row r="1593">
      <c r="A1593" s="8" t="inlineStr">
        <is>
          <t>PGCV_0026_1514</t>
        </is>
      </c>
      <c r="B1593" s="8" t="inlineStr">
        <is>
          <t>COVID-SNL-22-72481</t>
        </is>
      </c>
      <c r="C1593" s="8" t="inlineStr">
        <is>
          <t>F6Y86LGZDV</t>
        </is>
      </c>
      <c r="D1593" s="7" t="n">
        <v>26</v>
      </c>
      <c r="E1593" s="7" t="n">
        <v>1514</v>
      </c>
      <c r="F1593" s="7" t="inlineStr">
        <is>
          <t>Yes</t>
        </is>
      </c>
      <c r="G1593" s="8" t="n"/>
    </row>
    <row r="1594">
      <c r="A1594" s="8" t="inlineStr">
        <is>
          <t>PGCV_0026_1515</t>
        </is>
      </c>
      <c r="B1594" s="8" t="inlineStr">
        <is>
          <t>COVID-SNL-22-72508</t>
        </is>
      </c>
      <c r="C1594" s="8" t="inlineStr">
        <is>
          <t>T6536S9EJT</t>
        </is>
      </c>
      <c r="D1594" s="7" t="n">
        <v>26</v>
      </c>
      <c r="E1594" s="7" t="n">
        <v>1515</v>
      </c>
      <c r="F1594" s="7" t="inlineStr">
        <is>
          <t>Yes</t>
        </is>
      </c>
      <c r="G1594" s="8" t="n"/>
    </row>
    <row r="1595">
      <c r="A1595" s="8" t="inlineStr">
        <is>
          <t>PGCV_0026_1516</t>
        </is>
      </c>
      <c r="B1595" s="8" t="inlineStr">
        <is>
          <t>COVID-SNL-22-72512</t>
        </is>
      </c>
      <c r="C1595" s="8" t="inlineStr">
        <is>
          <t>MREZIVYJ33</t>
        </is>
      </c>
      <c r="D1595" s="7" t="n">
        <v>26</v>
      </c>
      <c r="E1595" s="7" t="n">
        <v>1516</v>
      </c>
      <c r="F1595" s="7" t="inlineStr">
        <is>
          <t>Yes</t>
        </is>
      </c>
      <c r="G1595" s="8" t="n"/>
    </row>
    <row r="1596">
      <c r="A1596" s="8" t="inlineStr">
        <is>
          <t>PGCV_0026_1517</t>
        </is>
      </c>
      <c r="B1596" s="8" t="inlineStr">
        <is>
          <t>COVID-SNL-22-72514</t>
        </is>
      </c>
      <c r="C1596" s="8" t="inlineStr">
        <is>
          <t>UWYMRPEUPN</t>
        </is>
      </c>
      <c r="D1596" s="7" t="n">
        <v>26</v>
      </c>
      <c r="E1596" s="7" t="n">
        <v>1517</v>
      </c>
      <c r="F1596" s="7" t="inlineStr">
        <is>
          <t>Yes</t>
        </is>
      </c>
      <c r="G1596" s="8" t="n"/>
    </row>
    <row r="1597">
      <c r="A1597" s="8" t="inlineStr">
        <is>
          <t>PGCV_0026_1518</t>
        </is>
      </c>
      <c r="B1597" s="8" t="inlineStr">
        <is>
          <t>COVID-SNL-22-72516</t>
        </is>
      </c>
      <c r="C1597" s="8" t="inlineStr">
        <is>
          <t>2BUFKYCDK6</t>
        </is>
      </c>
      <c r="D1597" s="7" t="n">
        <v>26</v>
      </c>
      <c r="E1597" s="7" t="n">
        <v>1518</v>
      </c>
      <c r="F1597" s="7" t="inlineStr">
        <is>
          <t>Yes</t>
        </is>
      </c>
      <c r="G1597" s="8" t="n"/>
    </row>
    <row r="1598">
      <c r="A1598" s="8" t="inlineStr">
        <is>
          <t>PGCV_0026_1519</t>
        </is>
      </c>
      <c r="B1598" s="8" t="inlineStr">
        <is>
          <t>COVID-SNL-22-72517</t>
        </is>
      </c>
      <c r="C1598" s="8" t="inlineStr">
        <is>
          <t>U6MVR7NI2V</t>
        </is>
      </c>
      <c r="D1598" s="7" t="n">
        <v>26</v>
      </c>
      <c r="E1598" s="7" t="n">
        <v>1519</v>
      </c>
      <c r="F1598" s="7" t="inlineStr">
        <is>
          <t>Yes</t>
        </is>
      </c>
      <c r="G1598" s="8" t="n"/>
    </row>
    <row r="1599">
      <c r="A1599" s="8" t="inlineStr">
        <is>
          <t>PGCV_0026_1520</t>
        </is>
      </c>
      <c r="B1599" s="8" t="inlineStr">
        <is>
          <t>COVID-SNL-22-72518</t>
        </is>
      </c>
      <c r="C1599" s="8" t="inlineStr">
        <is>
          <t>U6DRJLIXGK</t>
        </is>
      </c>
      <c r="D1599" s="7" t="n">
        <v>26</v>
      </c>
      <c r="E1599" s="7" t="n">
        <v>1520</v>
      </c>
      <c r="F1599" s="7" t="inlineStr">
        <is>
          <t>Yes</t>
        </is>
      </c>
      <c r="G1599" s="8" t="n"/>
    </row>
    <row r="1600">
      <c r="A1600" s="8" t="inlineStr">
        <is>
          <t>PGCV_0026_1521</t>
        </is>
      </c>
      <c r="B1600" s="8" t="inlineStr">
        <is>
          <t>COVID-SNL-22-72520</t>
        </is>
      </c>
      <c r="C1600" s="8" t="inlineStr">
        <is>
          <t>WSKS7A0VEX</t>
        </is>
      </c>
      <c r="D1600" s="7" t="n">
        <v>26</v>
      </c>
      <c r="E1600" s="7" t="n">
        <v>1521</v>
      </c>
      <c r="F1600" s="7" t="inlineStr">
        <is>
          <t>Yes</t>
        </is>
      </c>
      <c r="G1600" s="8" t="n"/>
    </row>
    <row r="1601">
      <c r="A1601" s="8" t="inlineStr">
        <is>
          <t>PGCV_0026_1522</t>
        </is>
      </c>
      <c r="B1601" s="8" t="inlineStr">
        <is>
          <t>COVID-SNL-22-72576</t>
        </is>
      </c>
      <c r="C1601" s="8" t="inlineStr">
        <is>
          <t>VMLOLAZRII</t>
        </is>
      </c>
      <c r="D1601" s="7" t="n">
        <v>26</v>
      </c>
      <c r="E1601" s="7" t="n">
        <v>1522</v>
      </c>
      <c r="F1601" s="7" t="inlineStr">
        <is>
          <t>Yes</t>
        </is>
      </c>
      <c r="G1601" s="8" t="n"/>
    </row>
    <row r="1602">
      <c r="A1602" s="8" t="inlineStr">
        <is>
          <t>PGCV_0026_1523</t>
        </is>
      </c>
      <c r="B1602" s="8" t="inlineStr">
        <is>
          <t>COVID-SNL-22-72594</t>
        </is>
      </c>
      <c r="C1602" s="8" t="inlineStr">
        <is>
          <t>SPBIL12RXI</t>
        </is>
      </c>
      <c r="D1602" s="7" t="n">
        <v>26</v>
      </c>
      <c r="E1602" s="7" t="n">
        <v>1523</v>
      </c>
      <c r="F1602" s="7" t="inlineStr">
        <is>
          <t>Yes</t>
        </is>
      </c>
      <c r="G1602" s="8" t="n"/>
    </row>
    <row r="1603">
      <c r="A1603" s="8" t="inlineStr">
        <is>
          <t>PGCV_0026_1524</t>
        </is>
      </c>
      <c r="B1603" s="8" t="inlineStr">
        <is>
          <t>COVID-SNL-22-72622</t>
        </is>
      </c>
      <c r="C1603" s="8" t="inlineStr">
        <is>
          <t>TCKQERMBGH</t>
        </is>
      </c>
      <c r="D1603" s="7" t="n">
        <v>26</v>
      </c>
      <c r="E1603" s="7" t="n">
        <v>1524</v>
      </c>
      <c r="F1603" s="7" t="inlineStr">
        <is>
          <t>Yes</t>
        </is>
      </c>
      <c r="G1603" s="8" t="n"/>
    </row>
    <row r="1604">
      <c r="A1604" s="8" t="inlineStr">
        <is>
          <t>PGCV_0026_1525</t>
        </is>
      </c>
      <c r="B1604" s="8" t="inlineStr">
        <is>
          <t>COVID-SNL-22-72624</t>
        </is>
      </c>
      <c r="C1604" s="8" t="inlineStr">
        <is>
          <t>MMFQQHOMTB</t>
        </is>
      </c>
      <c r="D1604" s="7" t="n">
        <v>26</v>
      </c>
      <c r="E1604" s="7" t="n">
        <v>1525</v>
      </c>
      <c r="F1604" s="7" t="inlineStr">
        <is>
          <t>Yes</t>
        </is>
      </c>
      <c r="G1604" s="8" t="n"/>
    </row>
    <row r="1605">
      <c r="A1605" s="8" t="inlineStr">
        <is>
          <t>PGCV_0026_1526</t>
        </is>
      </c>
      <c r="B1605" s="8" t="inlineStr">
        <is>
          <t>COVID-SNL-22-72637</t>
        </is>
      </c>
      <c r="C1605" s="8" t="inlineStr">
        <is>
          <t>GDUD6N3H9V</t>
        </is>
      </c>
      <c r="D1605" s="7" t="n">
        <v>26</v>
      </c>
      <c r="E1605" s="7" t="n">
        <v>1526</v>
      </c>
      <c r="F1605" s="7" t="inlineStr">
        <is>
          <t>Yes</t>
        </is>
      </c>
      <c r="G1605" s="8" t="n"/>
    </row>
    <row r="1606">
      <c r="A1606" s="8" t="inlineStr">
        <is>
          <t>PGCV_0026_1527</t>
        </is>
      </c>
      <c r="B1606" s="8" t="inlineStr">
        <is>
          <t>COVID-SNL-22-72639</t>
        </is>
      </c>
      <c r="C1606" s="8" t="inlineStr">
        <is>
          <t>UXMSV1EUGU</t>
        </is>
      </c>
      <c r="D1606" s="7" t="n">
        <v>26</v>
      </c>
      <c r="E1606" s="7" t="n">
        <v>1527</v>
      </c>
      <c r="F1606" s="7" t="inlineStr">
        <is>
          <t>Yes</t>
        </is>
      </c>
      <c r="G1606" s="8" t="n"/>
    </row>
    <row r="1607">
      <c r="A1607" s="8" t="inlineStr">
        <is>
          <t>PGCV_0026_1528</t>
        </is>
      </c>
      <c r="B1607" s="8" t="inlineStr">
        <is>
          <t>COVID-SNL-22-72640</t>
        </is>
      </c>
      <c r="C1607" s="8" t="inlineStr">
        <is>
          <t>AE6SCRLNSQ</t>
        </is>
      </c>
      <c r="D1607" s="7" t="n">
        <v>26</v>
      </c>
      <c r="E1607" s="7" t="n">
        <v>1528</v>
      </c>
      <c r="F1607" s="7" t="inlineStr">
        <is>
          <t>Yes</t>
        </is>
      </c>
      <c r="G1607" s="8" t="n"/>
    </row>
    <row r="1608">
      <c r="A1608" s="8" t="inlineStr">
        <is>
          <t>PGCV_0026_1529</t>
        </is>
      </c>
      <c r="B1608" s="8" t="inlineStr">
        <is>
          <t>COVID-SNL-22-72641</t>
        </is>
      </c>
      <c r="C1608" s="8" t="inlineStr">
        <is>
          <t>KV69ZQUJVQ</t>
        </is>
      </c>
      <c r="D1608" s="7" t="n">
        <v>26</v>
      </c>
      <c r="E1608" s="7" t="n">
        <v>1529</v>
      </c>
      <c r="F1608" s="7" t="inlineStr">
        <is>
          <t>Yes</t>
        </is>
      </c>
      <c r="G1608" s="8" t="n"/>
    </row>
    <row r="1609">
      <c r="A1609" s="8" t="inlineStr">
        <is>
          <t>PGCV_0026_1530</t>
        </is>
      </c>
      <c r="B1609" s="8" t="inlineStr">
        <is>
          <t>COVID-SNL-22-72644</t>
        </is>
      </c>
      <c r="C1609" s="8" t="inlineStr">
        <is>
          <t>H761YTWAT4</t>
        </is>
      </c>
      <c r="D1609" s="7" t="n">
        <v>26</v>
      </c>
      <c r="E1609" s="7" t="n">
        <v>1530</v>
      </c>
      <c r="F1609" s="7" t="inlineStr">
        <is>
          <t>Yes</t>
        </is>
      </c>
      <c r="G1609" s="8" t="n"/>
    </row>
    <row r="1610">
      <c r="A1610" s="8" t="inlineStr">
        <is>
          <t>PGCV_0026_1531</t>
        </is>
      </c>
      <c r="B1610" s="8" t="inlineStr">
        <is>
          <t>COVID-SNL-22-72656</t>
        </is>
      </c>
      <c r="C1610" s="8" t="inlineStr">
        <is>
          <t>R6RER6URAD</t>
        </is>
      </c>
      <c r="D1610" s="7" t="n">
        <v>26</v>
      </c>
      <c r="E1610" s="7" t="n">
        <v>1531</v>
      </c>
      <c r="F1610" s="7" t="inlineStr">
        <is>
          <t>Yes</t>
        </is>
      </c>
      <c r="G1610" s="8" t="n"/>
    </row>
    <row r="1611">
      <c r="A1611" s="8" t="inlineStr">
        <is>
          <t>PGCV_0026_1532</t>
        </is>
      </c>
      <c r="B1611" s="8" t="inlineStr">
        <is>
          <t>COVID-SNL-22-72659</t>
        </is>
      </c>
      <c r="C1611" s="8" t="inlineStr">
        <is>
          <t>KLIYVUXSSH</t>
        </is>
      </c>
      <c r="D1611" s="7" t="n">
        <v>26</v>
      </c>
      <c r="E1611" s="7" t="n">
        <v>1532</v>
      </c>
      <c r="F1611" s="7" t="inlineStr">
        <is>
          <t>Yes</t>
        </is>
      </c>
      <c r="G1611" s="8" t="n"/>
    </row>
    <row r="1612">
      <c r="A1612" s="8" t="inlineStr">
        <is>
          <t>PGCV_0026_1533</t>
        </is>
      </c>
      <c r="B1612" s="8" t="inlineStr">
        <is>
          <t>COVID-SNL-22-72663</t>
        </is>
      </c>
      <c r="C1612" s="8" t="inlineStr">
        <is>
          <t>NLRJEH8CE1</t>
        </is>
      </c>
      <c r="D1612" s="7" t="n">
        <v>26</v>
      </c>
      <c r="E1612" s="7" t="n">
        <v>1533</v>
      </c>
      <c r="F1612" s="7" t="inlineStr">
        <is>
          <t>Yes</t>
        </is>
      </c>
      <c r="G1612" s="8" t="n"/>
    </row>
    <row r="1613">
      <c r="A1613" s="8" t="inlineStr">
        <is>
          <t>PGCV_0026_1534</t>
        </is>
      </c>
      <c r="B1613" s="8" t="inlineStr">
        <is>
          <t>COVID-SNL-22-72690</t>
        </is>
      </c>
      <c r="C1613" s="8" t="inlineStr">
        <is>
          <t>SUF3FTMJBW</t>
        </is>
      </c>
      <c r="D1613" s="7" t="n">
        <v>26</v>
      </c>
      <c r="E1613" s="7" t="n">
        <v>1534</v>
      </c>
      <c r="F1613" s="7" t="inlineStr">
        <is>
          <t>Yes</t>
        </is>
      </c>
      <c r="G1613" s="8" t="n"/>
    </row>
    <row r="1614">
      <c r="A1614" s="8" t="inlineStr">
        <is>
          <t>PGCV_0026_1535</t>
        </is>
      </c>
      <c r="B1614" s="8" t="inlineStr">
        <is>
          <t>COVID-SNL-22-72691</t>
        </is>
      </c>
      <c r="C1614" s="8" t="inlineStr">
        <is>
          <t>0LKNERJ5XG</t>
        </is>
      </c>
      <c r="D1614" s="7" t="n">
        <v>26</v>
      </c>
      <c r="E1614" s="7" t="n">
        <v>1535</v>
      </c>
      <c r="F1614" s="7" t="inlineStr">
        <is>
          <t>Yes</t>
        </is>
      </c>
      <c r="G1614" s="8" t="n"/>
    </row>
    <row r="1615">
      <c r="A1615" s="8" t="inlineStr">
        <is>
          <t>PGCV_0026_1536</t>
        </is>
      </c>
      <c r="B1615" s="8" t="inlineStr">
        <is>
          <t>COVID-SNL-22-72693</t>
        </is>
      </c>
      <c r="C1615" s="8" t="inlineStr">
        <is>
          <t>NLSQ1Z7E8Y</t>
        </is>
      </c>
      <c r="D1615" s="7" t="n">
        <v>26</v>
      </c>
      <c r="E1615" s="7" t="n">
        <v>1536</v>
      </c>
      <c r="F1615" s="7" t="inlineStr">
        <is>
          <t>Yes</t>
        </is>
      </c>
      <c r="G1615" s="8" t="n"/>
    </row>
    <row r="1616">
      <c r="A1616" s="8" t="inlineStr">
        <is>
          <t>PGCV_0026_1537</t>
        </is>
      </c>
      <c r="B1616" s="8" t="inlineStr">
        <is>
          <t>COVID-SNL-22-72694</t>
        </is>
      </c>
      <c r="C1616" s="8" t="inlineStr">
        <is>
          <t>0JLEYGQRG6</t>
        </is>
      </c>
      <c r="D1616" s="7" t="n">
        <v>26</v>
      </c>
      <c r="E1616" s="7" t="n">
        <v>1537</v>
      </c>
      <c r="F1616" s="7" t="inlineStr">
        <is>
          <t>Yes</t>
        </is>
      </c>
      <c r="G1616" s="8" t="n"/>
    </row>
    <row r="1617">
      <c r="A1617" s="8" t="inlineStr">
        <is>
          <t>PGCV_0026_1538</t>
        </is>
      </c>
      <c r="B1617" s="8" t="inlineStr">
        <is>
          <t>COVID-SNL-22-72697</t>
        </is>
      </c>
      <c r="C1617" s="8" t="inlineStr">
        <is>
          <t>CL3QTS7SYF</t>
        </is>
      </c>
      <c r="D1617" s="7" t="n">
        <v>26</v>
      </c>
      <c r="E1617" s="7" t="n">
        <v>1538</v>
      </c>
      <c r="F1617" s="7" t="inlineStr">
        <is>
          <t>Yes</t>
        </is>
      </c>
      <c r="G1617" s="8" t="n"/>
    </row>
    <row r="1618">
      <c r="A1618" s="8" t="inlineStr">
        <is>
          <t>PGCV_0026_1539</t>
        </is>
      </c>
      <c r="B1618" s="8" t="inlineStr">
        <is>
          <t>COVID-SNL-22-72698</t>
        </is>
      </c>
      <c r="C1618" s="8" t="inlineStr">
        <is>
          <t>22UAEJMC6L</t>
        </is>
      </c>
      <c r="D1618" s="7" t="n">
        <v>26</v>
      </c>
      <c r="E1618" s="7" t="n">
        <v>1539</v>
      </c>
      <c r="F1618" s="7" t="inlineStr">
        <is>
          <t>Yes</t>
        </is>
      </c>
      <c r="G1618" s="8" t="n"/>
    </row>
    <row r="1619">
      <c r="A1619" s="8" t="inlineStr">
        <is>
          <t>PGCV_0026_1540</t>
        </is>
      </c>
      <c r="B1619" s="8" t="inlineStr">
        <is>
          <t>COVID-SNL-22-72699</t>
        </is>
      </c>
      <c r="C1619" s="8" t="inlineStr">
        <is>
          <t>46CFUQ1PTF</t>
        </is>
      </c>
      <c r="D1619" s="7" t="n">
        <v>26</v>
      </c>
      <c r="E1619" s="7" t="n">
        <v>1540</v>
      </c>
      <c r="F1619" s="7" t="inlineStr">
        <is>
          <t>Yes</t>
        </is>
      </c>
      <c r="G1619" s="8" t="n"/>
    </row>
    <row r="1620">
      <c r="A1620" s="8" t="inlineStr">
        <is>
          <t>PGCV_0026_1541</t>
        </is>
      </c>
      <c r="B1620" s="8" t="inlineStr">
        <is>
          <t>COVID-SNL-22-72716</t>
        </is>
      </c>
      <c r="C1620" s="8" t="inlineStr">
        <is>
          <t>XMWN7YUQ57</t>
        </is>
      </c>
      <c r="D1620" s="7" t="n">
        <v>26</v>
      </c>
      <c r="E1620" s="7" t="n">
        <v>1541</v>
      </c>
      <c r="F1620" s="7" t="inlineStr">
        <is>
          <t>Yes</t>
        </is>
      </c>
      <c r="G1620" s="8" t="n"/>
    </row>
    <row r="1621">
      <c r="A1621" s="8" t="inlineStr">
        <is>
          <t>PGCV_0026_1542</t>
        </is>
      </c>
      <c r="B1621" s="8" t="inlineStr">
        <is>
          <t>COVID-SNL-22-72717</t>
        </is>
      </c>
      <c r="C1621" s="8" t="inlineStr">
        <is>
          <t>UWTQJJTJFX</t>
        </is>
      </c>
      <c r="D1621" s="7" t="n">
        <v>26</v>
      </c>
      <c r="E1621" s="7" t="n">
        <v>1542</v>
      </c>
      <c r="F1621" s="7" t="inlineStr">
        <is>
          <t>Yes</t>
        </is>
      </c>
      <c r="G1621" s="8" t="n"/>
    </row>
    <row r="1622">
      <c r="A1622" s="8" t="inlineStr">
        <is>
          <t>PGCV_0026_1543</t>
        </is>
      </c>
      <c r="B1622" s="8" t="inlineStr">
        <is>
          <t>MLAB176363</t>
        </is>
      </c>
      <c r="C1622" s="8" t="inlineStr">
        <is>
          <t>UXPXCSZ4JN</t>
        </is>
      </c>
      <c r="D1622" s="7" t="n">
        <v>26</v>
      </c>
      <c r="E1622" s="7" t="n">
        <v>1543</v>
      </c>
      <c r="F1622" s="7" t="inlineStr">
        <is>
          <t>No</t>
        </is>
      </c>
      <c r="G1622" s="8" t="n"/>
    </row>
    <row r="1623">
      <c r="A1623" s="8" t="inlineStr">
        <is>
          <t>PGCV_0026_1544</t>
        </is>
      </c>
      <c r="B1623" s="8" t="inlineStr">
        <is>
          <t>MLAB176364</t>
        </is>
      </c>
      <c r="C1623" s="8" t="inlineStr">
        <is>
          <t>WTEODLBE0Y</t>
        </is>
      </c>
      <c r="D1623" s="7" t="n">
        <v>26</v>
      </c>
      <c r="E1623" s="7" t="n">
        <v>1544</v>
      </c>
      <c r="F1623" s="7" t="inlineStr">
        <is>
          <t>Yes</t>
        </is>
      </c>
      <c r="G1623" s="8" t="n"/>
    </row>
    <row r="1624">
      <c r="A1624" s="8" t="inlineStr">
        <is>
          <t>PGCV_0026_1545</t>
        </is>
      </c>
      <c r="B1624" s="8" t="inlineStr">
        <is>
          <t>MLAB176373</t>
        </is>
      </c>
      <c r="C1624" s="8" t="inlineStr">
        <is>
          <t>OJ3DALYNUX</t>
        </is>
      </c>
      <c r="D1624" s="7" t="n">
        <v>26</v>
      </c>
      <c r="E1624" s="7" t="n">
        <v>1545</v>
      </c>
      <c r="F1624" s="7" t="inlineStr">
        <is>
          <t>Yes</t>
        </is>
      </c>
      <c r="G1624" s="8" t="n"/>
    </row>
    <row r="1625">
      <c r="A1625" s="8" t="inlineStr">
        <is>
          <t>PGCV_0026_1546</t>
        </is>
      </c>
      <c r="B1625" s="8" t="inlineStr">
        <is>
          <t>MLAB176382</t>
        </is>
      </c>
      <c r="C1625" s="8" t="inlineStr">
        <is>
          <t>AFRU6ZZ8LW</t>
        </is>
      </c>
      <c r="D1625" s="7" t="n">
        <v>26</v>
      </c>
      <c r="E1625" s="7" t="n">
        <v>1546</v>
      </c>
      <c r="F1625" s="7" t="inlineStr">
        <is>
          <t>Yes</t>
        </is>
      </c>
      <c r="G1625" s="8" t="n"/>
    </row>
    <row r="1626">
      <c r="A1626" s="8" t="inlineStr">
        <is>
          <t>PGCV_0026_1547</t>
        </is>
      </c>
      <c r="B1626" s="8" t="inlineStr">
        <is>
          <t>MLAB176390</t>
        </is>
      </c>
      <c r="C1626" s="8" t="inlineStr">
        <is>
          <t>7YTHKJBE8N</t>
        </is>
      </c>
      <c r="D1626" s="7" t="n">
        <v>26</v>
      </c>
      <c r="E1626" s="7" t="n">
        <v>1547</v>
      </c>
      <c r="F1626" s="7" t="inlineStr">
        <is>
          <t>Yes</t>
        </is>
      </c>
      <c r="G1626" s="8" t="n"/>
    </row>
    <row r="1627">
      <c r="A1627" s="8" t="inlineStr">
        <is>
          <t>PGCV_0026_1548</t>
        </is>
      </c>
      <c r="B1627" s="8" t="inlineStr">
        <is>
          <t>MLAB176397</t>
        </is>
      </c>
      <c r="C1627" s="8" t="inlineStr">
        <is>
          <t>ANHLYAKLCF</t>
        </is>
      </c>
      <c r="D1627" s="7" t="n">
        <v>26</v>
      </c>
      <c r="E1627" s="7" t="n">
        <v>1548</v>
      </c>
      <c r="F1627" s="7" t="inlineStr">
        <is>
          <t>Yes</t>
        </is>
      </c>
      <c r="G1627" s="8" t="n"/>
    </row>
    <row r="1628">
      <c r="A1628" s="8" t="inlineStr">
        <is>
          <t>PGCV_0026_1549</t>
        </is>
      </c>
      <c r="B1628" s="8" t="inlineStr">
        <is>
          <t>MLAB176398</t>
        </is>
      </c>
      <c r="C1628" s="8" t="inlineStr">
        <is>
          <t>TEGZIWBAFM</t>
        </is>
      </c>
      <c r="D1628" s="7" t="n">
        <v>26</v>
      </c>
      <c r="E1628" s="7" t="n">
        <v>1549</v>
      </c>
      <c r="F1628" s="7" t="inlineStr">
        <is>
          <t>Yes</t>
        </is>
      </c>
      <c r="G1628" s="8" t="n"/>
    </row>
    <row r="1629">
      <c r="A1629" s="8" t="inlineStr">
        <is>
          <t>PGCV_0026_1550</t>
        </is>
      </c>
      <c r="B1629" s="8" t="inlineStr">
        <is>
          <t>MLAB176414</t>
        </is>
      </c>
      <c r="C1629" s="8" t="inlineStr">
        <is>
          <t>BUTSWXVDCT</t>
        </is>
      </c>
      <c r="D1629" s="7" t="n">
        <v>26</v>
      </c>
      <c r="E1629" s="7" t="n">
        <v>1550</v>
      </c>
      <c r="F1629" s="7" t="inlineStr">
        <is>
          <t>Yes</t>
        </is>
      </c>
      <c r="G1629" s="8" t="n"/>
    </row>
    <row r="1630">
      <c r="A1630" s="8" t="inlineStr">
        <is>
          <t>PGCV_0026_1551</t>
        </is>
      </c>
      <c r="B1630" s="8" t="inlineStr">
        <is>
          <t>MLAB176419</t>
        </is>
      </c>
      <c r="C1630" s="8" t="inlineStr">
        <is>
          <t>XFSRQEFBA8</t>
        </is>
      </c>
      <c r="D1630" s="7" t="n">
        <v>26</v>
      </c>
      <c r="E1630" s="7" t="n">
        <v>1551</v>
      </c>
      <c r="F1630" s="7" t="inlineStr">
        <is>
          <t>Yes</t>
        </is>
      </c>
      <c r="G1630" s="8" t="n"/>
    </row>
    <row r="1631">
      <c r="A1631" s="8" t="inlineStr">
        <is>
          <t>PGCV_0026_1552</t>
        </is>
      </c>
      <c r="B1631" s="8" t="inlineStr">
        <is>
          <t>MLAB176420</t>
        </is>
      </c>
      <c r="C1631" s="8" t="inlineStr">
        <is>
          <t>SAWZWS8QES</t>
        </is>
      </c>
      <c r="D1631" s="7" t="n">
        <v>26</v>
      </c>
      <c r="E1631" s="7" t="n">
        <v>1552</v>
      </c>
      <c r="F1631" s="7" t="inlineStr">
        <is>
          <t>Yes</t>
        </is>
      </c>
      <c r="G1631" s="8" t="n"/>
    </row>
    <row r="1632">
      <c r="A1632" s="8" t="inlineStr">
        <is>
          <t>PGCV_0026_1553</t>
        </is>
      </c>
      <c r="B1632" s="8" t="inlineStr">
        <is>
          <t>MLAB176421</t>
        </is>
      </c>
      <c r="C1632" s="8" t="inlineStr">
        <is>
          <t>R0QJMYONJX</t>
        </is>
      </c>
      <c r="D1632" s="7" t="n">
        <v>26</v>
      </c>
      <c r="E1632" s="7" t="n">
        <v>1553</v>
      </c>
      <c r="F1632" s="7" t="inlineStr">
        <is>
          <t>Yes</t>
        </is>
      </c>
      <c r="G1632" s="8" t="n"/>
    </row>
    <row r="1633">
      <c r="A1633" s="8" t="inlineStr">
        <is>
          <t>PGCV_0026_1554</t>
        </is>
      </c>
      <c r="B1633" s="8" t="inlineStr">
        <is>
          <t>MLAB176424</t>
        </is>
      </c>
      <c r="C1633" s="8" t="inlineStr">
        <is>
          <t>CEXEGFWNXQ</t>
        </is>
      </c>
      <c r="D1633" s="7" t="n">
        <v>26</v>
      </c>
      <c r="E1633" s="7" t="n">
        <v>1554</v>
      </c>
      <c r="F1633" s="7" t="inlineStr">
        <is>
          <t>Yes</t>
        </is>
      </c>
      <c r="G1633" s="8" t="n"/>
    </row>
    <row r="1634">
      <c r="A1634" s="8" t="inlineStr">
        <is>
          <t>PGCV_0026_1555</t>
        </is>
      </c>
      <c r="B1634" s="8" t="inlineStr">
        <is>
          <t>MLAB176425</t>
        </is>
      </c>
      <c r="C1634" s="8" t="inlineStr">
        <is>
          <t>FPILLZBKWZ</t>
        </is>
      </c>
      <c r="D1634" s="7" t="n">
        <v>26</v>
      </c>
      <c r="E1634" s="7" t="n">
        <v>1555</v>
      </c>
      <c r="F1634" s="7" t="inlineStr">
        <is>
          <t>Yes</t>
        </is>
      </c>
      <c r="G1634" s="8" t="n"/>
    </row>
    <row r="1635">
      <c r="A1635" s="8" t="inlineStr">
        <is>
          <t>PGCV_0026_1556</t>
        </is>
      </c>
      <c r="B1635" s="8" t="inlineStr">
        <is>
          <t>MLAB176429</t>
        </is>
      </c>
      <c r="C1635" s="8" t="inlineStr">
        <is>
          <t>I0YXJMHUSX</t>
        </is>
      </c>
      <c r="D1635" s="7" t="n">
        <v>26</v>
      </c>
      <c r="E1635" s="7" t="n">
        <v>1556</v>
      </c>
      <c r="F1635" s="7" t="inlineStr">
        <is>
          <t>Yes</t>
        </is>
      </c>
      <c r="G1635" s="8" t="n"/>
    </row>
    <row r="1636">
      <c r="A1636" s="8" t="inlineStr">
        <is>
          <t>PGCV_0026_1557</t>
        </is>
      </c>
      <c r="B1636" s="8" t="inlineStr">
        <is>
          <t>MLAB176435</t>
        </is>
      </c>
      <c r="C1636" s="8" t="inlineStr">
        <is>
          <t>GKCATGD3DT</t>
        </is>
      </c>
      <c r="D1636" s="7" t="n">
        <v>26</v>
      </c>
      <c r="E1636" s="7" t="n">
        <v>1557</v>
      </c>
      <c r="F1636" s="7" t="inlineStr">
        <is>
          <t>Yes</t>
        </is>
      </c>
      <c r="G1636" s="8" t="n"/>
    </row>
    <row r="1637">
      <c r="A1637" s="8" t="inlineStr">
        <is>
          <t>PGCV_0026_1558</t>
        </is>
      </c>
      <c r="B1637" s="8" t="inlineStr">
        <is>
          <t>MLAB176449</t>
        </is>
      </c>
      <c r="C1637" s="8" t="inlineStr">
        <is>
          <t>TDSDGM2CKY</t>
        </is>
      </c>
      <c r="D1637" s="7" t="n">
        <v>26</v>
      </c>
      <c r="E1637" s="7" t="n">
        <v>1558</v>
      </c>
      <c r="F1637" s="7" t="inlineStr">
        <is>
          <t>Yes</t>
        </is>
      </c>
      <c r="G1637" s="8" t="n"/>
    </row>
    <row r="1638">
      <c r="A1638" s="8" t="inlineStr">
        <is>
          <t>PGCV_0026_1559</t>
        </is>
      </c>
      <c r="B1638" s="8" t="inlineStr">
        <is>
          <t>MLAB176456</t>
        </is>
      </c>
      <c r="C1638" s="8" t="inlineStr">
        <is>
          <t>GYMY0TVMUI</t>
        </is>
      </c>
      <c r="D1638" s="7" t="n">
        <v>26</v>
      </c>
      <c r="E1638" s="7" t="n">
        <v>1559</v>
      </c>
      <c r="F1638" s="7" t="inlineStr">
        <is>
          <t>Yes</t>
        </is>
      </c>
      <c r="G1638" s="8" t="n"/>
    </row>
    <row r="1639">
      <c r="A1639" s="8" t="inlineStr">
        <is>
          <t>PGCV_0026_1560</t>
        </is>
      </c>
      <c r="B1639" s="8" t="inlineStr">
        <is>
          <t>MLAB176460</t>
        </is>
      </c>
      <c r="C1639" s="8" t="inlineStr">
        <is>
          <t>PAIWQD35CI</t>
        </is>
      </c>
      <c r="D1639" s="7" t="n">
        <v>26</v>
      </c>
      <c r="E1639" s="7" t="n">
        <v>1560</v>
      </c>
      <c r="F1639" s="7" t="inlineStr">
        <is>
          <t>Yes</t>
        </is>
      </c>
      <c r="G1639" s="8" t="n"/>
    </row>
    <row r="1640">
      <c r="A1640" s="8" t="inlineStr">
        <is>
          <t>PGCV_0026_1561</t>
        </is>
      </c>
      <c r="B1640" s="8" t="inlineStr">
        <is>
          <t>MLAB176461</t>
        </is>
      </c>
      <c r="C1640" s="8" t="inlineStr">
        <is>
          <t>IH2XERCJX2</t>
        </is>
      </c>
      <c r="D1640" s="7" t="n">
        <v>26</v>
      </c>
      <c r="E1640" s="7" t="n">
        <v>1561</v>
      </c>
      <c r="F1640" s="7" t="inlineStr">
        <is>
          <t>Yes</t>
        </is>
      </c>
      <c r="G1640" s="8" t="n"/>
    </row>
    <row r="1641">
      <c r="A1641" s="8" t="inlineStr">
        <is>
          <t>PGCV_0026_1562</t>
        </is>
      </c>
      <c r="B1641" s="8" t="inlineStr">
        <is>
          <t>MLAB176466</t>
        </is>
      </c>
      <c r="C1641" s="8" t="inlineStr">
        <is>
          <t>GBH3THBFLM</t>
        </is>
      </c>
      <c r="D1641" s="7" t="n">
        <v>26</v>
      </c>
      <c r="E1641" s="7" t="n">
        <v>1562</v>
      </c>
      <c r="F1641" s="7" t="inlineStr">
        <is>
          <t>Yes</t>
        </is>
      </c>
      <c r="G1641" s="8" t="n"/>
    </row>
    <row r="1642">
      <c r="A1642" s="8" t="inlineStr">
        <is>
          <t>PGCV_0026_1563</t>
        </is>
      </c>
      <c r="B1642" s="8" t="inlineStr">
        <is>
          <t>MLAB176469</t>
        </is>
      </c>
      <c r="C1642" s="8" t="inlineStr">
        <is>
          <t>TLPIJ7Y5QA</t>
        </is>
      </c>
      <c r="D1642" s="7" t="n">
        <v>26</v>
      </c>
      <c r="E1642" s="7" t="n">
        <v>1563</v>
      </c>
      <c r="F1642" s="7" t="inlineStr">
        <is>
          <t>Yes</t>
        </is>
      </c>
      <c r="G1642" s="8" t="n"/>
    </row>
    <row r="1643">
      <c r="A1643" s="8" t="inlineStr">
        <is>
          <t>PGCV_0026_1564</t>
        </is>
      </c>
      <c r="B1643" s="8" t="inlineStr">
        <is>
          <t>MLAB176470</t>
        </is>
      </c>
      <c r="C1643" s="8" t="inlineStr">
        <is>
          <t>HZ1LOXBPWB</t>
        </is>
      </c>
      <c r="D1643" s="7" t="n">
        <v>26</v>
      </c>
      <c r="E1643" s="7" t="n">
        <v>1564</v>
      </c>
      <c r="F1643" s="7" t="inlineStr">
        <is>
          <t>Yes</t>
        </is>
      </c>
      <c r="G1643" s="8" t="n"/>
    </row>
    <row r="1644">
      <c r="A1644" s="8" t="inlineStr">
        <is>
          <t>PGCV_0026_1565</t>
        </is>
      </c>
      <c r="B1644" s="8" t="inlineStr">
        <is>
          <t>MLAB176471</t>
        </is>
      </c>
      <c r="C1644" s="8" t="inlineStr">
        <is>
          <t>8E9DUUXVYV</t>
        </is>
      </c>
      <c r="D1644" s="7" t="n">
        <v>26</v>
      </c>
      <c r="E1644" s="7" t="n">
        <v>1565</v>
      </c>
      <c r="F1644" s="7" t="inlineStr">
        <is>
          <t>Yes</t>
        </is>
      </c>
      <c r="G1644" s="8" t="n"/>
    </row>
    <row r="1645">
      <c r="A1645" s="8" t="inlineStr">
        <is>
          <t>PGCV_0026_1566</t>
        </is>
      </c>
      <c r="B1645" s="8" t="inlineStr">
        <is>
          <t>MLAB176475</t>
        </is>
      </c>
      <c r="C1645" s="8" t="inlineStr">
        <is>
          <t>WW3GIRKYPC</t>
        </is>
      </c>
      <c r="D1645" s="7" t="n">
        <v>26</v>
      </c>
      <c r="E1645" s="7" t="n">
        <v>1566</v>
      </c>
      <c r="F1645" s="7" t="inlineStr">
        <is>
          <t>Yes</t>
        </is>
      </c>
      <c r="G1645" s="8" t="n"/>
    </row>
    <row r="1646">
      <c r="A1646" s="8" t="inlineStr">
        <is>
          <t>PGCV_0026_1567</t>
        </is>
      </c>
      <c r="B1646" s="8" t="inlineStr">
        <is>
          <t>MLAB176483</t>
        </is>
      </c>
      <c r="C1646" s="8" t="inlineStr">
        <is>
          <t>IUPGYS4WCG</t>
        </is>
      </c>
      <c r="D1646" s="7" t="n">
        <v>26</v>
      </c>
      <c r="E1646" s="7" t="n">
        <v>1567</v>
      </c>
      <c r="F1646" s="7" t="inlineStr">
        <is>
          <t>Yes</t>
        </is>
      </c>
      <c r="G1646" s="8" t="n"/>
    </row>
    <row r="1647">
      <c r="A1647" s="8" t="inlineStr">
        <is>
          <t>PGCV_0026_1568</t>
        </is>
      </c>
      <c r="B1647" s="8" t="inlineStr">
        <is>
          <t>MLAB176491</t>
        </is>
      </c>
      <c r="C1647" s="8" t="inlineStr">
        <is>
          <t>P3SCE09M2P</t>
        </is>
      </c>
      <c r="D1647" s="7" t="n">
        <v>26</v>
      </c>
      <c r="E1647" s="7" t="n">
        <v>1568</v>
      </c>
      <c r="F1647" s="7" t="inlineStr">
        <is>
          <t>Yes</t>
        </is>
      </c>
      <c r="G1647" s="8" t="n"/>
    </row>
    <row r="1648">
      <c r="A1648" s="8" t="inlineStr">
        <is>
          <t>PGCV_0026_1569</t>
        </is>
      </c>
      <c r="B1648" s="8" t="inlineStr">
        <is>
          <t>MLAB176499</t>
        </is>
      </c>
      <c r="C1648" s="8" t="inlineStr">
        <is>
          <t>XMWKX5TDHZ</t>
        </is>
      </c>
      <c r="D1648" s="7" t="n">
        <v>26</v>
      </c>
      <c r="E1648" s="7" t="n">
        <v>1569</v>
      </c>
      <c r="F1648" s="7" t="inlineStr">
        <is>
          <t>Yes</t>
        </is>
      </c>
      <c r="G1648" s="8" t="n"/>
    </row>
    <row r="1649">
      <c r="A1649" s="8" t="inlineStr">
        <is>
          <t>PGCV_0026_1570</t>
        </is>
      </c>
      <c r="B1649" s="8" t="inlineStr">
        <is>
          <t>MLAB176497</t>
        </is>
      </c>
      <c r="C1649" s="8" t="inlineStr">
        <is>
          <t>NJBK8GIBSB</t>
        </is>
      </c>
      <c r="D1649" s="7" t="n">
        <v>26</v>
      </c>
      <c r="E1649" s="7" t="n">
        <v>1570</v>
      </c>
      <c r="F1649" s="7" t="inlineStr">
        <is>
          <t>Yes</t>
        </is>
      </c>
      <c r="G1649" s="8" t="n"/>
    </row>
    <row r="1650">
      <c r="A1650" s="8" t="inlineStr">
        <is>
          <t>PGCV_0026_1571</t>
        </is>
      </c>
      <c r="B1650" s="8" t="inlineStr">
        <is>
          <t>MLAB176510</t>
        </is>
      </c>
      <c r="C1650" s="8" t="inlineStr">
        <is>
          <t>AWPCZ53JDY</t>
        </is>
      </c>
      <c r="D1650" s="7" t="n">
        <v>26</v>
      </c>
      <c r="E1650" s="7" t="n">
        <v>1571</v>
      </c>
      <c r="F1650" s="7" t="inlineStr">
        <is>
          <t>Yes</t>
        </is>
      </c>
      <c r="G1650" s="8" t="n"/>
    </row>
    <row r="1651">
      <c r="A1651" s="8" t="inlineStr">
        <is>
          <t>PGCV_0026_1572</t>
        </is>
      </c>
      <c r="B1651" s="8" t="inlineStr">
        <is>
          <t>MLAB176512</t>
        </is>
      </c>
      <c r="C1651" s="8" t="inlineStr">
        <is>
          <t>BAJJHXLDYX</t>
        </is>
      </c>
      <c r="D1651" s="7" t="n">
        <v>26</v>
      </c>
      <c r="E1651" s="7" t="n">
        <v>1572</v>
      </c>
      <c r="F1651" s="7" t="inlineStr">
        <is>
          <t>Yes</t>
        </is>
      </c>
      <c r="G1651" s="8" t="n"/>
    </row>
    <row r="1652">
      <c r="A1652" s="8" t="inlineStr">
        <is>
          <t>PGCV_0026_1573</t>
        </is>
      </c>
      <c r="B1652" s="8" t="inlineStr">
        <is>
          <t>MLAB176523</t>
        </is>
      </c>
      <c r="C1652" s="8" t="inlineStr">
        <is>
          <t>2JNU9KCPC7</t>
        </is>
      </c>
      <c r="D1652" s="7" t="n">
        <v>26</v>
      </c>
      <c r="E1652" s="7" t="n">
        <v>1573</v>
      </c>
      <c r="F1652" s="7" t="inlineStr">
        <is>
          <t>Yes</t>
        </is>
      </c>
      <c r="G1652" s="8" t="n"/>
    </row>
    <row r="1653">
      <c r="A1653" s="8" t="inlineStr">
        <is>
          <t>PGCV_0026_1574</t>
        </is>
      </c>
      <c r="B1653" s="8" t="inlineStr">
        <is>
          <t>MLAB176524</t>
        </is>
      </c>
      <c r="C1653" s="8" t="inlineStr">
        <is>
          <t>RWOJMWXJGY</t>
        </is>
      </c>
      <c r="D1653" s="7" t="n">
        <v>26</v>
      </c>
      <c r="E1653" s="7" t="n">
        <v>1574</v>
      </c>
      <c r="F1653" s="7" t="inlineStr">
        <is>
          <t>Yes</t>
        </is>
      </c>
      <c r="G1653" s="8" t="n"/>
    </row>
    <row r="1654">
      <c r="A1654" s="8" t="inlineStr">
        <is>
          <t>PGCV_0026_1575</t>
        </is>
      </c>
      <c r="B1654" s="8" t="inlineStr">
        <is>
          <t>MLAB176534</t>
        </is>
      </c>
      <c r="C1654" s="8" t="inlineStr">
        <is>
          <t>PGUBMJI5Q5</t>
        </is>
      </c>
      <c r="D1654" s="7" t="n">
        <v>26</v>
      </c>
      <c r="E1654" s="7" t="n">
        <v>1575</v>
      </c>
      <c r="F1654" s="7" t="inlineStr">
        <is>
          <t>Yes</t>
        </is>
      </c>
      <c r="G1654" s="8" t="n"/>
    </row>
    <row r="1655">
      <c r="A1655" s="8" t="inlineStr">
        <is>
          <t>PGCV_0026_1576</t>
        </is>
      </c>
      <c r="B1655" s="8" t="inlineStr">
        <is>
          <t>MLAB176577</t>
        </is>
      </c>
      <c r="C1655" s="8" t="inlineStr">
        <is>
          <t>QW3VT4ZKHS</t>
        </is>
      </c>
      <c r="D1655" s="7" t="n">
        <v>26</v>
      </c>
      <c r="E1655" s="7" t="n">
        <v>1576</v>
      </c>
      <c r="F1655" s="7" t="inlineStr">
        <is>
          <t>Yes</t>
        </is>
      </c>
      <c r="G1655" s="8" t="n"/>
    </row>
    <row r="1656">
      <c r="A1656" s="8" t="inlineStr">
        <is>
          <t>PGCV_0026_1577</t>
        </is>
      </c>
      <c r="B1656" s="8" t="inlineStr">
        <is>
          <t>MLAB176588</t>
        </is>
      </c>
      <c r="C1656" s="8" t="inlineStr">
        <is>
          <t>BFB6P9DM9O</t>
        </is>
      </c>
      <c r="D1656" s="7" t="n">
        <v>26</v>
      </c>
      <c r="E1656" s="7" t="n">
        <v>1577</v>
      </c>
      <c r="F1656" s="7" t="inlineStr">
        <is>
          <t>Yes</t>
        </is>
      </c>
      <c r="G1656" s="8" t="n"/>
    </row>
    <row r="1657">
      <c r="A1657" s="8" t="inlineStr">
        <is>
          <t>PGCV_0026_1578</t>
        </is>
      </c>
      <c r="B1657" s="8" t="inlineStr">
        <is>
          <t>MLAB176589</t>
        </is>
      </c>
      <c r="C1657" s="8" t="inlineStr">
        <is>
          <t>FVCF3EPPY8</t>
        </is>
      </c>
      <c r="D1657" s="7" t="n">
        <v>26</v>
      </c>
      <c r="E1657" s="7" t="n">
        <v>1578</v>
      </c>
      <c r="F1657" s="7" t="inlineStr">
        <is>
          <t>Yes</t>
        </is>
      </c>
      <c r="G1657" s="8" t="n"/>
    </row>
    <row r="1658">
      <c r="A1658" s="8" t="inlineStr">
        <is>
          <t>PGCV_0026_1579</t>
        </is>
      </c>
      <c r="B1658" s="8" t="inlineStr">
        <is>
          <t>MLAB176594</t>
        </is>
      </c>
      <c r="C1658" s="8" t="inlineStr">
        <is>
          <t>9PLDM0XUZD</t>
        </is>
      </c>
      <c r="D1658" s="7" t="n">
        <v>26</v>
      </c>
      <c r="E1658" s="7" t="n">
        <v>1579</v>
      </c>
      <c r="F1658" s="7" t="inlineStr">
        <is>
          <t>Yes</t>
        </is>
      </c>
      <c r="G1658" s="8" t="n"/>
    </row>
    <row r="1659">
      <c r="A1659" s="8" t="inlineStr">
        <is>
          <t>PGCV_0026_1580</t>
        </is>
      </c>
      <c r="B1659" s="8" t="inlineStr">
        <is>
          <t>MLAB176597</t>
        </is>
      </c>
      <c r="C1659" s="8" t="inlineStr">
        <is>
          <t>0CEJSB0M8L</t>
        </is>
      </c>
      <c r="D1659" s="7" t="n">
        <v>26</v>
      </c>
      <c r="E1659" s="7" t="n">
        <v>1580</v>
      </c>
      <c r="F1659" s="7" t="inlineStr">
        <is>
          <t>Yes</t>
        </is>
      </c>
      <c r="G1659" s="8" t="n"/>
    </row>
    <row r="1660">
      <c r="A1660" s="8" t="inlineStr">
        <is>
          <t>PGCV_0026_1581</t>
        </is>
      </c>
      <c r="B1660" s="8" t="inlineStr">
        <is>
          <t>MLAB176599</t>
        </is>
      </c>
      <c r="C1660" s="8" t="inlineStr">
        <is>
          <t>209KQWHFUM</t>
        </is>
      </c>
      <c r="D1660" s="7" t="n">
        <v>26</v>
      </c>
      <c r="E1660" s="7" t="n">
        <v>1581</v>
      </c>
      <c r="F1660" s="7" t="inlineStr">
        <is>
          <t>Yes</t>
        </is>
      </c>
      <c r="G1660" s="8" t="n"/>
    </row>
    <row r="1661">
      <c r="A1661" s="8" t="inlineStr">
        <is>
          <t>PGCV_0026_1582</t>
        </is>
      </c>
      <c r="B1661" s="8" t="inlineStr">
        <is>
          <t>MLAB176600</t>
        </is>
      </c>
      <c r="C1661" s="8" t="inlineStr">
        <is>
          <t>D63WHZ2D9V</t>
        </is>
      </c>
      <c r="D1661" s="7" t="n">
        <v>26</v>
      </c>
      <c r="E1661" s="7" t="n">
        <v>1582</v>
      </c>
      <c r="F1661" s="7" t="inlineStr">
        <is>
          <t>Yes</t>
        </is>
      </c>
      <c r="G1661" s="8" t="n"/>
    </row>
    <row r="1662">
      <c r="A1662" s="8" t="inlineStr">
        <is>
          <t>PGCV_0026_1583</t>
        </is>
      </c>
      <c r="B1662" s="8" t="inlineStr">
        <is>
          <t>MLAB176601</t>
        </is>
      </c>
      <c r="C1662" s="8" t="inlineStr">
        <is>
          <t>4GMHALKQHX</t>
        </is>
      </c>
      <c r="D1662" s="7" t="n">
        <v>26</v>
      </c>
      <c r="E1662" s="7" t="n">
        <v>1583</v>
      </c>
      <c r="F1662" s="7" t="inlineStr">
        <is>
          <t>Yes</t>
        </is>
      </c>
      <c r="G1662" s="8" t="n"/>
    </row>
    <row r="1663">
      <c r="A1663" s="8" t="inlineStr">
        <is>
          <t>PGCV_0026_1584</t>
        </is>
      </c>
      <c r="B1663" s="8" t="inlineStr">
        <is>
          <t>MLAB176605</t>
        </is>
      </c>
      <c r="C1663" s="8" t="inlineStr">
        <is>
          <t>UELF5QKBTA</t>
        </is>
      </c>
      <c r="D1663" s="7" t="n">
        <v>26</v>
      </c>
      <c r="E1663" s="7" t="n">
        <v>1584</v>
      </c>
      <c r="F1663" s="7" t="inlineStr">
        <is>
          <t>Yes</t>
        </is>
      </c>
      <c r="G1663" s="8" t="n"/>
    </row>
    <row r="1664">
      <c r="A1664" s="8" t="inlineStr">
        <is>
          <t>PGCV_0026_1585</t>
        </is>
      </c>
      <c r="B1664" s="8" t="inlineStr">
        <is>
          <t>MLAB176625</t>
        </is>
      </c>
      <c r="C1664" s="8" t="inlineStr">
        <is>
          <t>Q4XZJ2FEPO</t>
        </is>
      </c>
      <c r="D1664" s="7" t="n">
        <v>26</v>
      </c>
      <c r="E1664" s="7" t="n">
        <v>1585</v>
      </c>
      <c r="F1664" s="7" t="inlineStr">
        <is>
          <t>Yes</t>
        </is>
      </c>
      <c r="G1664" s="8" t="n"/>
    </row>
    <row r="1665">
      <c r="A1665" s="8" t="inlineStr">
        <is>
          <t>PGCV_0026_1586</t>
        </is>
      </c>
      <c r="B1665" s="8" t="inlineStr">
        <is>
          <t>MLAB176641</t>
        </is>
      </c>
      <c r="C1665" s="8" t="inlineStr">
        <is>
          <t>7EZRGPNYGL</t>
        </is>
      </c>
      <c r="D1665" s="7" t="n">
        <v>26</v>
      </c>
      <c r="E1665" s="7" t="n">
        <v>1586</v>
      </c>
      <c r="F1665" s="7" t="inlineStr">
        <is>
          <t>Yes</t>
        </is>
      </c>
      <c r="G1665" s="8" t="n"/>
    </row>
    <row r="1666">
      <c r="A1666" s="8" t="inlineStr">
        <is>
          <t>PGCV_0026_1587</t>
        </is>
      </c>
      <c r="B1666" s="8" t="inlineStr">
        <is>
          <t>MLAB176645</t>
        </is>
      </c>
      <c r="C1666" s="8" t="inlineStr">
        <is>
          <t>FXBUCLFO1B</t>
        </is>
      </c>
      <c r="D1666" s="7" t="n">
        <v>26</v>
      </c>
      <c r="E1666" s="7" t="n">
        <v>1587</v>
      </c>
      <c r="F1666" s="7" t="inlineStr">
        <is>
          <t>Yes</t>
        </is>
      </c>
      <c r="G1666" s="8" t="n"/>
    </row>
    <row r="1667">
      <c r="A1667" s="8" t="inlineStr">
        <is>
          <t>PGCV_0026_1588</t>
        </is>
      </c>
      <c r="B1667" s="8" t="inlineStr">
        <is>
          <t>MLAB176647</t>
        </is>
      </c>
      <c r="C1667" s="8" t="inlineStr">
        <is>
          <t>S5HIGDS7QE</t>
        </is>
      </c>
      <c r="D1667" s="7" t="n">
        <v>26</v>
      </c>
      <c r="E1667" s="7" t="n">
        <v>1588</v>
      </c>
      <c r="F1667" s="7" t="inlineStr">
        <is>
          <t>Yes</t>
        </is>
      </c>
      <c r="G1667" s="8" t="n"/>
    </row>
    <row r="1668">
      <c r="A1668" s="8" t="inlineStr">
        <is>
          <t>PGCV_0026_1589</t>
        </is>
      </c>
      <c r="B1668" s="8" t="inlineStr">
        <is>
          <t>MLAB176651</t>
        </is>
      </c>
      <c r="C1668" s="8" t="inlineStr">
        <is>
          <t>YZDHQQRF15</t>
        </is>
      </c>
      <c r="D1668" s="7" t="n">
        <v>26</v>
      </c>
      <c r="E1668" s="7" t="n">
        <v>1589</v>
      </c>
      <c r="F1668" s="7" t="inlineStr">
        <is>
          <t>Yes</t>
        </is>
      </c>
      <c r="G1668" s="8" t="n"/>
    </row>
    <row r="1669">
      <c r="A1669" s="8" t="inlineStr">
        <is>
          <t>PGCV_0026_1590</t>
        </is>
      </c>
      <c r="B1669" s="8" t="inlineStr">
        <is>
          <t>MLAB176669</t>
        </is>
      </c>
      <c r="C1669" s="8" t="inlineStr">
        <is>
          <t>U9BH03PEUQ</t>
        </is>
      </c>
      <c r="D1669" s="7" t="n">
        <v>26</v>
      </c>
      <c r="E1669" s="7" t="n">
        <v>1590</v>
      </c>
      <c r="F1669" s="7" t="inlineStr">
        <is>
          <t>Yes</t>
        </is>
      </c>
      <c r="G1669" s="8" t="n"/>
    </row>
    <row r="1670">
      <c r="A1670" s="8" t="inlineStr">
        <is>
          <t>PGCV_0026_1591</t>
        </is>
      </c>
      <c r="B1670" s="8" t="inlineStr">
        <is>
          <t>MLAB176683</t>
        </is>
      </c>
      <c r="C1670" s="8" t="inlineStr">
        <is>
          <t>SYBL7J2NLK</t>
        </is>
      </c>
      <c r="D1670" s="7" t="n">
        <v>26</v>
      </c>
      <c r="E1670" s="7" t="n">
        <v>1591</v>
      </c>
      <c r="F1670" s="7" t="inlineStr">
        <is>
          <t>Yes</t>
        </is>
      </c>
      <c r="G1670" s="8" t="n"/>
    </row>
    <row r="1671">
      <c r="A1671" s="8" t="inlineStr">
        <is>
          <t>PGCV_0026_1592</t>
        </is>
      </c>
      <c r="B1671" s="8" t="inlineStr">
        <is>
          <t>MLAB176684</t>
        </is>
      </c>
      <c r="C1671" s="8" t="inlineStr">
        <is>
          <t>GVX2PTULGM</t>
        </is>
      </c>
      <c r="D1671" s="7" t="n">
        <v>26</v>
      </c>
      <c r="E1671" s="7" t="n">
        <v>1592</v>
      </c>
      <c r="F1671" s="7" t="inlineStr">
        <is>
          <t>Yes</t>
        </is>
      </c>
      <c r="G1671" s="8" t="n"/>
    </row>
    <row r="1672">
      <c r="A1672" s="8" t="inlineStr">
        <is>
          <t>PGCV_0026_1593</t>
        </is>
      </c>
      <c r="B1672" s="8" t="inlineStr">
        <is>
          <t>C32854</t>
        </is>
      </c>
      <c r="C1672" s="8" t="inlineStr">
        <is>
          <t>6AZRGZKTWV</t>
        </is>
      </c>
      <c r="D1672" s="7" t="n">
        <v>26</v>
      </c>
      <c r="E1672" s="7" t="n">
        <v>1593</v>
      </c>
      <c r="F1672" s="7" t="inlineStr">
        <is>
          <t>Yes</t>
        </is>
      </c>
      <c r="G1672" s="8" t="n"/>
    </row>
    <row r="1673">
      <c r="A1673" s="8" t="inlineStr">
        <is>
          <t>PGCV_0026_1594</t>
        </is>
      </c>
      <c r="B1673" s="8" t="inlineStr">
        <is>
          <t>C33020</t>
        </is>
      </c>
      <c r="C1673" s="8" t="inlineStr">
        <is>
          <t>4AVCAKJVWV</t>
        </is>
      </c>
      <c r="D1673" s="7" t="n">
        <v>26</v>
      </c>
      <c r="E1673" s="7" t="n">
        <v>1594</v>
      </c>
      <c r="F1673" s="7" t="inlineStr">
        <is>
          <t>Yes</t>
        </is>
      </c>
      <c r="G1673" s="8" t="n"/>
    </row>
    <row r="1674">
      <c r="A1674" s="8" t="inlineStr">
        <is>
          <t>PGCV_0026_1595</t>
        </is>
      </c>
      <c r="B1674" s="8" t="inlineStr">
        <is>
          <t>C33066</t>
        </is>
      </c>
      <c r="C1674" s="8" t="inlineStr">
        <is>
          <t>WP63ULR96L</t>
        </is>
      </c>
      <c r="D1674" s="7" t="n">
        <v>26</v>
      </c>
      <c r="E1674" s="7" t="n">
        <v>1595</v>
      </c>
      <c r="F1674" s="7" t="inlineStr">
        <is>
          <t>Yes</t>
        </is>
      </c>
      <c r="G1674" s="8" t="n"/>
    </row>
    <row r="1675">
      <c r="A1675" s="8" t="inlineStr">
        <is>
          <t>PGCV_0026_1596</t>
        </is>
      </c>
      <c r="B1675" s="8" t="inlineStr">
        <is>
          <t>C33083</t>
        </is>
      </c>
      <c r="C1675" s="8" t="inlineStr">
        <is>
          <t>Z7PQKUXNLC</t>
        </is>
      </c>
      <c r="D1675" s="7" t="n">
        <v>26</v>
      </c>
      <c r="E1675" s="7" t="n">
        <v>1596</v>
      </c>
      <c r="F1675" s="7" t="inlineStr">
        <is>
          <t>Yes</t>
        </is>
      </c>
      <c r="G1675" s="8" t="n"/>
    </row>
    <row r="1676">
      <c r="A1676" s="8" t="inlineStr">
        <is>
          <t>PGCV_0026_1597</t>
        </is>
      </c>
      <c r="B1676" s="8" t="inlineStr">
        <is>
          <t>C33111</t>
        </is>
      </c>
      <c r="C1676" s="8" t="inlineStr">
        <is>
          <t>NCYJEZMODB</t>
        </is>
      </c>
      <c r="D1676" s="7" t="n">
        <v>26</v>
      </c>
      <c r="E1676" s="7" t="n">
        <v>1597</v>
      </c>
      <c r="F1676" s="7" t="inlineStr">
        <is>
          <t>Yes</t>
        </is>
      </c>
      <c r="G1676" s="8" t="n"/>
    </row>
    <row r="1677">
      <c r="A1677" s="8" t="inlineStr">
        <is>
          <t>PGCV_0026_1598</t>
        </is>
      </c>
      <c r="B1677" s="8" t="inlineStr">
        <is>
          <t>C33211</t>
        </is>
      </c>
      <c r="C1677" s="8" t="inlineStr">
        <is>
          <t>B8MIMA0N3D</t>
        </is>
      </c>
      <c r="D1677" s="7" t="n">
        <v>26</v>
      </c>
      <c r="E1677" s="7" t="n">
        <v>1598</v>
      </c>
      <c r="F1677" s="7" t="inlineStr">
        <is>
          <t>Yes</t>
        </is>
      </c>
      <c r="G1677" s="8" t="n"/>
    </row>
    <row r="1678">
      <c r="A1678" s="8" t="inlineStr">
        <is>
          <t>PGCV_0026_1599</t>
        </is>
      </c>
      <c r="B1678" s="8" t="inlineStr">
        <is>
          <t>C33325</t>
        </is>
      </c>
      <c r="C1678" s="8" t="inlineStr">
        <is>
          <t>XVPOKF5B6X</t>
        </is>
      </c>
      <c r="D1678" s="7" t="n">
        <v>26</v>
      </c>
      <c r="E1678" s="7" t="n">
        <v>1599</v>
      </c>
      <c r="F1678" s="7" t="inlineStr">
        <is>
          <t>Yes</t>
        </is>
      </c>
      <c r="G1678" s="8" t="n"/>
    </row>
    <row r="1679">
      <c r="A1679" s="8" t="inlineStr">
        <is>
          <t>PGCV_0026_1600</t>
        </is>
      </c>
      <c r="B1679" s="8" t="inlineStr">
        <is>
          <t>C33437</t>
        </is>
      </c>
      <c r="C1679" s="8" t="inlineStr">
        <is>
          <t>EKZQTOSU5Y</t>
        </is>
      </c>
      <c r="D1679" s="7" t="n">
        <v>26</v>
      </c>
      <c r="E1679" s="7" t="n">
        <v>1600</v>
      </c>
      <c r="F1679" s="7" t="inlineStr">
        <is>
          <t>Yes</t>
        </is>
      </c>
      <c r="G1679" s="8" t="n"/>
    </row>
    <row r="1680">
      <c r="A1680" s="8" t="inlineStr">
        <is>
          <t>PGCV_0026_1601</t>
        </is>
      </c>
      <c r="B1680" s="8" t="inlineStr">
        <is>
          <t>C33493</t>
        </is>
      </c>
      <c r="C1680" s="8" t="inlineStr">
        <is>
          <t>E4JC3UKLT7</t>
        </is>
      </c>
      <c r="D1680" s="7" t="n">
        <v>26</v>
      </c>
      <c r="E1680" s="7" t="n">
        <v>1601</v>
      </c>
      <c r="F1680" s="7" t="inlineStr">
        <is>
          <t>Yes</t>
        </is>
      </c>
      <c r="G1680" s="8" t="n"/>
    </row>
    <row r="1681">
      <c r="A1681" s="8" t="inlineStr">
        <is>
          <t>PGCV_0026_1602</t>
        </is>
      </c>
      <c r="B1681" s="8" t="inlineStr">
        <is>
          <t>C33523</t>
        </is>
      </c>
      <c r="C1681" s="8" t="inlineStr">
        <is>
          <t>HYUGOA5YU5</t>
        </is>
      </c>
      <c r="D1681" s="7" t="n">
        <v>26</v>
      </c>
      <c r="E1681" s="7" t="n">
        <v>1602</v>
      </c>
      <c r="F1681" s="7" t="inlineStr">
        <is>
          <t>No</t>
        </is>
      </c>
      <c r="G1681" s="8" t="n"/>
    </row>
    <row r="1682">
      <c r="A1682" s="8" t="inlineStr">
        <is>
          <t>PGCV_0026_1603</t>
        </is>
      </c>
      <c r="B1682" s="8" t="inlineStr">
        <is>
          <t>MLAB176775</t>
        </is>
      </c>
      <c r="C1682" s="8" t="inlineStr">
        <is>
          <t>DB831NRF0Z</t>
        </is>
      </c>
      <c r="D1682" s="7" t="n">
        <v>26</v>
      </c>
      <c r="E1682" s="7" t="n">
        <v>1603</v>
      </c>
      <c r="F1682" s="7" t="inlineStr">
        <is>
          <t>Yes</t>
        </is>
      </c>
      <c r="G1682" s="8" t="n"/>
    </row>
    <row r="1683">
      <c r="A1683" s="8" t="inlineStr">
        <is>
          <t>PGCV_0026_1604</t>
        </is>
      </c>
      <c r="B1683" s="8" t="inlineStr">
        <is>
          <t>MLAB176779</t>
        </is>
      </c>
      <c r="C1683" s="8" t="inlineStr">
        <is>
          <t>4UFHTJDDH4</t>
        </is>
      </c>
      <c r="D1683" s="7" t="n">
        <v>26</v>
      </c>
      <c r="E1683" s="7" t="n">
        <v>1604</v>
      </c>
      <c r="F1683" s="7" t="inlineStr">
        <is>
          <t>Yes</t>
        </is>
      </c>
      <c r="G1683" s="8" t="n"/>
    </row>
    <row r="1684">
      <c r="A1684" s="8" t="inlineStr">
        <is>
          <t>PGCV_0026_1605</t>
        </is>
      </c>
      <c r="B1684" s="8" t="inlineStr">
        <is>
          <t>MLAB176782</t>
        </is>
      </c>
      <c r="C1684" s="8" t="inlineStr">
        <is>
          <t>DHWGX4MKQH</t>
        </is>
      </c>
      <c r="D1684" s="7" t="n">
        <v>26</v>
      </c>
      <c r="E1684" s="7" t="n">
        <v>1605</v>
      </c>
      <c r="F1684" s="7" t="inlineStr">
        <is>
          <t>Yes</t>
        </is>
      </c>
      <c r="G1684" s="8" t="n"/>
    </row>
    <row r="1685">
      <c r="A1685" s="8" t="inlineStr">
        <is>
          <t>PGCV_0026_1606</t>
        </is>
      </c>
      <c r="B1685" s="8" t="inlineStr">
        <is>
          <t>MLAB176788</t>
        </is>
      </c>
      <c r="C1685" s="8" t="inlineStr">
        <is>
          <t>AKOAOT2G1B</t>
        </is>
      </c>
      <c r="D1685" s="7" t="n">
        <v>26</v>
      </c>
      <c r="E1685" s="7" t="n">
        <v>1606</v>
      </c>
      <c r="F1685" s="7" t="inlineStr">
        <is>
          <t>Yes</t>
        </is>
      </c>
      <c r="G1685" s="8" t="n"/>
    </row>
    <row r="1686">
      <c r="A1686" s="8" t="inlineStr">
        <is>
          <t>PGCV_0026_1607</t>
        </is>
      </c>
      <c r="B1686" s="8" t="inlineStr">
        <is>
          <t>MLAB176789</t>
        </is>
      </c>
      <c r="C1686" s="8" t="inlineStr">
        <is>
          <t>EOCZCYPLC8</t>
        </is>
      </c>
      <c r="D1686" s="7" t="n">
        <v>26</v>
      </c>
      <c r="E1686" s="7" t="n">
        <v>1607</v>
      </c>
      <c r="F1686" s="7" t="inlineStr">
        <is>
          <t>Yes</t>
        </is>
      </c>
      <c r="G1686" s="8" t="n"/>
    </row>
    <row r="1687">
      <c r="A1687" s="8" t="inlineStr">
        <is>
          <t>PGCV_0026_1608</t>
        </is>
      </c>
      <c r="B1687" s="8" t="inlineStr">
        <is>
          <t>MLAB176795</t>
        </is>
      </c>
      <c r="C1687" s="8" t="inlineStr">
        <is>
          <t>NFKZNVJJVR</t>
        </is>
      </c>
      <c r="D1687" s="7" t="n">
        <v>26</v>
      </c>
      <c r="E1687" s="7" t="n">
        <v>1608</v>
      </c>
      <c r="F1687" s="7" t="inlineStr">
        <is>
          <t>Yes</t>
        </is>
      </c>
      <c r="G1687" s="8" t="n"/>
    </row>
    <row r="1688">
      <c r="A1688" s="8" t="inlineStr">
        <is>
          <t>PGCV_0026_1609</t>
        </is>
      </c>
      <c r="B1688" s="8" t="inlineStr">
        <is>
          <t>MLAB176799</t>
        </is>
      </c>
      <c r="C1688" s="8" t="inlineStr">
        <is>
          <t>OMOT0EZYDO</t>
        </is>
      </c>
      <c r="D1688" s="7" t="n">
        <v>26</v>
      </c>
      <c r="E1688" s="7" t="n">
        <v>1609</v>
      </c>
      <c r="F1688" s="7" t="inlineStr">
        <is>
          <t>Yes</t>
        </is>
      </c>
      <c r="G1688" s="8" t="n"/>
    </row>
    <row r="1689">
      <c r="A1689" s="8" t="inlineStr">
        <is>
          <t>PGCV_0026_1610</t>
        </is>
      </c>
      <c r="B1689" s="8" t="inlineStr">
        <is>
          <t>MLAB176810</t>
        </is>
      </c>
      <c r="C1689" s="8" t="inlineStr">
        <is>
          <t>EIDLNEYKQZ</t>
        </is>
      </c>
      <c r="D1689" s="7" t="n">
        <v>26</v>
      </c>
      <c r="E1689" s="7" t="n">
        <v>1610</v>
      </c>
      <c r="F1689" s="7" t="inlineStr">
        <is>
          <t>Yes</t>
        </is>
      </c>
      <c r="G1689" s="8" t="n"/>
    </row>
    <row r="1690">
      <c r="A1690" s="8" t="inlineStr">
        <is>
          <t>PGCV_0026_1611</t>
        </is>
      </c>
      <c r="B1690" s="8" t="inlineStr">
        <is>
          <t>MLAB176820</t>
        </is>
      </c>
      <c r="C1690" s="8" t="inlineStr">
        <is>
          <t>KY8Z1MB3RL</t>
        </is>
      </c>
      <c r="D1690" s="7" t="n">
        <v>26</v>
      </c>
      <c r="E1690" s="7" t="n">
        <v>1611</v>
      </c>
      <c r="F1690" s="7" t="inlineStr">
        <is>
          <t>Yes</t>
        </is>
      </c>
      <c r="G1690" s="8" t="n"/>
    </row>
    <row r="1691">
      <c r="A1691" s="8" t="inlineStr">
        <is>
          <t>PGCV_0026_1612</t>
        </is>
      </c>
      <c r="B1691" s="8" t="inlineStr">
        <is>
          <t>MLAB176867</t>
        </is>
      </c>
      <c r="C1691" s="8" t="inlineStr">
        <is>
          <t>4GFJXGTOLY</t>
        </is>
      </c>
      <c r="D1691" s="7" t="n">
        <v>26</v>
      </c>
      <c r="E1691" s="7" t="n">
        <v>1612</v>
      </c>
      <c r="F1691" s="7" t="inlineStr">
        <is>
          <t>Yes</t>
        </is>
      </c>
      <c r="G1691" s="8" t="n"/>
    </row>
    <row r="1692">
      <c r="A1692" s="8" t="inlineStr">
        <is>
          <t>PGCV_0026_1613</t>
        </is>
      </c>
      <c r="B1692" s="8" t="inlineStr">
        <is>
          <t>MLAB176868</t>
        </is>
      </c>
      <c r="C1692" s="8" t="inlineStr">
        <is>
          <t>KSLIIIPWZ5</t>
        </is>
      </c>
      <c r="D1692" s="7" t="n">
        <v>26</v>
      </c>
      <c r="E1692" s="7" t="n">
        <v>1613</v>
      </c>
      <c r="F1692" s="7" t="inlineStr">
        <is>
          <t>Yes</t>
        </is>
      </c>
      <c r="G1692" s="8" t="n"/>
    </row>
    <row r="1693">
      <c r="A1693" s="8" t="inlineStr">
        <is>
          <t>PGCV_0026_1614</t>
        </is>
      </c>
      <c r="B1693" s="8" t="inlineStr">
        <is>
          <t>MLAB176870</t>
        </is>
      </c>
      <c r="C1693" s="8" t="inlineStr">
        <is>
          <t>2AXJJWV4KA</t>
        </is>
      </c>
      <c r="D1693" s="7" t="n">
        <v>26</v>
      </c>
      <c r="E1693" s="7" t="n">
        <v>1614</v>
      </c>
      <c r="F1693" s="7" t="inlineStr">
        <is>
          <t>Yes</t>
        </is>
      </c>
      <c r="G1693" s="8" t="n"/>
    </row>
    <row r="1694">
      <c r="A1694" s="8" t="inlineStr">
        <is>
          <t>PGCV_0026_1615</t>
        </is>
      </c>
      <c r="B1694" s="8" t="inlineStr">
        <is>
          <t>MLAB176840</t>
        </is>
      </c>
      <c r="C1694" s="8" t="inlineStr">
        <is>
          <t>M8KZDM5SP2</t>
        </is>
      </c>
      <c r="D1694" s="7" t="n">
        <v>26</v>
      </c>
      <c r="E1694" s="7" t="n">
        <v>1615</v>
      </c>
      <c r="F1694" s="7" t="inlineStr">
        <is>
          <t>Yes</t>
        </is>
      </c>
      <c r="G1694" s="8" t="n"/>
    </row>
    <row r="1695">
      <c r="A1695" s="8" t="inlineStr">
        <is>
          <t>PGCV_0026_1616</t>
        </is>
      </c>
      <c r="B1695" s="8" t="inlineStr">
        <is>
          <t>MLAB176842</t>
        </is>
      </c>
      <c r="C1695" s="8" t="inlineStr">
        <is>
          <t>WFXSZYFGGW</t>
        </is>
      </c>
      <c r="D1695" s="7" t="n">
        <v>26</v>
      </c>
      <c r="E1695" s="7" t="n">
        <v>1616</v>
      </c>
      <c r="F1695" s="7" t="inlineStr">
        <is>
          <t>Yes</t>
        </is>
      </c>
      <c r="G1695" s="8" t="n"/>
    </row>
    <row r="1696">
      <c r="A1696" s="8" t="inlineStr">
        <is>
          <t>PGCV_0026_1617</t>
        </is>
      </c>
      <c r="B1696" s="8" t="inlineStr">
        <is>
          <t>MLAB176844</t>
        </is>
      </c>
      <c r="C1696" s="8" t="inlineStr">
        <is>
          <t>7ZVEL0XBYC</t>
        </is>
      </c>
      <c r="D1696" s="7" t="n">
        <v>26</v>
      </c>
      <c r="E1696" s="7" t="n">
        <v>1617</v>
      </c>
      <c r="F1696" s="7" t="inlineStr">
        <is>
          <t>Yes</t>
        </is>
      </c>
      <c r="G1696" s="8" t="n"/>
    </row>
    <row r="1697">
      <c r="A1697" s="8" t="inlineStr">
        <is>
          <t>PGCV_0026_1618</t>
        </is>
      </c>
      <c r="B1697" s="8" t="inlineStr">
        <is>
          <t>MLAB176845</t>
        </is>
      </c>
      <c r="C1697" s="8" t="inlineStr">
        <is>
          <t>XQO2J0AWVY</t>
        </is>
      </c>
      <c r="D1697" s="7" t="n">
        <v>26</v>
      </c>
      <c r="E1697" s="7" t="n">
        <v>1618</v>
      </c>
      <c r="F1697" s="7" t="inlineStr">
        <is>
          <t>Yes</t>
        </is>
      </c>
      <c r="G1697" s="8" t="n"/>
    </row>
    <row r="1698">
      <c r="A1698" s="8" t="inlineStr">
        <is>
          <t>PGCV_0026_1619</t>
        </is>
      </c>
      <c r="B1698" s="8" t="inlineStr">
        <is>
          <t>MLAB176852</t>
        </is>
      </c>
      <c r="C1698" s="8" t="inlineStr">
        <is>
          <t>QNGPOB6EVX</t>
        </is>
      </c>
      <c r="D1698" s="7" t="n">
        <v>26</v>
      </c>
      <c r="E1698" s="7" t="n">
        <v>1619</v>
      </c>
      <c r="F1698" s="7" t="inlineStr">
        <is>
          <t>Yes</t>
        </is>
      </c>
      <c r="G1698" s="8" t="n"/>
    </row>
    <row r="1699">
      <c r="A1699" s="8" t="inlineStr">
        <is>
          <t>PGCV_0026_1620</t>
        </is>
      </c>
      <c r="B1699" s="8" t="inlineStr">
        <is>
          <t>MLAB176881</t>
        </is>
      </c>
      <c r="C1699" s="8" t="inlineStr">
        <is>
          <t>R6EXBPLLJ4</t>
        </is>
      </c>
      <c r="D1699" s="7" t="n">
        <v>26</v>
      </c>
      <c r="E1699" s="7" t="n">
        <v>1620</v>
      </c>
      <c r="F1699" s="7" t="inlineStr">
        <is>
          <t>Yes</t>
        </is>
      </c>
      <c r="G1699" s="8" t="n"/>
    </row>
    <row r="1700">
      <c r="A1700" s="8" t="inlineStr">
        <is>
          <t>PGCV_0026_1621</t>
        </is>
      </c>
      <c r="B1700" s="8" t="inlineStr">
        <is>
          <t>MLAB176882</t>
        </is>
      </c>
      <c r="C1700" s="8" t="inlineStr">
        <is>
          <t>TU08V8Y7BZ</t>
        </is>
      </c>
      <c r="D1700" s="7" t="n">
        <v>26</v>
      </c>
      <c r="E1700" s="7" t="n">
        <v>1621</v>
      </c>
      <c r="F1700" s="7" t="inlineStr">
        <is>
          <t>Yes</t>
        </is>
      </c>
      <c r="G1700" s="8" t="n"/>
    </row>
    <row r="1701">
      <c r="A1701" s="8" t="inlineStr">
        <is>
          <t>PGCV_0026_1622</t>
        </is>
      </c>
      <c r="B1701" s="8" t="inlineStr">
        <is>
          <t>MLAB176894</t>
        </is>
      </c>
      <c r="C1701" s="8" t="inlineStr">
        <is>
          <t>RY5GK5UGYO</t>
        </is>
      </c>
      <c r="D1701" s="7" t="n">
        <v>26</v>
      </c>
      <c r="E1701" s="7" t="n">
        <v>1622</v>
      </c>
      <c r="F1701" s="7" t="inlineStr">
        <is>
          <t>Yes</t>
        </is>
      </c>
      <c r="G1701" s="8" t="n"/>
    </row>
    <row r="1702">
      <c r="A1702" s="8" t="inlineStr">
        <is>
          <t>PGCV_0026_1623</t>
        </is>
      </c>
      <c r="B1702" s="8" t="inlineStr">
        <is>
          <t>MLAB176895</t>
        </is>
      </c>
      <c r="C1702" s="8" t="inlineStr">
        <is>
          <t>ZOASJF7GJ9</t>
        </is>
      </c>
      <c r="D1702" s="7" t="n">
        <v>26</v>
      </c>
      <c r="E1702" s="7" t="n">
        <v>1623</v>
      </c>
      <c r="F1702" s="7" t="inlineStr">
        <is>
          <t>Yes</t>
        </is>
      </c>
      <c r="G1702" s="8" t="n"/>
    </row>
    <row r="1703">
      <c r="A1703" s="8" t="inlineStr">
        <is>
          <t>PGCV_0026_1624</t>
        </is>
      </c>
      <c r="B1703" s="8" t="inlineStr">
        <is>
          <t>MLAB176896</t>
        </is>
      </c>
      <c r="C1703" s="8" t="inlineStr">
        <is>
          <t>NWV5UB2J9S</t>
        </is>
      </c>
      <c r="D1703" s="7" t="n">
        <v>26</v>
      </c>
      <c r="E1703" s="7" t="n">
        <v>1624</v>
      </c>
      <c r="F1703" s="7" t="inlineStr">
        <is>
          <t>Yes</t>
        </is>
      </c>
      <c r="G1703" s="8" t="n"/>
    </row>
    <row r="1704">
      <c r="A1704" s="8" t="inlineStr">
        <is>
          <t>PGCV_0026_1625</t>
        </is>
      </c>
      <c r="B1704" s="8" t="inlineStr">
        <is>
          <t>MLAB176916</t>
        </is>
      </c>
      <c r="C1704" s="8" t="inlineStr">
        <is>
          <t>8H20Q9F8ZV</t>
        </is>
      </c>
      <c r="D1704" s="7" t="n">
        <v>26</v>
      </c>
      <c r="E1704" s="7" t="n">
        <v>1625</v>
      </c>
      <c r="F1704" s="7" t="inlineStr">
        <is>
          <t>Yes</t>
        </is>
      </c>
      <c r="G1704" s="8" t="n"/>
    </row>
    <row r="1705">
      <c r="A1705" s="8" t="inlineStr">
        <is>
          <t>PGCV_0026_1626</t>
        </is>
      </c>
      <c r="B1705" s="8" t="inlineStr">
        <is>
          <t>MLAB176920</t>
        </is>
      </c>
      <c r="C1705" s="8" t="inlineStr">
        <is>
          <t>C5JXAYJJAF</t>
        </is>
      </c>
      <c r="D1705" s="7" t="n">
        <v>26</v>
      </c>
      <c r="E1705" s="7" t="n">
        <v>1626</v>
      </c>
      <c r="F1705" s="7" t="inlineStr">
        <is>
          <t>Yes</t>
        </is>
      </c>
      <c r="G1705" s="8" t="n"/>
    </row>
    <row r="1706">
      <c r="A1706" s="8" t="inlineStr">
        <is>
          <t>PGCV_0026_1627</t>
        </is>
      </c>
      <c r="B1706" s="8" t="inlineStr">
        <is>
          <t>MLAB176935</t>
        </is>
      </c>
      <c r="C1706" s="8" t="inlineStr">
        <is>
          <t>FOXRW6ZQ7G</t>
        </is>
      </c>
      <c r="D1706" s="7" t="n">
        <v>26</v>
      </c>
      <c r="E1706" s="7" t="n">
        <v>1627</v>
      </c>
      <c r="F1706" s="7" t="inlineStr">
        <is>
          <t>Yes</t>
        </is>
      </c>
      <c r="G1706" s="8" t="n"/>
    </row>
    <row r="1707">
      <c r="A1707" s="8" t="inlineStr">
        <is>
          <t>PGCV_0026_1628</t>
        </is>
      </c>
      <c r="B1707" s="8" t="inlineStr">
        <is>
          <t>MLAB176937</t>
        </is>
      </c>
      <c r="C1707" s="8" t="inlineStr">
        <is>
          <t>0TTD1SHH2N</t>
        </is>
      </c>
      <c r="D1707" s="7" t="n">
        <v>26</v>
      </c>
      <c r="E1707" s="7" t="n">
        <v>1628</v>
      </c>
      <c r="F1707" s="7" t="inlineStr">
        <is>
          <t>Yes</t>
        </is>
      </c>
      <c r="G1707" s="8" t="n"/>
    </row>
    <row r="1708">
      <c r="A1708" s="8" t="inlineStr">
        <is>
          <t>PGCV_0026_1629</t>
        </is>
      </c>
      <c r="B1708" s="8" t="inlineStr">
        <is>
          <t>MLAB176940</t>
        </is>
      </c>
      <c r="C1708" s="8" t="inlineStr">
        <is>
          <t>9BMYVPQI6Q</t>
        </is>
      </c>
      <c r="D1708" s="7" t="n">
        <v>26</v>
      </c>
      <c r="E1708" s="7" t="n">
        <v>1629</v>
      </c>
      <c r="F1708" s="7" t="inlineStr">
        <is>
          <t>Yes</t>
        </is>
      </c>
      <c r="G1708" s="8" t="n"/>
    </row>
    <row r="1709">
      <c r="A1709" s="8" t="inlineStr">
        <is>
          <t>PGCV_0026_1630</t>
        </is>
      </c>
      <c r="B1709" s="8" t="inlineStr">
        <is>
          <t>MLAB176951</t>
        </is>
      </c>
      <c r="C1709" s="8" t="inlineStr">
        <is>
          <t>4N73A8JBXE</t>
        </is>
      </c>
      <c r="D1709" s="7" t="n">
        <v>26</v>
      </c>
      <c r="E1709" s="7" t="n">
        <v>1630</v>
      </c>
      <c r="F1709" s="7" t="inlineStr">
        <is>
          <t>Yes</t>
        </is>
      </c>
      <c r="G1709" s="8" t="n"/>
    </row>
    <row r="1710">
      <c r="A1710" s="8" t="inlineStr">
        <is>
          <t>PGCV_0026_1631</t>
        </is>
      </c>
      <c r="B1710" s="8" t="inlineStr">
        <is>
          <t>MLAB176954</t>
        </is>
      </c>
      <c r="C1710" s="8" t="inlineStr">
        <is>
          <t>LTRF5D2ZNI</t>
        </is>
      </c>
      <c r="D1710" s="7" t="n">
        <v>26</v>
      </c>
      <c r="E1710" s="7" t="n">
        <v>1631</v>
      </c>
      <c r="F1710" s="7" t="inlineStr">
        <is>
          <t>Yes</t>
        </is>
      </c>
      <c r="G1710" s="8" t="n"/>
    </row>
    <row r="1711">
      <c r="A1711" s="8" t="inlineStr">
        <is>
          <t>PGCV_0026_1632</t>
        </is>
      </c>
      <c r="B1711" s="8" t="inlineStr">
        <is>
          <t>MLAB176956</t>
        </is>
      </c>
      <c r="C1711" s="8" t="inlineStr">
        <is>
          <t>WMTOEWSEKH</t>
        </is>
      </c>
      <c r="D1711" s="7" t="n">
        <v>26</v>
      </c>
      <c r="E1711" s="7" t="n">
        <v>1632</v>
      </c>
      <c r="F1711" s="7" t="inlineStr">
        <is>
          <t>Yes</t>
        </is>
      </c>
      <c r="G1711" s="8" t="n"/>
    </row>
    <row r="1712">
      <c r="A1712" s="8" t="inlineStr">
        <is>
          <t>PGCV_0026_1633</t>
        </is>
      </c>
      <c r="B1712" s="8" t="inlineStr">
        <is>
          <t>MLAB176963</t>
        </is>
      </c>
      <c r="C1712" s="8" t="inlineStr">
        <is>
          <t>J0ZOWIMIEC</t>
        </is>
      </c>
      <c r="D1712" s="7" t="n">
        <v>26</v>
      </c>
      <c r="E1712" s="7" t="n">
        <v>1633</v>
      </c>
      <c r="F1712" s="7" t="inlineStr">
        <is>
          <t>Yes</t>
        </is>
      </c>
      <c r="G1712" s="8" t="n"/>
    </row>
    <row r="1713">
      <c r="A1713" s="8" t="inlineStr">
        <is>
          <t>PGCV_0026_1634</t>
        </is>
      </c>
      <c r="B1713" s="8" t="inlineStr">
        <is>
          <t>MLAB176971</t>
        </is>
      </c>
      <c r="C1713" s="8" t="inlineStr">
        <is>
          <t>WQKKADCSDJ</t>
        </is>
      </c>
      <c r="D1713" s="7" t="n">
        <v>26</v>
      </c>
      <c r="E1713" s="7" t="n">
        <v>1634</v>
      </c>
      <c r="F1713" s="7" t="inlineStr">
        <is>
          <t>Yes</t>
        </is>
      </c>
      <c r="G1713" s="8" t="n"/>
    </row>
    <row r="1714">
      <c r="A1714" s="8" t="inlineStr">
        <is>
          <t>PGCV_0026_1635</t>
        </is>
      </c>
      <c r="B1714" s="8" t="inlineStr">
        <is>
          <t>MLAB176984</t>
        </is>
      </c>
      <c r="C1714" s="8" t="inlineStr">
        <is>
          <t>CQLP4GRALO</t>
        </is>
      </c>
      <c r="D1714" s="7" t="n">
        <v>26</v>
      </c>
      <c r="E1714" s="7" t="n">
        <v>1635</v>
      </c>
      <c r="F1714" s="7" t="inlineStr">
        <is>
          <t>Yes</t>
        </is>
      </c>
      <c r="G1714" s="8" t="n"/>
    </row>
    <row r="1715">
      <c r="A1715" s="8" t="inlineStr">
        <is>
          <t>PGCV_0026_1636</t>
        </is>
      </c>
      <c r="B1715" s="8" t="inlineStr">
        <is>
          <t>MLAB177002</t>
        </is>
      </c>
      <c r="C1715" s="8" t="inlineStr">
        <is>
          <t>BRC4ZBDYZ9</t>
        </is>
      </c>
      <c r="D1715" s="7" t="n">
        <v>26</v>
      </c>
      <c r="E1715" s="7" t="n">
        <v>1636</v>
      </c>
      <c r="F1715" s="7" t="inlineStr">
        <is>
          <t>Yes</t>
        </is>
      </c>
      <c r="G1715" s="8" t="n"/>
    </row>
    <row r="1716">
      <c r="A1716" s="8" t="inlineStr">
        <is>
          <t>PGCV_0026_1637</t>
        </is>
      </c>
      <c r="B1716" s="8" t="inlineStr">
        <is>
          <t>MLAB177024</t>
        </is>
      </c>
      <c r="C1716" s="8" t="inlineStr">
        <is>
          <t>DGPVQFVECO</t>
        </is>
      </c>
      <c r="D1716" s="7" t="n">
        <v>26</v>
      </c>
      <c r="E1716" s="7" t="n">
        <v>1637</v>
      </c>
      <c r="F1716" s="7" t="inlineStr">
        <is>
          <t>Yes</t>
        </is>
      </c>
      <c r="G1716" s="8" t="n"/>
    </row>
    <row r="1717">
      <c r="A1717" s="8" t="inlineStr">
        <is>
          <t>PGCV_0026_1638</t>
        </is>
      </c>
      <c r="B1717" s="8" t="inlineStr">
        <is>
          <t>MLAB177028</t>
        </is>
      </c>
      <c r="C1717" s="8" t="inlineStr">
        <is>
          <t>OHEN03MFN4</t>
        </is>
      </c>
      <c r="D1717" s="7" t="n">
        <v>26</v>
      </c>
      <c r="E1717" s="7" t="n">
        <v>1638</v>
      </c>
      <c r="F1717" s="7" t="inlineStr">
        <is>
          <t>Yes</t>
        </is>
      </c>
      <c r="G1717" s="8" t="n"/>
    </row>
    <row r="1718">
      <c r="A1718" s="8" t="inlineStr">
        <is>
          <t>PGCV_0026_1639</t>
        </is>
      </c>
      <c r="B1718" s="8" t="inlineStr">
        <is>
          <t>MLAB177038</t>
        </is>
      </c>
      <c r="C1718" s="8" t="inlineStr">
        <is>
          <t>A15YSSBRZL</t>
        </is>
      </c>
      <c r="D1718" s="7" t="n">
        <v>26</v>
      </c>
      <c r="E1718" s="7" t="n">
        <v>1639</v>
      </c>
      <c r="F1718" s="7" t="inlineStr">
        <is>
          <t>Yes</t>
        </is>
      </c>
      <c r="G1718" s="8" t="n"/>
    </row>
    <row r="1719">
      <c r="A1719" s="8" t="inlineStr">
        <is>
          <t>PGCV_0026_1640</t>
        </is>
      </c>
      <c r="B1719" s="8" t="inlineStr">
        <is>
          <t>MLAB177055</t>
        </is>
      </c>
      <c r="C1719" s="8" t="inlineStr">
        <is>
          <t>YTPIMOBQ3H</t>
        </is>
      </c>
      <c r="D1719" s="7" t="n">
        <v>26</v>
      </c>
      <c r="E1719" s="7" t="n">
        <v>1640</v>
      </c>
      <c r="F1719" s="7" t="inlineStr">
        <is>
          <t>Yes</t>
        </is>
      </c>
      <c r="G1719" s="8" t="n"/>
    </row>
    <row r="1720">
      <c r="A1720" s="8" t="inlineStr">
        <is>
          <t>PGCV_0026_1641</t>
        </is>
      </c>
      <c r="B1720" s="8" t="inlineStr">
        <is>
          <t>MLAB177078</t>
        </is>
      </c>
      <c r="C1720" s="8" t="inlineStr">
        <is>
          <t>CEEESUWKKE</t>
        </is>
      </c>
      <c r="D1720" s="7" t="n">
        <v>26</v>
      </c>
      <c r="E1720" s="7" t="n">
        <v>1641</v>
      </c>
      <c r="F1720" s="7" t="inlineStr">
        <is>
          <t>Yes</t>
        </is>
      </c>
      <c r="G1720" s="8" t="n"/>
    </row>
    <row r="1721">
      <c r="A1721" s="8" t="inlineStr">
        <is>
          <t>PGCV_0026_1642</t>
        </is>
      </c>
      <c r="B1721" s="8" t="inlineStr">
        <is>
          <t>MLAB177088</t>
        </is>
      </c>
      <c r="C1721" s="8" t="inlineStr">
        <is>
          <t>YLIINJPAUI</t>
        </is>
      </c>
      <c r="D1721" s="7" t="n">
        <v>26</v>
      </c>
      <c r="E1721" s="7" t="n">
        <v>1642</v>
      </c>
      <c r="F1721" s="7" t="inlineStr">
        <is>
          <t>Yes</t>
        </is>
      </c>
      <c r="G1721" s="8" t="n"/>
    </row>
    <row r="1722">
      <c r="A1722" s="8" t="inlineStr">
        <is>
          <t>PGCV_0026_1643</t>
        </is>
      </c>
      <c r="B1722" s="8" t="inlineStr">
        <is>
          <t>MLAB177093</t>
        </is>
      </c>
      <c r="C1722" s="8" t="inlineStr">
        <is>
          <t>WZCFWMXAAN</t>
        </is>
      </c>
      <c r="D1722" s="7" t="n">
        <v>26</v>
      </c>
      <c r="E1722" s="7" t="n">
        <v>1643</v>
      </c>
      <c r="F1722" s="7" t="inlineStr">
        <is>
          <t>Yes</t>
        </is>
      </c>
      <c r="G1722" s="8" t="n"/>
    </row>
    <row r="1723">
      <c r="A1723" s="8" t="inlineStr">
        <is>
          <t>PGCV_0026_1644</t>
        </is>
      </c>
      <c r="B1723" s="8" t="inlineStr">
        <is>
          <t>MLAB177099</t>
        </is>
      </c>
      <c r="C1723" s="8" t="inlineStr">
        <is>
          <t>J5TS1BIAA1</t>
        </is>
      </c>
      <c r="D1723" s="7" t="n">
        <v>26</v>
      </c>
      <c r="E1723" s="7" t="n">
        <v>1644</v>
      </c>
      <c r="F1723" s="7" t="inlineStr">
        <is>
          <t>Yes</t>
        </is>
      </c>
      <c r="G1723" s="8" t="n"/>
    </row>
    <row r="1724">
      <c r="A1724" s="8" t="inlineStr">
        <is>
          <t>PGCV_0026_1645</t>
        </is>
      </c>
      <c r="B1724" s="8" t="inlineStr">
        <is>
          <t>723B113810</t>
        </is>
      </c>
      <c r="C1724" s="8" t="inlineStr">
        <is>
          <t>K0WRWOABQH</t>
        </is>
      </c>
      <c r="D1724" s="7" t="n">
        <v>26</v>
      </c>
      <c r="E1724" s="7" t="n">
        <v>1645</v>
      </c>
      <c r="F1724" s="7" t="inlineStr">
        <is>
          <t>Yes</t>
        </is>
      </c>
      <c r="G1724" s="8" t="n"/>
    </row>
    <row r="1725">
      <c r="A1725" s="8" t="inlineStr">
        <is>
          <t>PGCV_0026_1646</t>
        </is>
      </c>
      <c r="B1725" s="8" t="inlineStr">
        <is>
          <t>723B113813</t>
        </is>
      </c>
      <c r="C1725" s="8" t="inlineStr">
        <is>
          <t>GO3KUH1YGG</t>
        </is>
      </c>
      <c r="D1725" s="7" t="n">
        <v>26</v>
      </c>
      <c r="E1725" s="7" t="n">
        <v>1646</v>
      </c>
      <c r="F1725" s="7" t="inlineStr">
        <is>
          <t>Yes</t>
        </is>
      </c>
      <c r="G1725" s="8" t="n"/>
    </row>
    <row r="1726">
      <c r="A1726" s="8" t="inlineStr">
        <is>
          <t>PGCV_0026_1647</t>
        </is>
      </c>
      <c r="B1726" s="8" t="inlineStr">
        <is>
          <t>724B113978</t>
        </is>
      </c>
      <c r="C1726" s="8" t="inlineStr">
        <is>
          <t>BWL78QOVXH</t>
        </is>
      </c>
      <c r="D1726" s="7" t="n">
        <v>26</v>
      </c>
      <c r="E1726" s="7" t="n">
        <v>1647</v>
      </c>
      <c r="F1726" s="7" t="inlineStr">
        <is>
          <t>Yes</t>
        </is>
      </c>
      <c r="G1726" s="8" t="n"/>
    </row>
    <row r="1727">
      <c r="A1727" s="8" t="inlineStr">
        <is>
          <t>PGCV_0026_1648</t>
        </is>
      </c>
      <c r="B1727" s="8" t="inlineStr">
        <is>
          <t>724B113994</t>
        </is>
      </c>
      <c r="C1727" s="8" t="inlineStr">
        <is>
          <t>L5CTWEE4OG</t>
        </is>
      </c>
      <c r="D1727" s="7" t="n">
        <v>26</v>
      </c>
      <c r="E1727" s="7" t="n">
        <v>1648</v>
      </c>
      <c r="F1727" s="7" t="inlineStr">
        <is>
          <t>Yes</t>
        </is>
      </c>
      <c r="G1727" s="8" t="n"/>
    </row>
    <row r="1728">
      <c r="A1728" s="8" t="inlineStr">
        <is>
          <t>PGCV_0026_1649</t>
        </is>
      </c>
      <c r="B1728" s="8" t="inlineStr">
        <is>
          <t>725B114097</t>
        </is>
      </c>
      <c r="C1728" s="8" t="inlineStr">
        <is>
          <t>CE3MOPPG1O</t>
        </is>
      </c>
      <c r="D1728" s="7" t="n">
        <v>26</v>
      </c>
      <c r="E1728" s="7" t="n">
        <v>1649</v>
      </c>
      <c r="F1728" s="7" t="inlineStr">
        <is>
          <t>Yes</t>
        </is>
      </c>
      <c r="G1728" s="8" t="n"/>
    </row>
    <row r="1729">
      <c r="A1729" s="8" t="inlineStr">
        <is>
          <t>PGCV_0026_1650</t>
        </is>
      </c>
      <c r="B1729" s="8" t="inlineStr">
        <is>
          <t>726B114120</t>
        </is>
      </c>
      <c r="C1729" s="8" t="inlineStr">
        <is>
          <t>PJA7VSY8YW</t>
        </is>
      </c>
      <c r="D1729" s="7" t="n">
        <v>26</v>
      </c>
      <c r="E1729" s="7" t="n">
        <v>1650</v>
      </c>
      <c r="F1729" s="7" t="inlineStr">
        <is>
          <t>Yes</t>
        </is>
      </c>
      <c r="G1729" s="8" t="n"/>
    </row>
    <row r="1730">
      <c r="A1730" s="8" t="inlineStr">
        <is>
          <t>PGCV_0026_1651</t>
        </is>
      </c>
      <c r="B1730" s="8" t="inlineStr">
        <is>
          <t>726B114179</t>
        </is>
      </c>
      <c r="C1730" s="8" t="inlineStr">
        <is>
          <t>RQFF5EWNYD</t>
        </is>
      </c>
      <c r="D1730" s="7" t="n">
        <v>26</v>
      </c>
      <c r="E1730" s="7" t="n">
        <v>1651</v>
      </c>
      <c r="F1730" s="7" t="inlineStr">
        <is>
          <t>Yes</t>
        </is>
      </c>
      <c r="G1730" s="8" t="n"/>
    </row>
    <row r="1731">
      <c r="A1731" s="8" t="inlineStr">
        <is>
          <t>PGCV_0026_1652</t>
        </is>
      </c>
      <c r="B1731" s="8" t="inlineStr">
        <is>
          <t>726B114192</t>
        </is>
      </c>
      <c r="C1731" s="8" t="inlineStr">
        <is>
          <t>XMADRLF3DY</t>
        </is>
      </c>
      <c r="D1731" s="7" t="n">
        <v>26</v>
      </c>
      <c r="E1731" s="7" t="n">
        <v>1652</v>
      </c>
      <c r="F1731" s="7" t="inlineStr">
        <is>
          <t>Yes</t>
        </is>
      </c>
      <c r="G1731" s="8" t="n"/>
    </row>
    <row r="1732">
      <c r="A1732" s="8" t="inlineStr">
        <is>
          <t>PGCV_0026_1653</t>
        </is>
      </c>
      <c r="B1732" s="8" t="inlineStr">
        <is>
          <t>727B114265</t>
        </is>
      </c>
      <c r="C1732" s="8" t="inlineStr">
        <is>
          <t>ATDEKZLQFL</t>
        </is>
      </c>
      <c r="D1732" s="7" t="n">
        <v>26</v>
      </c>
      <c r="E1732" s="7" t="n">
        <v>1653</v>
      </c>
      <c r="F1732" s="7" t="inlineStr">
        <is>
          <t>Yes</t>
        </is>
      </c>
      <c r="G1732" s="8" t="n"/>
    </row>
    <row r="1733">
      <c r="A1733" s="8" t="inlineStr">
        <is>
          <t>PGCV_0026_1654</t>
        </is>
      </c>
      <c r="B1733" s="8" t="inlineStr">
        <is>
          <t>727B114267</t>
        </is>
      </c>
      <c r="C1733" s="8" t="inlineStr">
        <is>
          <t>RV0YPHTKKW</t>
        </is>
      </c>
      <c r="D1733" s="7" t="n">
        <v>26</v>
      </c>
      <c r="E1733" s="7" t="n">
        <v>1654</v>
      </c>
      <c r="F1733" s="7" t="inlineStr">
        <is>
          <t>Yes</t>
        </is>
      </c>
      <c r="G1733" s="8" t="n"/>
    </row>
    <row r="1734">
      <c r="A1734" s="8" t="inlineStr">
        <is>
          <t>PGCV_0026_1655</t>
        </is>
      </c>
      <c r="B1734" s="8" t="inlineStr">
        <is>
          <t>728B114401</t>
        </is>
      </c>
      <c r="C1734" s="8" t="inlineStr">
        <is>
          <t>QW0P7VHQBD</t>
        </is>
      </c>
      <c r="D1734" s="7" t="n">
        <v>26</v>
      </c>
      <c r="E1734" s="7" t="n">
        <v>1655</v>
      </c>
      <c r="F1734" s="7" t="inlineStr">
        <is>
          <t>Yes</t>
        </is>
      </c>
      <c r="G1734" s="8" t="n"/>
    </row>
    <row r="1735">
      <c r="A1735" s="8" t="inlineStr">
        <is>
          <t>PGCV_0026_1656</t>
        </is>
      </c>
      <c r="B1735" s="8" t="inlineStr">
        <is>
          <t>728B114402</t>
        </is>
      </c>
      <c r="C1735" s="8" t="inlineStr">
        <is>
          <t>XN1IDHC4TE</t>
        </is>
      </c>
      <c r="D1735" s="7" t="n">
        <v>26</v>
      </c>
      <c r="E1735" s="7" t="n">
        <v>1656</v>
      </c>
      <c r="F1735" s="7" t="inlineStr">
        <is>
          <t>Yes</t>
        </is>
      </c>
      <c r="G1735" s="8" t="n"/>
    </row>
    <row r="1736">
      <c r="A1736" s="8" t="inlineStr">
        <is>
          <t>PGCV_0026_1657</t>
        </is>
      </c>
      <c r="B1736" s="8" t="inlineStr">
        <is>
          <t>728B114403</t>
        </is>
      </c>
      <c r="C1736" s="8" t="inlineStr">
        <is>
          <t>ZQPXWHYRDJ</t>
        </is>
      </c>
      <c r="D1736" s="7" t="n">
        <v>26</v>
      </c>
      <c r="E1736" s="7" t="n">
        <v>1657</v>
      </c>
      <c r="F1736" s="7" t="inlineStr">
        <is>
          <t>Yes</t>
        </is>
      </c>
      <c r="G1736" s="8" t="n"/>
    </row>
    <row r="1737">
      <c r="A1737" s="8" t="inlineStr">
        <is>
          <t>PGCV_0026_1658</t>
        </is>
      </c>
      <c r="B1737" s="8" t="inlineStr">
        <is>
          <t>729B114434</t>
        </is>
      </c>
      <c r="C1737" s="8" t="inlineStr">
        <is>
          <t>BIVE2ZGX43</t>
        </is>
      </c>
      <c r="D1737" s="7" t="n">
        <v>26</v>
      </c>
      <c r="E1737" s="7" t="n">
        <v>1658</v>
      </c>
      <c r="F1737" s="7" t="inlineStr">
        <is>
          <t>Yes</t>
        </is>
      </c>
      <c r="G1737" s="8" t="n"/>
    </row>
    <row r="1738">
      <c r="A1738" s="8" t="inlineStr">
        <is>
          <t>PGCV_0026_1659</t>
        </is>
      </c>
      <c r="B1738" s="8" t="inlineStr">
        <is>
          <t>729B114435</t>
        </is>
      </c>
      <c r="C1738" s="8" t="inlineStr">
        <is>
          <t>FIM6ET40JL</t>
        </is>
      </c>
      <c r="D1738" s="7" t="n">
        <v>26</v>
      </c>
      <c r="E1738" s="7" t="n">
        <v>1659</v>
      </c>
      <c r="F1738" s="7" t="inlineStr">
        <is>
          <t>Yes</t>
        </is>
      </c>
      <c r="G1738" s="8" t="n"/>
    </row>
    <row r="1739">
      <c r="A1739" s="8" t="inlineStr">
        <is>
          <t>PGCV_0026_1660</t>
        </is>
      </c>
      <c r="B1739" s="8" t="inlineStr">
        <is>
          <t>729B114449</t>
        </is>
      </c>
      <c r="C1739" s="8" t="inlineStr">
        <is>
          <t>XKEHMAAPJL</t>
        </is>
      </c>
      <c r="D1739" s="7" t="n">
        <v>26</v>
      </c>
      <c r="E1739" s="7" t="n">
        <v>1660</v>
      </c>
      <c r="F1739" s="7" t="inlineStr">
        <is>
          <t>Yes</t>
        </is>
      </c>
      <c r="G1739" s="8" t="n"/>
    </row>
    <row r="1740">
      <c r="A1740" s="8" t="inlineStr">
        <is>
          <t>PGCV_0026_1661</t>
        </is>
      </c>
      <c r="B1740" s="8" t="inlineStr">
        <is>
          <t>22-37835</t>
        </is>
      </c>
      <c r="C1740" s="8" t="inlineStr">
        <is>
          <t>CXUDMWXNYH</t>
        </is>
      </c>
      <c r="D1740" s="7" t="n">
        <v>26</v>
      </c>
      <c r="E1740" s="7" t="n">
        <v>1661</v>
      </c>
      <c r="F1740" s="7" t="inlineStr">
        <is>
          <t>Yes</t>
        </is>
      </c>
      <c r="G1740" s="8" t="n"/>
    </row>
    <row r="1741">
      <c r="A1741" s="8" t="inlineStr">
        <is>
          <t>PGCV_0026_1662</t>
        </is>
      </c>
      <c r="B1741" s="8" t="inlineStr">
        <is>
          <t>22-37836</t>
        </is>
      </c>
      <c r="C1741" s="8" t="inlineStr">
        <is>
          <t>C29LRAREIM</t>
        </is>
      </c>
      <c r="D1741" s="7" t="n">
        <v>26</v>
      </c>
      <c r="E1741" s="7" t="n">
        <v>1662</v>
      </c>
      <c r="F1741" s="7" t="inlineStr">
        <is>
          <t>Yes</t>
        </is>
      </c>
      <c r="G1741" s="8" t="n"/>
    </row>
    <row r="1742">
      <c r="A1742" s="8" t="inlineStr">
        <is>
          <t>PGCV_0026_1663</t>
        </is>
      </c>
      <c r="B1742" s="8" t="inlineStr">
        <is>
          <t>22-37841</t>
        </is>
      </c>
      <c r="C1742" s="8" t="inlineStr">
        <is>
          <t>UT8TBSQDI9</t>
        </is>
      </c>
      <c r="D1742" s="7" t="n">
        <v>26</v>
      </c>
      <c r="E1742" s="7" t="n">
        <v>1663</v>
      </c>
      <c r="F1742" s="7" t="inlineStr">
        <is>
          <t>Yes</t>
        </is>
      </c>
      <c r="G1742" s="8" t="n"/>
    </row>
    <row r="1743">
      <c r="A1743" s="8" t="inlineStr">
        <is>
          <t>PGCV_0026_1664</t>
        </is>
      </c>
      <c r="B1743" s="8" t="inlineStr">
        <is>
          <t>22-37893</t>
        </is>
      </c>
      <c r="C1743" s="8" t="inlineStr">
        <is>
          <t>IIVEVZCPHZ</t>
        </is>
      </c>
      <c r="D1743" s="7" t="n">
        <v>26</v>
      </c>
      <c r="E1743" s="7" t="n">
        <v>1664</v>
      </c>
      <c r="F1743" s="7" t="inlineStr">
        <is>
          <t>Yes</t>
        </is>
      </c>
      <c r="G1743" s="8" t="n"/>
    </row>
    <row r="1744">
      <c r="A1744" s="8" t="inlineStr">
        <is>
          <t>PGCV_0026_1665</t>
        </is>
      </c>
      <c r="B1744" s="8" t="inlineStr">
        <is>
          <t>22-37914</t>
        </is>
      </c>
      <c r="C1744" s="8" t="inlineStr">
        <is>
          <t>CE0RYOAHZV</t>
        </is>
      </c>
      <c r="D1744" s="7" t="n">
        <v>26</v>
      </c>
      <c r="E1744" s="7" t="n">
        <v>1665</v>
      </c>
      <c r="F1744" s="7" t="inlineStr">
        <is>
          <t>Yes</t>
        </is>
      </c>
      <c r="G1744" s="8" t="n"/>
    </row>
    <row r="1745">
      <c r="A1745" s="8" t="inlineStr">
        <is>
          <t>PGCV_0026_1666</t>
        </is>
      </c>
      <c r="B1745" s="8" t="inlineStr">
        <is>
          <t>22-37918</t>
        </is>
      </c>
      <c r="C1745" s="8" t="inlineStr">
        <is>
          <t>VGN07LIC08</t>
        </is>
      </c>
      <c r="D1745" s="7" t="n">
        <v>26</v>
      </c>
      <c r="E1745" s="7" t="n">
        <v>1666</v>
      </c>
      <c r="F1745" s="7" t="inlineStr">
        <is>
          <t>Yes</t>
        </is>
      </c>
      <c r="G1745" s="8" t="n"/>
    </row>
    <row r="1746">
      <c r="A1746" s="8" t="inlineStr">
        <is>
          <t>PGCV_0026_1667</t>
        </is>
      </c>
      <c r="B1746" s="8" t="inlineStr">
        <is>
          <t>22-37938</t>
        </is>
      </c>
      <c r="C1746" s="8" t="inlineStr">
        <is>
          <t>U7CFTZK5ON</t>
        </is>
      </c>
      <c r="D1746" s="7" t="n">
        <v>26</v>
      </c>
      <c r="E1746" s="7" t="n">
        <v>1667</v>
      </c>
      <c r="F1746" s="7" t="inlineStr">
        <is>
          <t>Yes</t>
        </is>
      </c>
      <c r="G1746" s="8" t="n"/>
    </row>
    <row r="1747">
      <c r="A1747" s="8" t="inlineStr">
        <is>
          <t>PGCV_0026_1668</t>
        </is>
      </c>
      <c r="B1747" s="8" t="inlineStr">
        <is>
          <t>22-37942</t>
        </is>
      </c>
      <c r="C1747" s="8" t="inlineStr">
        <is>
          <t>6DMYJESE72</t>
        </is>
      </c>
      <c r="D1747" s="7" t="n">
        <v>26</v>
      </c>
      <c r="E1747" s="7" t="n">
        <v>1668</v>
      </c>
      <c r="F1747" s="7" t="inlineStr">
        <is>
          <t>Yes</t>
        </is>
      </c>
      <c r="G1747" s="8" t="n"/>
    </row>
    <row r="1748">
      <c r="A1748" s="8" t="inlineStr">
        <is>
          <t>PGCV_0026_1669</t>
        </is>
      </c>
      <c r="B1748" s="8" t="inlineStr">
        <is>
          <t>22-37965</t>
        </is>
      </c>
      <c r="C1748" s="8" t="inlineStr">
        <is>
          <t>OITHSGPLEQ</t>
        </is>
      </c>
      <c r="D1748" s="7" t="n">
        <v>26</v>
      </c>
      <c r="E1748" s="7" t="n">
        <v>1669</v>
      </c>
      <c r="F1748" s="7" t="inlineStr">
        <is>
          <t>Yes</t>
        </is>
      </c>
      <c r="G1748" s="8" t="n"/>
    </row>
    <row r="1749">
      <c r="A1749" s="8" t="inlineStr">
        <is>
          <t>PGCV_0026_1670</t>
        </is>
      </c>
      <c r="B1749" s="8" t="inlineStr">
        <is>
          <t>22-37977</t>
        </is>
      </c>
      <c r="C1749" s="8" t="inlineStr">
        <is>
          <t>XIRHMDIKHO</t>
        </is>
      </c>
      <c r="D1749" s="7" t="n">
        <v>26</v>
      </c>
      <c r="E1749" s="7" t="n">
        <v>1670</v>
      </c>
      <c r="F1749" s="7" t="inlineStr">
        <is>
          <t>Yes</t>
        </is>
      </c>
      <c r="G1749" s="8" t="n"/>
    </row>
    <row r="1750">
      <c r="A1750" s="8" t="inlineStr">
        <is>
          <t>PGCV_0026_1671</t>
        </is>
      </c>
      <c r="B1750" s="8" t="inlineStr">
        <is>
          <t>22-37983</t>
        </is>
      </c>
      <c r="C1750" s="8" t="inlineStr">
        <is>
          <t>KDOVKJKAZV</t>
        </is>
      </c>
      <c r="D1750" s="7" t="n">
        <v>26</v>
      </c>
      <c r="E1750" s="7" t="n">
        <v>1671</v>
      </c>
      <c r="F1750" s="7" t="inlineStr">
        <is>
          <t>Yes</t>
        </is>
      </c>
      <c r="G1750" s="8" t="n"/>
    </row>
    <row r="1751">
      <c r="A1751" s="8" t="inlineStr">
        <is>
          <t>PGCV_0026_1672</t>
        </is>
      </c>
      <c r="B1751" s="8" t="inlineStr">
        <is>
          <t>22-38003</t>
        </is>
      </c>
      <c r="C1751" s="8" t="inlineStr">
        <is>
          <t>VGNCJXUBYF</t>
        </is>
      </c>
      <c r="D1751" s="7" t="n">
        <v>26</v>
      </c>
      <c r="E1751" s="7" t="n">
        <v>1672</v>
      </c>
      <c r="F1751" s="7" t="inlineStr">
        <is>
          <t>Yes</t>
        </is>
      </c>
      <c r="G1751" s="8" t="n"/>
    </row>
    <row r="1752">
      <c r="A1752" s="8" t="inlineStr">
        <is>
          <t>PGCV_0026_1673</t>
        </is>
      </c>
      <c r="B1752" s="8" t="inlineStr">
        <is>
          <t>22-38012</t>
        </is>
      </c>
      <c r="C1752" s="8" t="inlineStr">
        <is>
          <t>YHHO5TFLWG</t>
        </is>
      </c>
      <c r="D1752" s="7" t="n">
        <v>26</v>
      </c>
      <c r="E1752" s="7" t="n">
        <v>1673</v>
      </c>
      <c r="F1752" s="7" t="inlineStr">
        <is>
          <t>Yes</t>
        </is>
      </c>
      <c r="G1752" s="8" t="n"/>
    </row>
    <row r="1753">
      <c r="A1753" s="8" t="inlineStr">
        <is>
          <t>PGCV_0026_1674</t>
        </is>
      </c>
      <c r="B1753" s="8" t="inlineStr">
        <is>
          <t>22-38066</t>
        </is>
      </c>
      <c r="C1753" s="8" t="inlineStr">
        <is>
          <t>K0LAP9NIEW</t>
        </is>
      </c>
      <c r="D1753" s="7" t="n">
        <v>26</v>
      </c>
      <c r="E1753" s="7" t="n">
        <v>1674</v>
      </c>
      <c r="F1753" s="7" t="inlineStr">
        <is>
          <t>Yes</t>
        </is>
      </c>
      <c r="G1753" s="8" t="n"/>
    </row>
    <row r="1754">
      <c r="A1754" s="8" t="inlineStr">
        <is>
          <t>PGCV_0026_1675</t>
        </is>
      </c>
      <c r="B1754" s="8" t="inlineStr">
        <is>
          <t>22-38081</t>
        </is>
      </c>
      <c r="C1754" s="8" t="inlineStr">
        <is>
          <t>GRWDIEL1DC</t>
        </is>
      </c>
      <c r="D1754" s="7" t="n">
        <v>26</v>
      </c>
      <c r="E1754" s="7" t="n">
        <v>1675</v>
      </c>
      <c r="F1754" s="7" t="inlineStr">
        <is>
          <t>Yes</t>
        </is>
      </c>
      <c r="G1754" s="8" t="n"/>
    </row>
    <row r="1755">
      <c r="A1755" s="8" t="inlineStr">
        <is>
          <t>PGCV_0026_1676</t>
        </is>
      </c>
      <c r="B1755" s="8" t="inlineStr">
        <is>
          <t>22-38323</t>
        </is>
      </c>
      <c r="C1755" s="8" t="inlineStr">
        <is>
          <t>U17Y47WZV8</t>
        </is>
      </c>
      <c r="D1755" s="7" t="n">
        <v>26</v>
      </c>
      <c r="E1755" s="7" t="n">
        <v>1676</v>
      </c>
      <c r="F1755" s="7" t="inlineStr">
        <is>
          <t>Yes</t>
        </is>
      </c>
      <c r="G1755" s="8" t="n"/>
    </row>
    <row r="1756">
      <c r="A1756" s="8" t="inlineStr">
        <is>
          <t>PGCV_0026_1677</t>
        </is>
      </c>
      <c r="B1756" s="8" t="inlineStr">
        <is>
          <t>22-38376</t>
        </is>
      </c>
      <c r="C1756" s="8" t="inlineStr">
        <is>
          <t>JMSFZGR6MH</t>
        </is>
      </c>
      <c r="D1756" s="7" t="n">
        <v>26</v>
      </c>
      <c r="E1756" s="7" t="n">
        <v>1677</v>
      </c>
      <c r="F1756" s="7" t="inlineStr">
        <is>
          <t>Yes</t>
        </is>
      </c>
      <c r="G1756" s="8" t="n"/>
    </row>
    <row r="1757">
      <c r="A1757" s="8" t="inlineStr">
        <is>
          <t>PGCV_0026_1678</t>
        </is>
      </c>
      <c r="B1757" s="8" t="inlineStr">
        <is>
          <t>22-38381</t>
        </is>
      </c>
      <c r="C1757" s="8" t="inlineStr">
        <is>
          <t>HDN8DQUV6B</t>
        </is>
      </c>
      <c r="D1757" s="7" t="n">
        <v>26</v>
      </c>
      <c r="E1757" s="7" t="n">
        <v>1678</v>
      </c>
      <c r="F1757" s="7" t="inlineStr">
        <is>
          <t>Yes</t>
        </is>
      </c>
      <c r="G1757" s="8" t="n"/>
    </row>
    <row r="1758">
      <c r="A1758" s="8" t="inlineStr">
        <is>
          <t>PGCV_0026_1679</t>
        </is>
      </c>
      <c r="B1758" s="8" t="inlineStr">
        <is>
          <t>22-38400</t>
        </is>
      </c>
      <c r="C1758" s="8" t="inlineStr">
        <is>
          <t>DSDI8NR9RX</t>
        </is>
      </c>
      <c r="D1758" s="7" t="n">
        <v>26</v>
      </c>
      <c r="E1758" s="7" t="n">
        <v>1679</v>
      </c>
      <c r="F1758" s="7" t="inlineStr">
        <is>
          <t>Yes</t>
        </is>
      </c>
      <c r="G1758" s="8" t="n"/>
    </row>
    <row r="1759">
      <c r="A1759" s="8" t="inlineStr">
        <is>
          <t>PGCV_0026_1680</t>
        </is>
      </c>
      <c r="B1759" s="8" t="inlineStr">
        <is>
          <t>22-38466</t>
        </is>
      </c>
      <c r="C1759" s="8" t="inlineStr">
        <is>
          <t>SVOMU2OPSU</t>
        </is>
      </c>
      <c r="D1759" s="7" t="n">
        <v>26</v>
      </c>
      <c r="E1759" s="7" t="n">
        <v>1680</v>
      </c>
      <c r="F1759" s="7" t="inlineStr">
        <is>
          <t>Yes</t>
        </is>
      </c>
      <c r="G1759" s="8" t="n"/>
    </row>
    <row r="1760">
      <c r="A1760" s="8" t="inlineStr">
        <is>
          <t>PGCV_0026_1681</t>
        </is>
      </c>
      <c r="B1760" s="8" t="inlineStr">
        <is>
          <t>22-38467</t>
        </is>
      </c>
      <c r="C1760" s="8" t="inlineStr">
        <is>
          <t>936OCV7NDK</t>
        </is>
      </c>
      <c r="D1760" s="7" t="n">
        <v>26</v>
      </c>
      <c r="E1760" s="7" t="n">
        <v>1681</v>
      </c>
      <c r="F1760" s="7" t="inlineStr">
        <is>
          <t>Yes</t>
        </is>
      </c>
      <c r="G1760" s="8" t="n"/>
    </row>
    <row r="1761">
      <c r="A1761" s="8" t="inlineStr">
        <is>
          <t>PGCV_0026_1682</t>
        </is>
      </c>
      <c r="B1761" s="8" t="inlineStr">
        <is>
          <t>22-38471</t>
        </is>
      </c>
      <c r="C1761" s="8" t="inlineStr">
        <is>
          <t>9YOMMF7BZH</t>
        </is>
      </c>
      <c r="D1761" s="7" t="n">
        <v>26</v>
      </c>
      <c r="E1761" s="7" t="n">
        <v>1682</v>
      </c>
      <c r="F1761" s="7" t="inlineStr">
        <is>
          <t>Yes</t>
        </is>
      </c>
      <c r="G1761" s="8" t="n"/>
    </row>
    <row r="1762">
      <c r="A1762" s="8" t="inlineStr">
        <is>
          <t>PGCV_0026_1683</t>
        </is>
      </c>
      <c r="B1762" s="8" t="inlineStr">
        <is>
          <t>22-38481</t>
        </is>
      </c>
      <c r="C1762" s="8" t="inlineStr">
        <is>
          <t>CYCZIIURIC</t>
        </is>
      </c>
      <c r="D1762" s="7" t="n">
        <v>26</v>
      </c>
      <c r="E1762" s="7" t="n">
        <v>1683</v>
      </c>
      <c r="F1762" s="7" t="inlineStr">
        <is>
          <t>Yes</t>
        </is>
      </c>
      <c r="G1762" s="8" t="n"/>
    </row>
    <row r="1763">
      <c r="A1763" s="8" t="inlineStr">
        <is>
          <t>PGCV_0026_1684</t>
        </is>
      </c>
      <c r="B1763" s="8" t="inlineStr">
        <is>
          <t>22-38491</t>
        </is>
      </c>
      <c r="C1763" s="8" t="inlineStr">
        <is>
          <t>3LF3KSTK2E</t>
        </is>
      </c>
      <c r="D1763" s="7" t="n">
        <v>26</v>
      </c>
      <c r="E1763" s="7" t="n">
        <v>1684</v>
      </c>
      <c r="F1763" s="7" t="inlineStr">
        <is>
          <t>Yes</t>
        </is>
      </c>
      <c r="G1763" s="8" t="n"/>
    </row>
    <row r="1764">
      <c r="A1764" s="8" t="inlineStr">
        <is>
          <t>PGCV_0026_1685</t>
        </is>
      </c>
      <c r="B1764" s="8" t="inlineStr">
        <is>
          <t>22-38579</t>
        </is>
      </c>
      <c r="C1764" s="8" t="inlineStr">
        <is>
          <t>5YQ6TVGSQB</t>
        </is>
      </c>
      <c r="D1764" s="7" t="n">
        <v>26</v>
      </c>
      <c r="E1764" s="7" t="n">
        <v>1685</v>
      </c>
      <c r="F1764" s="7" t="inlineStr">
        <is>
          <t>Yes</t>
        </is>
      </c>
      <c r="G1764" s="8" t="n"/>
    </row>
    <row r="1765">
      <c r="A1765" s="8" t="inlineStr">
        <is>
          <t>PGCV_0026_1686</t>
        </is>
      </c>
      <c r="B1765" s="8" t="inlineStr">
        <is>
          <t>22-38514</t>
        </is>
      </c>
      <c r="C1765" s="8" t="inlineStr">
        <is>
          <t>LSJDEHC9NK</t>
        </is>
      </c>
      <c r="D1765" s="7" t="n">
        <v>26</v>
      </c>
      <c r="E1765" s="7" t="n">
        <v>1686</v>
      </c>
      <c r="F1765" s="7" t="inlineStr">
        <is>
          <t>Yes</t>
        </is>
      </c>
      <c r="G1765" s="8" t="n"/>
    </row>
    <row r="1766">
      <c r="A1766" s="8" t="inlineStr">
        <is>
          <t>PGCV_0027_1687</t>
        </is>
      </c>
      <c r="B1766" s="8" t="inlineStr">
        <is>
          <t>COVID-SNL-22-71351</t>
        </is>
      </c>
      <c r="C1766" s="8" t="inlineStr">
        <is>
          <t>KDSTUNHQWH</t>
        </is>
      </c>
      <c r="D1766" s="7" t="n">
        <v>27</v>
      </c>
      <c r="E1766" s="7" t="n">
        <v>1687</v>
      </c>
      <c r="F1766" s="7" t="inlineStr">
        <is>
          <t>Yes</t>
        </is>
      </c>
      <c r="G1766" s="8" t="n"/>
    </row>
    <row r="1767">
      <c r="A1767" s="8" t="inlineStr">
        <is>
          <t>PGCV_0027_1688</t>
        </is>
      </c>
      <c r="B1767" s="8" t="inlineStr">
        <is>
          <t>COVID-SNL-22-72913</t>
        </is>
      </c>
      <c r="C1767" s="8" t="inlineStr">
        <is>
          <t>XZZAUUA5P6</t>
        </is>
      </c>
      <c r="D1767" s="7" t="n">
        <v>27</v>
      </c>
      <c r="E1767" s="7" t="n">
        <v>1688</v>
      </c>
      <c r="F1767" s="7" t="inlineStr">
        <is>
          <t>Yes</t>
        </is>
      </c>
      <c r="G1767" s="8" t="n"/>
    </row>
    <row r="1768">
      <c r="A1768" s="8" t="inlineStr">
        <is>
          <t>PGCV_0027_1689</t>
        </is>
      </c>
      <c r="B1768" s="8" t="inlineStr">
        <is>
          <t>COVID-SNL-22-72918</t>
        </is>
      </c>
      <c r="C1768" s="8" t="inlineStr">
        <is>
          <t>CKTEVNECGW</t>
        </is>
      </c>
      <c r="D1768" s="7" t="n">
        <v>27</v>
      </c>
      <c r="E1768" s="7" t="n">
        <v>1689</v>
      </c>
      <c r="F1768" s="7" t="inlineStr">
        <is>
          <t>Yes</t>
        </is>
      </c>
      <c r="G1768" s="8" t="n"/>
    </row>
    <row r="1769">
      <c r="A1769" s="8" t="inlineStr">
        <is>
          <t>PGCV_0027_1690</t>
        </is>
      </c>
      <c r="B1769" s="8" t="inlineStr">
        <is>
          <t>COVID-SNL-22-72934</t>
        </is>
      </c>
      <c r="C1769" s="8" t="inlineStr">
        <is>
          <t>RNVCZGUMTB</t>
        </is>
      </c>
      <c r="D1769" s="7" t="n">
        <v>27</v>
      </c>
      <c r="E1769" s="7" t="n">
        <v>1690</v>
      </c>
      <c r="F1769" s="7" t="inlineStr">
        <is>
          <t>Yes</t>
        </is>
      </c>
      <c r="G1769" s="8" t="n"/>
    </row>
    <row r="1770">
      <c r="A1770" s="8" t="inlineStr">
        <is>
          <t>PGCV_0027_1691</t>
        </is>
      </c>
      <c r="B1770" s="8" t="inlineStr">
        <is>
          <t>COVID-SNL-22-72937</t>
        </is>
      </c>
      <c r="C1770" s="8" t="inlineStr">
        <is>
          <t>426RVGISXD</t>
        </is>
      </c>
      <c r="D1770" s="7" t="n">
        <v>27</v>
      </c>
      <c r="E1770" s="7" t="n">
        <v>1691</v>
      </c>
      <c r="F1770" s="7" t="inlineStr">
        <is>
          <t>Yes</t>
        </is>
      </c>
      <c r="G1770" s="8" t="n"/>
    </row>
    <row r="1771">
      <c r="A1771" s="8" t="inlineStr">
        <is>
          <t>PGCV_0027_1692</t>
        </is>
      </c>
      <c r="B1771" s="8" t="inlineStr">
        <is>
          <t>COVID-SNL-22-72948</t>
        </is>
      </c>
      <c r="C1771" s="8" t="inlineStr">
        <is>
          <t>61CU8PRJKZ</t>
        </is>
      </c>
      <c r="D1771" s="7" t="n">
        <v>27</v>
      </c>
      <c r="E1771" s="7" t="n">
        <v>1692</v>
      </c>
      <c r="F1771" s="7" t="inlineStr">
        <is>
          <t>Yes</t>
        </is>
      </c>
      <c r="G1771" s="8" t="n"/>
    </row>
    <row r="1772">
      <c r="A1772" s="8" t="inlineStr">
        <is>
          <t>PGCV_0027_1693</t>
        </is>
      </c>
      <c r="B1772" s="8" t="inlineStr">
        <is>
          <t>COVID-SNL-22-72950</t>
        </is>
      </c>
      <c r="C1772" s="8" t="inlineStr">
        <is>
          <t>XOHWP5F0HU</t>
        </is>
      </c>
      <c r="D1772" s="7" t="n">
        <v>27</v>
      </c>
      <c r="E1772" s="7" t="n">
        <v>1693</v>
      </c>
      <c r="F1772" s="7" t="inlineStr">
        <is>
          <t>Yes</t>
        </is>
      </c>
      <c r="G1772" s="8" t="n"/>
    </row>
    <row r="1773">
      <c r="A1773" s="8" t="inlineStr">
        <is>
          <t>PGCV_0027_1694</t>
        </is>
      </c>
      <c r="B1773" s="8" t="inlineStr">
        <is>
          <t>COVID-SNL-22-72952</t>
        </is>
      </c>
      <c r="C1773" s="8" t="inlineStr">
        <is>
          <t>E5KPSZ0BEF</t>
        </is>
      </c>
      <c r="D1773" s="7" t="n">
        <v>27</v>
      </c>
      <c r="E1773" s="7" t="n">
        <v>1694</v>
      </c>
      <c r="F1773" s="7" t="inlineStr">
        <is>
          <t>Yes</t>
        </is>
      </c>
      <c r="G1773" s="8" t="n"/>
    </row>
    <row r="1774">
      <c r="A1774" s="8" t="inlineStr">
        <is>
          <t>PGCV_0027_1695</t>
        </is>
      </c>
      <c r="B1774" s="8" t="inlineStr">
        <is>
          <t>COVID-SNL-22-72773</t>
        </is>
      </c>
      <c r="C1774" s="8" t="inlineStr">
        <is>
          <t>0GEWZKH1OX</t>
        </is>
      </c>
      <c r="D1774" s="7" t="n">
        <v>27</v>
      </c>
      <c r="E1774" s="7" t="n">
        <v>1695</v>
      </c>
      <c r="F1774" s="7" t="inlineStr">
        <is>
          <t>Yes</t>
        </is>
      </c>
      <c r="G1774" s="8" t="n"/>
    </row>
    <row r="1775">
      <c r="A1775" s="8" t="inlineStr">
        <is>
          <t>PGCV_0027_1696</t>
        </is>
      </c>
      <c r="B1775" s="8" t="inlineStr">
        <is>
          <t>COVID-SNL-22-72798</t>
        </is>
      </c>
      <c r="C1775" s="8" t="inlineStr">
        <is>
          <t>MT4G8BWKFC</t>
        </is>
      </c>
      <c r="D1775" s="7" t="n">
        <v>27</v>
      </c>
      <c r="E1775" s="7" t="n">
        <v>1696</v>
      </c>
      <c r="F1775" s="7" t="inlineStr">
        <is>
          <t>Yes</t>
        </is>
      </c>
      <c r="G1775" s="8" t="n"/>
    </row>
    <row r="1776">
      <c r="A1776" s="8" t="inlineStr">
        <is>
          <t>PGCV_0027_1697</t>
        </is>
      </c>
      <c r="B1776" s="8" t="inlineStr">
        <is>
          <t>COVID-SNL-22-72800</t>
        </is>
      </c>
      <c r="C1776" s="8" t="inlineStr">
        <is>
          <t>KCNXFOS0QE</t>
        </is>
      </c>
      <c r="D1776" s="7" t="n">
        <v>27</v>
      </c>
      <c r="E1776" s="7" t="n">
        <v>1697</v>
      </c>
      <c r="F1776" s="7" t="inlineStr">
        <is>
          <t>Yes</t>
        </is>
      </c>
      <c r="G1776" s="8" t="n"/>
    </row>
    <row r="1777">
      <c r="A1777" s="8" t="inlineStr">
        <is>
          <t>PGCV_0027_1698</t>
        </is>
      </c>
      <c r="B1777" s="8" t="inlineStr">
        <is>
          <t>COVID-SNL-22-72804</t>
        </is>
      </c>
      <c r="C1777" s="8" t="inlineStr">
        <is>
          <t>USM0FUOK31</t>
        </is>
      </c>
      <c r="D1777" s="7" t="n">
        <v>27</v>
      </c>
      <c r="E1777" s="7" t="n">
        <v>1698</v>
      </c>
      <c r="F1777" s="7" t="inlineStr">
        <is>
          <t>Yes</t>
        </is>
      </c>
      <c r="G1777" s="8" t="n"/>
    </row>
    <row r="1778">
      <c r="A1778" s="8" t="inlineStr">
        <is>
          <t>PGCV_0027_1699</t>
        </is>
      </c>
      <c r="B1778" s="8" t="inlineStr">
        <is>
          <t>COVID-SNL-22-72823</t>
        </is>
      </c>
      <c r="C1778" s="8" t="inlineStr">
        <is>
          <t>KZFZVUQA9V</t>
        </is>
      </c>
      <c r="D1778" s="7" t="n">
        <v>27</v>
      </c>
      <c r="E1778" s="7" t="n">
        <v>1699</v>
      </c>
      <c r="F1778" s="7" t="inlineStr">
        <is>
          <t>Yes</t>
        </is>
      </c>
      <c r="G1778" s="8" t="n"/>
    </row>
    <row r="1779">
      <c r="A1779" s="8" t="inlineStr">
        <is>
          <t>PGCV_0027_1700</t>
        </is>
      </c>
      <c r="B1779" s="8" t="inlineStr">
        <is>
          <t>COVID-SNL-22-72851</t>
        </is>
      </c>
      <c r="C1779" s="8" t="inlineStr">
        <is>
          <t>XRBZH18CVC</t>
        </is>
      </c>
      <c r="D1779" s="7" t="n">
        <v>27</v>
      </c>
      <c r="E1779" s="7" t="n">
        <v>1700</v>
      </c>
      <c r="F1779" s="7" t="inlineStr">
        <is>
          <t>Yes</t>
        </is>
      </c>
      <c r="G1779" s="8" t="n"/>
    </row>
    <row r="1780">
      <c r="A1780" s="8" t="inlineStr">
        <is>
          <t>PGCV_0027_1701</t>
        </is>
      </c>
      <c r="B1780" s="8" t="inlineStr">
        <is>
          <t>COVID-SNL-22-73090</t>
        </is>
      </c>
      <c r="C1780" s="8" t="inlineStr">
        <is>
          <t>95QLUAYDBQ</t>
        </is>
      </c>
      <c r="D1780" s="7" t="n">
        <v>27</v>
      </c>
      <c r="E1780" s="7" t="n">
        <v>1701</v>
      </c>
      <c r="F1780" s="7" t="inlineStr">
        <is>
          <t>Yes</t>
        </is>
      </c>
      <c r="G1780" s="8" t="n"/>
    </row>
    <row r="1781">
      <c r="A1781" s="8" t="inlineStr">
        <is>
          <t>PGCV_0027_1702</t>
        </is>
      </c>
      <c r="B1781" s="8" t="inlineStr">
        <is>
          <t>COVID-SNL-22-73003</t>
        </is>
      </c>
      <c r="C1781" s="8" t="inlineStr">
        <is>
          <t>UEJSGBXE7O</t>
        </is>
      </c>
      <c r="D1781" s="7" t="n">
        <v>27</v>
      </c>
      <c r="E1781" s="7" t="n">
        <v>1702</v>
      </c>
      <c r="F1781" s="7" t="inlineStr">
        <is>
          <t>Yes</t>
        </is>
      </c>
      <c r="G1781" s="8" t="n"/>
    </row>
    <row r="1782">
      <c r="A1782" s="8" t="inlineStr">
        <is>
          <t>PGCV_0027_1703</t>
        </is>
      </c>
      <c r="B1782" s="8" t="inlineStr">
        <is>
          <t>COVID-SNL-22-73004</t>
        </is>
      </c>
      <c r="C1782" s="8" t="inlineStr">
        <is>
          <t>K5TRYBITUX</t>
        </is>
      </c>
      <c r="D1782" s="7" t="n">
        <v>27</v>
      </c>
      <c r="E1782" s="7" t="n">
        <v>1703</v>
      </c>
      <c r="F1782" s="7" t="inlineStr">
        <is>
          <t>No</t>
        </is>
      </c>
      <c r="G1782" s="8" t="n"/>
    </row>
    <row r="1783">
      <c r="A1783" s="8" t="inlineStr">
        <is>
          <t>PGCV_0027_1704</t>
        </is>
      </c>
      <c r="B1783" s="8" t="inlineStr">
        <is>
          <t>COVID-SNL-22-73013</t>
        </is>
      </c>
      <c r="C1783" s="8" t="inlineStr">
        <is>
          <t>TXNWLQZ5WI</t>
        </is>
      </c>
      <c r="D1783" s="7" t="n">
        <v>27</v>
      </c>
      <c r="E1783" s="7" t="n">
        <v>1704</v>
      </c>
      <c r="F1783" s="7" t="inlineStr">
        <is>
          <t>Yes</t>
        </is>
      </c>
      <c r="G1783" s="8" t="n"/>
    </row>
    <row r="1784">
      <c r="A1784" s="8" t="inlineStr">
        <is>
          <t>PGCV_0027_1705</t>
        </is>
      </c>
      <c r="B1784" s="8" t="inlineStr">
        <is>
          <t>COVID-SNL-22-73022</t>
        </is>
      </c>
      <c r="C1784" s="8" t="inlineStr">
        <is>
          <t>Y7CFJIJNTR</t>
        </is>
      </c>
      <c r="D1784" s="7" t="n">
        <v>27</v>
      </c>
      <c r="E1784" s="7" t="n">
        <v>1705</v>
      </c>
      <c r="F1784" s="7" t="inlineStr">
        <is>
          <t>Yes</t>
        </is>
      </c>
      <c r="G1784" s="8" t="n"/>
    </row>
    <row r="1785">
      <c r="A1785" s="8" t="inlineStr">
        <is>
          <t>PGCV_0027_1706</t>
        </is>
      </c>
      <c r="B1785" s="8" t="inlineStr">
        <is>
          <t>COVID-SNL-22-73101</t>
        </is>
      </c>
      <c r="C1785" s="8" t="inlineStr">
        <is>
          <t>5SAWWYRQQH</t>
        </is>
      </c>
      <c r="D1785" s="7" t="n">
        <v>27</v>
      </c>
      <c r="E1785" s="7" t="n">
        <v>1706</v>
      </c>
      <c r="F1785" s="7" t="inlineStr">
        <is>
          <t>Yes</t>
        </is>
      </c>
      <c r="G1785" s="8" t="n"/>
    </row>
    <row r="1786">
      <c r="A1786" s="8" t="inlineStr">
        <is>
          <t>PGCV_0027_1707</t>
        </is>
      </c>
      <c r="B1786" s="8" t="inlineStr">
        <is>
          <t>COVID-SNL-22-73126</t>
        </is>
      </c>
      <c r="C1786" s="8" t="inlineStr">
        <is>
          <t>EMP8WAXTIY</t>
        </is>
      </c>
      <c r="D1786" s="7" t="n">
        <v>27</v>
      </c>
      <c r="E1786" s="7" t="n">
        <v>1707</v>
      </c>
      <c r="F1786" s="7" t="inlineStr">
        <is>
          <t>Yes</t>
        </is>
      </c>
      <c r="G1786" s="8" t="n"/>
    </row>
    <row r="1787">
      <c r="A1787" s="8" t="inlineStr">
        <is>
          <t>PGCV_0027_1708</t>
        </is>
      </c>
      <c r="B1787" s="8" t="inlineStr">
        <is>
          <t>COVID-SNL-22-73127</t>
        </is>
      </c>
      <c r="C1787" s="8" t="inlineStr">
        <is>
          <t>XPMEF0EJQW</t>
        </is>
      </c>
      <c r="D1787" s="7" t="n">
        <v>27</v>
      </c>
      <c r="E1787" s="7" t="n">
        <v>1708</v>
      </c>
      <c r="F1787" s="7" t="inlineStr">
        <is>
          <t>Yes</t>
        </is>
      </c>
      <c r="G1787" s="8" t="n"/>
    </row>
    <row r="1788">
      <c r="A1788" s="8" t="inlineStr">
        <is>
          <t>PGCV_0027_1709</t>
        </is>
      </c>
      <c r="B1788" s="8" t="inlineStr">
        <is>
          <t>COVID-SNL-22-73134</t>
        </is>
      </c>
      <c r="C1788" s="8" t="inlineStr">
        <is>
          <t>TPYDQDHZQR</t>
        </is>
      </c>
      <c r="D1788" s="7" t="n">
        <v>27</v>
      </c>
      <c r="E1788" s="7" t="n">
        <v>1709</v>
      </c>
      <c r="F1788" s="7" t="inlineStr">
        <is>
          <t>Yes</t>
        </is>
      </c>
      <c r="G1788" s="8" t="n"/>
    </row>
    <row r="1789">
      <c r="A1789" s="8" t="inlineStr">
        <is>
          <t>PGCV_0027_1710</t>
        </is>
      </c>
      <c r="B1789" s="8" t="inlineStr">
        <is>
          <t>COVID-SNL-22-73065</t>
        </is>
      </c>
      <c r="C1789" s="8" t="inlineStr">
        <is>
          <t>UZOO2GSPNH</t>
        </is>
      </c>
      <c r="D1789" s="7" t="n">
        <v>27</v>
      </c>
      <c r="E1789" s="7" t="n">
        <v>1710</v>
      </c>
      <c r="F1789" s="7" t="inlineStr">
        <is>
          <t>Yes</t>
        </is>
      </c>
      <c r="G1789" s="8" t="n"/>
    </row>
    <row r="1790">
      <c r="A1790" s="8" t="inlineStr">
        <is>
          <t>PGCV_0027_1711</t>
        </is>
      </c>
      <c r="B1790" s="8" t="inlineStr">
        <is>
          <t>COVID-SNL-22-73146</t>
        </is>
      </c>
      <c r="C1790" s="8" t="inlineStr">
        <is>
          <t>T2EWIAQMCR</t>
        </is>
      </c>
      <c r="D1790" s="7" t="n">
        <v>27</v>
      </c>
      <c r="E1790" s="7" t="n">
        <v>1711</v>
      </c>
      <c r="F1790" s="7" t="inlineStr">
        <is>
          <t>Yes</t>
        </is>
      </c>
      <c r="G1790" s="8" t="n"/>
    </row>
    <row r="1791">
      <c r="A1791" s="8" t="inlineStr">
        <is>
          <t>PGCV_0027_1712</t>
        </is>
      </c>
      <c r="B1791" s="8" t="inlineStr">
        <is>
          <t>COVID-SNL-22-73172</t>
        </is>
      </c>
      <c r="C1791" s="8" t="inlineStr">
        <is>
          <t>IINLCFTON7</t>
        </is>
      </c>
      <c r="D1791" s="7" t="n">
        <v>27</v>
      </c>
      <c r="E1791" s="7" t="n">
        <v>1712</v>
      </c>
      <c r="F1791" s="7" t="inlineStr">
        <is>
          <t>Yes</t>
        </is>
      </c>
      <c r="G1791" s="8" t="n"/>
    </row>
    <row r="1792">
      <c r="A1792" s="8" t="inlineStr">
        <is>
          <t>PGCV_0027_1713</t>
        </is>
      </c>
      <c r="B1792" s="8" t="inlineStr">
        <is>
          <t>COVID-SNL-22-73151</t>
        </is>
      </c>
      <c r="C1792" s="8" t="inlineStr">
        <is>
          <t>CSGMS4OK87</t>
        </is>
      </c>
      <c r="D1792" s="7" t="n">
        <v>27</v>
      </c>
      <c r="E1792" s="7" t="n">
        <v>1713</v>
      </c>
      <c r="F1792" s="7" t="inlineStr">
        <is>
          <t>Yes</t>
        </is>
      </c>
      <c r="G1792" s="8" t="n"/>
    </row>
    <row r="1793">
      <c r="A1793" s="8" t="inlineStr">
        <is>
          <t>PGCV_0027_1714</t>
        </is>
      </c>
      <c r="B1793" s="8" t="inlineStr">
        <is>
          <t>COVID-SNL-22-73154</t>
        </is>
      </c>
      <c r="C1793" s="8" t="inlineStr">
        <is>
          <t>ICMWFKN0DE</t>
        </is>
      </c>
      <c r="D1793" s="7" t="n">
        <v>27</v>
      </c>
      <c r="E1793" s="7" t="n">
        <v>1714</v>
      </c>
      <c r="F1793" s="7" t="inlineStr">
        <is>
          <t>Yes</t>
        </is>
      </c>
      <c r="G1793" s="8" t="n"/>
    </row>
    <row r="1794">
      <c r="A1794" s="8" t="inlineStr">
        <is>
          <t>PGCV_0027_1715</t>
        </is>
      </c>
      <c r="B1794" s="8" t="inlineStr">
        <is>
          <t>COVID-SNL-22-73169</t>
        </is>
      </c>
      <c r="C1794" s="8" t="inlineStr">
        <is>
          <t>8QQEG6D58L</t>
        </is>
      </c>
      <c r="D1794" s="7" t="n">
        <v>27</v>
      </c>
      <c r="E1794" s="7" t="n">
        <v>1715</v>
      </c>
      <c r="F1794" s="7" t="inlineStr">
        <is>
          <t>Yes</t>
        </is>
      </c>
      <c r="G1794" s="8" t="n"/>
    </row>
    <row r="1795">
      <c r="A1795" s="8" t="inlineStr">
        <is>
          <t>PGCV_0027_1716</t>
        </is>
      </c>
      <c r="B1795" s="8" t="inlineStr">
        <is>
          <t>COVID-SNL-22-73177</t>
        </is>
      </c>
      <c r="C1795" s="8" t="inlineStr">
        <is>
          <t>CEHE77OYTI</t>
        </is>
      </c>
      <c r="D1795" s="7" t="n">
        <v>27</v>
      </c>
      <c r="E1795" s="7" t="n">
        <v>1716</v>
      </c>
      <c r="F1795" s="7" t="inlineStr">
        <is>
          <t>Yes</t>
        </is>
      </c>
      <c r="G1795" s="8" t="n"/>
    </row>
    <row r="1796">
      <c r="A1796" s="8" t="inlineStr">
        <is>
          <t>PGCV_0027_1717</t>
        </is>
      </c>
      <c r="B1796" s="8" t="inlineStr">
        <is>
          <t>COVID-SNL-22-73178</t>
        </is>
      </c>
      <c r="C1796" s="8" t="inlineStr">
        <is>
          <t>RXFNDBRSFI</t>
        </is>
      </c>
      <c r="D1796" s="7" t="n">
        <v>27</v>
      </c>
      <c r="E1796" s="7" t="n">
        <v>1717</v>
      </c>
      <c r="F1796" s="7" t="inlineStr">
        <is>
          <t>Yes</t>
        </is>
      </c>
      <c r="G1796" s="8" t="n"/>
    </row>
    <row r="1797">
      <c r="A1797" s="8" t="inlineStr">
        <is>
          <t>PGCV_0027_1718</t>
        </is>
      </c>
      <c r="B1797" s="8" t="inlineStr">
        <is>
          <t>COVID-SNL-22-73253</t>
        </is>
      </c>
      <c r="C1797" s="8" t="inlineStr">
        <is>
          <t>OMVPTYBIDN</t>
        </is>
      </c>
      <c r="D1797" s="7" t="n">
        <v>27</v>
      </c>
      <c r="E1797" s="7" t="n">
        <v>1718</v>
      </c>
      <c r="F1797" s="7" t="inlineStr">
        <is>
          <t>Yes</t>
        </is>
      </c>
      <c r="G1797" s="8" t="n"/>
    </row>
    <row r="1798">
      <c r="A1798" s="8" t="inlineStr">
        <is>
          <t>PGCV_0027_1719</t>
        </is>
      </c>
      <c r="B1798" s="8" t="inlineStr">
        <is>
          <t>COVID-SNL-22-73257</t>
        </is>
      </c>
      <c r="C1798" s="8" t="inlineStr">
        <is>
          <t>BLXXOICGAA</t>
        </is>
      </c>
      <c r="D1798" s="7" t="n">
        <v>27</v>
      </c>
      <c r="E1798" s="7" t="n">
        <v>1719</v>
      </c>
      <c r="F1798" s="7" t="inlineStr">
        <is>
          <t>Yes</t>
        </is>
      </c>
      <c r="G1798" s="8" t="n"/>
    </row>
    <row r="1799">
      <c r="A1799" s="8" t="inlineStr">
        <is>
          <t>PGCV_0027_1720</t>
        </is>
      </c>
      <c r="B1799" s="8" t="inlineStr">
        <is>
          <t>COVID-SNL-22-73308</t>
        </is>
      </c>
      <c r="C1799" s="8" t="inlineStr">
        <is>
          <t>NH24T6LMJU</t>
        </is>
      </c>
      <c r="D1799" s="7" t="n">
        <v>27</v>
      </c>
      <c r="E1799" s="7" t="n">
        <v>1720</v>
      </c>
      <c r="F1799" s="7" t="inlineStr">
        <is>
          <t>Yes</t>
        </is>
      </c>
      <c r="G1799" s="8" t="n"/>
    </row>
    <row r="1800">
      <c r="A1800" s="8" t="inlineStr">
        <is>
          <t>PGCV_0027_1721</t>
        </is>
      </c>
      <c r="B1800" s="8" t="inlineStr">
        <is>
          <t>COVID-SNL-22-73337</t>
        </is>
      </c>
      <c r="C1800" s="8" t="inlineStr">
        <is>
          <t>QNFBYGXTZX</t>
        </is>
      </c>
      <c r="D1800" s="7" t="n">
        <v>27</v>
      </c>
      <c r="E1800" s="7" t="n">
        <v>1721</v>
      </c>
      <c r="F1800" s="7" t="inlineStr">
        <is>
          <t>Yes</t>
        </is>
      </c>
      <c r="G1800" s="8" t="n"/>
    </row>
    <row r="1801">
      <c r="A1801" s="8" t="inlineStr">
        <is>
          <t>PGCV_0027_1722</t>
        </is>
      </c>
      <c r="B1801" s="8" t="inlineStr">
        <is>
          <t>COVID-SNL-22-73338</t>
        </is>
      </c>
      <c r="C1801" s="8" t="inlineStr">
        <is>
          <t>OIEM6IBGAZ</t>
        </is>
      </c>
      <c r="D1801" s="7" t="n">
        <v>27</v>
      </c>
      <c r="E1801" s="7" t="n">
        <v>1722</v>
      </c>
      <c r="F1801" s="7" t="inlineStr">
        <is>
          <t>Yes</t>
        </is>
      </c>
      <c r="G1801" s="8" t="n"/>
    </row>
    <row r="1802">
      <c r="A1802" s="8" t="inlineStr">
        <is>
          <t>PGCV_0027_1723</t>
        </is>
      </c>
      <c r="B1802" s="8" t="inlineStr">
        <is>
          <t>COVID-SNL-22-73339</t>
        </is>
      </c>
      <c r="C1802" s="8" t="inlineStr">
        <is>
          <t>XA3BFQBWK6</t>
        </is>
      </c>
      <c r="D1802" s="7" t="n">
        <v>27</v>
      </c>
      <c r="E1802" s="7" t="n">
        <v>1723</v>
      </c>
      <c r="F1802" s="7" t="inlineStr">
        <is>
          <t>Yes</t>
        </is>
      </c>
      <c r="G1802" s="8" t="n"/>
    </row>
    <row r="1803">
      <c r="A1803" s="8" t="inlineStr">
        <is>
          <t>PGCV_0027_1724</t>
        </is>
      </c>
      <c r="B1803" s="8" t="inlineStr">
        <is>
          <t>COVID-SNL-22-73350</t>
        </is>
      </c>
      <c r="C1803" s="8" t="inlineStr">
        <is>
          <t>99Y4ZUCOSA</t>
        </is>
      </c>
      <c r="D1803" s="7" t="n">
        <v>27</v>
      </c>
      <c r="E1803" s="7" t="n">
        <v>1724</v>
      </c>
      <c r="F1803" s="7" t="inlineStr">
        <is>
          <t>Yes</t>
        </is>
      </c>
      <c r="G1803" s="8" t="n"/>
    </row>
    <row r="1804">
      <c r="A1804" s="8" t="inlineStr">
        <is>
          <t>PGCV_0027_1725</t>
        </is>
      </c>
      <c r="B1804" s="8" t="inlineStr">
        <is>
          <t>COVID-SNL-22-73384</t>
        </is>
      </c>
      <c r="C1804" s="8" t="inlineStr">
        <is>
          <t>BUZTJPGKGP</t>
        </is>
      </c>
      <c r="D1804" s="7" t="n">
        <v>27</v>
      </c>
      <c r="E1804" s="7" t="n">
        <v>1725</v>
      </c>
      <c r="F1804" s="7" t="inlineStr">
        <is>
          <t>Yes</t>
        </is>
      </c>
      <c r="G1804" s="8" t="n"/>
    </row>
    <row r="1805">
      <c r="A1805" s="8" t="inlineStr">
        <is>
          <t>PGCV_0027_1726</t>
        </is>
      </c>
      <c r="B1805" s="8" t="inlineStr">
        <is>
          <t>COVID-SNL-22-73395</t>
        </is>
      </c>
      <c r="C1805" s="8" t="inlineStr">
        <is>
          <t>Q20VDUIGVL</t>
        </is>
      </c>
      <c r="D1805" s="7" t="n">
        <v>27</v>
      </c>
      <c r="E1805" s="7" t="n">
        <v>1726</v>
      </c>
      <c r="F1805" s="7" t="inlineStr">
        <is>
          <t>Yes</t>
        </is>
      </c>
      <c r="G1805" s="8" t="n"/>
    </row>
    <row r="1806">
      <c r="A1806" s="8" t="inlineStr">
        <is>
          <t>PGCV_0027_1727</t>
        </is>
      </c>
      <c r="B1806" s="8" t="inlineStr">
        <is>
          <t>COVID-SNL-22-73399</t>
        </is>
      </c>
      <c r="C1806" s="8" t="inlineStr">
        <is>
          <t>HPA0XZNGK9</t>
        </is>
      </c>
      <c r="D1806" s="7" t="n">
        <v>27</v>
      </c>
      <c r="E1806" s="7" t="n">
        <v>1727</v>
      </c>
      <c r="F1806" s="7" t="inlineStr">
        <is>
          <t>Yes</t>
        </is>
      </c>
      <c r="G1806" s="8" t="n"/>
    </row>
    <row r="1807">
      <c r="A1807" s="8" t="inlineStr">
        <is>
          <t>PGCV_0027_1728</t>
        </is>
      </c>
      <c r="B1807" s="8" t="inlineStr">
        <is>
          <t>COVID-SNL-22-73404</t>
        </is>
      </c>
      <c r="C1807" s="8" t="inlineStr">
        <is>
          <t>XJGJOPQVOW</t>
        </is>
      </c>
      <c r="D1807" s="7" t="n">
        <v>27</v>
      </c>
      <c r="E1807" s="7" t="n">
        <v>1728</v>
      </c>
      <c r="F1807" s="7" t="inlineStr">
        <is>
          <t>Yes</t>
        </is>
      </c>
      <c r="G1807" s="8" t="n"/>
    </row>
    <row r="1808">
      <c r="A1808" s="8" t="inlineStr">
        <is>
          <t>PGCV_0027_1729</t>
        </is>
      </c>
      <c r="B1808" s="8" t="inlineStr">
        <is>
          <t>COVID-SNL-22-73405</t>
        </is>
      </c>
      <c r="C1808" s="8" t="inlineStr">
        <is>
          <t>UZXBCXJ2DM</t>
        </is>
      </c>
      <c r="D1808" s="7" t="n">
        <v>27</v>
      </c>
      <c r="E1808" s="7" t="n">
        <v>1729</v>
      </c>
      <c r="F1808" s="7" t="inlineStr">
        <is>
          <t>Yes</t>
        </is>
      </c>
      <c r="G1808" s="8" t="n"/>
    </row>
    <row r="1809">
      <c r="A1809" s="8" t="inlineStr">
        <is>
          <t>PGCV_0027_1730</t>
        </is>
      </c>
      <c r="B1809" s="8" t="inlineStr">
        <is>
          <t>COVID-SNL-22-73406</t>
        </is>
      </c>
      <c r="C1809" s="8" t="inlineStr">
        <is>
          <t>WHC5NNGYKX</t>
        </is>
      </c>
      <c r="D1809" s="7" t="n">
        <v>27</v>
      </c>
      <c r="E1809" s="7" t="n">
        <v>1730</v>
      </c>
      <c r="F1809" s="7" t="inlineStr">
        <is>
          <t>Yes</t>
        </is>
      </c>
      <c r="G1809" s="8" t="n"/>
    </row>
    <row r="1810">
      <c r="A1810" s="8" t="inlineStr">
        <is>
          <t>PGCV_0027_1731</t>
        </is>
      </c>
      <c r="B1810" s="8" t="inlineStr">
        <is>
          <t>COVID-SNL-22-73411</t>
        </is>
      </c>
      <c r="C1810" s="8" t="inlineStr">
        <is>
          <t>AXUTOBBEZF</t>
        </is>
      </c>
      <c r="D1810" s="7" t="n">
        <v>27</v>
      </c>
      <c r="E1810" s="7" t="n">
        <v>1731</v>
      </c>
      <c r="F1810" s="7" t="inlineStr">
        <is>
          <t>Yes</t>
        </is>
      </c>
      <c r="G1810" s="8" t="n"/>
    </row>
    <row r="1811">
      <c r="A1811" s="8" t="inlineStr">
        <is>
          <t>PGCV_0027_1732</t>
        </is>
      </c>
      <c r="B1811" s="8" t="inlineStr">
        <is>
          <t>COVID-SNL-22-73415</t>
        </is>
      </c>
      <c r="C1811" s="8" t="inlineStr">
        <is>
          <t>TAQ3ULYEDX</t>
        </is>
      </c>
      <c r="D1811" s="7" t="n">
        <v>27</v>
      </c>
      <c r="E1811" s="7" t="n">
        <v>1732</v>
      </c>
      <c r="F1811" s="7" t="inlineStr">
        <is>
          <t>Yes</t>
        </is>
      </c>
      <c r="G1811" s="8" t="n"/>
    </row>
    <row r="1812">
      <c r="A1812" s="8" t="inlineStr">
        <is>
          <t>PGCV_0027_1733</t>
        </is>
      </c>
      <c r="B1812" s="8" t="inlineStr">
        <is>
          <t>COVID-SNL-22-73493</t>
        </is>
      </c>
      <c r="C1812" s="8" t="inlineStr">
        <is>
          <t>LJALCHULFN</t>
        </is>
      </c>
      <c r="D1812" s="7" t="n">
        <v>27</v>
      </c>
      <c r="E1812" s="7" t="n">
        <v>1733</v>
      </c>
      <c r="F1812" s="7" t="inlineStr">
        <is>
          <t>Yes</t>
        </is>
      </c>
      <c r="G1812" s="8" t="n"/>
    </row>
    <row r="1813">
      <c r="A1813" s="8" t="inlineStr">
        <is>
          <t>PGCV_0027_1734</t>
        </is>
      </c>
      <c r="B1813" s="8" t="inlineStr">
        <is>
          <t>COVID-SNL-22-73497</t>
        </is>
      </c>
      <c r="C1813" s="8" t="inlineStr">
        <is>
          <t>UB28KN2VHD</t>
        </is>
      </c>
      <c r="D1813" s="7" t="n">
        <v>27</v>
      </c>
      <c r="E1813" s="7" t="n">
        <v>1734</v>
      </c>
      <c r="F1813" s="7" t="inlineStr">
        <is>
          <t>Yes</t>
        </is>
      </c>
      <c r="G1813" s="8" t="n"/>
    </row>
    <row r="1814">
      <c r="A1814" s="8" t="inlineStr">
        <is>
          <t>PGCV_0027_1735</t>
        </is>
      </c>
      <c r="B1814" s="8" t="inlineStr">
        <is>
          <t>COVID-SNL-22-73502</t>
        </is>
      </c>
      <c r="C1814" s="8" t="inlineStr">
        <is>
          <t>ZHTKQEBFYI</t>
        </is>
      </c>
      <c r="D1814" s="7" t="n">
        <v>27</v>
      </c>
      <c r="E1814" s="7" t="n">
        <v>1735</v>
      </c>
      <c r="F1814" s="7" t="inlineStr">
        <is>
          <t>Yes</t>
        </is>
      </c>
      <c r="G1814" s="8" t="n"/>
    </row>
    <row r="1815">
      <c r="A1815" s="8" t="inlineStr">
        <is>
          <t>PGCV_0027_1736</t>
        </is>
      </c>
      <c r="B1815" s="8" t="inlineStr">
        <is>
          <t>COVID-SNL-22-73377</t>
        </is>
      </c>
      <c r="C1815" s="8" t="inlineStr">
        <is>
          <t>O0LSGZEGKW</t>
        </is>
      </c>
      <c r="D1815" s="7" t="n">
        <v>27</v>
      </c>
      <c r="E1815" s="7" t="n">
        <v>1736</v>
      </c>
      <c r="F1815" s="7" t="inlineStr">
        <is>
          <t>Yes</t>
        </is>
      </c>
      <c r="G1815" s="8" t="n"/>
    </row>
    <row r="1816">
      <c r="A1816" s="8" t="inlineStr">
        <is>
          <t>PGCV_0027_1737</t>
        </is>
      </c>
      <c r="B1816" s="8" t="inlineStr">
        <is>
          <t>COVID-SNL-22-73379</t>
        </is>
      </c>
      <c r="C1816" s="8" t="inlineStr">
        <is>
          <t>6TFTK8VHZP</t>
        </is>
      </c>
      <c r="D1816" s="7" t="n">
        <v>27</v>
      </c>
      <c r="E1816" s="7" t="n">
        <v>1737</v>
      </c>
      <c r="F1816" s="7" t="inlineStr">
        <is>
          <t>Yes</t>
        </is>
      </c>
      <c r="G1816" s="8" t="n"/>
    </row>
    <row r="1817">
      <c r="A1817" s="8" t="inlineStr">
        <is>
          <t>PGCV_0027_1738</t>
        </is>
      </c>
      <c r="B1817" s="8" t="inlineStr">
        <is>
          <t>COVID-SNL-22-73539</t>
        </is>
      </c>
      <c r="C1817" s="8" t="inlineStr">
        <is>
          <t>XEJULDEPK3</t>
        </is>
      </c>
      <c r="D1817" s="7" t="n">
        <v>27</v>
      </c>
      <c r="E1817" s="7" t="n">
        <v>1738</v>
      </c>
      <c r="F1817" s="7" t="inlineStr">
        <is>
          <t>Yes</t>
        </is>
      </c>
      <c r="G1817" s="8" t="n"/>
    </row>
    <row r="1818">
      <c r="A1818" s="8" t="inlineStr">
        <is>
          <t>PGCV_0027_1739</t>
        </is>
      </c>
      <c r="B1818" s="8" t="inlineStr">
        <is>
          <t>COVID-SNL-22-73543</t>
        </is>
      </c>
      <c r="C1818" s="8" t="inlineStr">
        <is>
          <t>W0MFTQMHIM</t>
        </is>
      </c>
      <c r="D1818" s="7" t="n">
        <v>27</v>
      </c>
      <c r="E1818" s="7" t="n">
        <v>1739</v>
      </c>
      <c r="F1818" s="7" t="inlineStr">
        <is>
          <t>Yes</t>
        </is>
      </c>
      <c r="G1818" s="8" t="n"/>
    </row>
    <row r="1819">
      <c r="A1819" s="8" t="inlineStr">
        <is>
          <t>PGCV_0027_1740</t>
        </is>
      </c>
      <c r="B1819" s="8" t="inlineStr">
        <is>
          <t>COVID-SNL-22-73427</t>
        </is>
      </c>
      <c r="C1819" s="8" t="inlineStr">
        <is>
          <t>8WNDLV0BW7</t>
        </is>
      </c>
      <c r="D1819" s="7" t="n">
        <v>27</v>
      </c>
      <c r="E1819" s="7" t="n">
        <v>1740</v>
      </c>
      <c r="F1819" s="7" t="inlineStr">
        <is>
          <t>Yes</t>
        </is>
      </c>
      <c r="G1819" s="8" t="n"/>
    </row>
    <row r="1820">
      <c r="A1820" s="8" t="inlineStr">
        <is>
          <t>PGCV_0027_1741</t>
        </is>
      </c>
      <c r="B1820" s="8" t="inlineStr">
        <is>
          <t>COVID-SNL-22-73461</t>
        </is>
      </c>
      <c r="C1820" s="8" t="inlineStr">
        <is>
          <t>OCD2SRMVBJ</t>
        </is>
      </c>
      <c r="D1820" s="7" t="n">
        <v>27</v>
      </c>
      <c r="E1820" s="7" t="n">
        <v>1741</v>
      </c>
      <c r="F1820" s="7" t="inlineStr">
        <is>
          <t>Yes</t>
        </is>
      </c>
      <c r="G1820" s="8" t="n"/>
    </row>
    <row r="1821">
      <c r="A1821" s="8" t="inlineStr">
        <is>
          <t>PGCV_0027_1742</t>
        </is>
      </c>
      <c r="B1821" s="8" t="inlineStr">
        <is>
          <t>COVID-SNL-22-73487</t>
        </is>
      </c>
      <c r="C1821" s="8" t="inlineStr">
        <is>
          <t>BUKA6J6ACE</t>
        </is>
      </c>
      <c r="D1821" s="7" t="n">
        <v>27</v>
      </c>
      <c r="E1821" s="7" t="n">
        <v>1742</v>
      </c>
      <c r="F1821" s="7" t="inlineStr">
        <is>
          <t>Yes</t>
        </is>
      </c>
      <c r="G1821" s="8" t="n"/>
    </row>
    <row r="1822">
      <c r="A1822" s="8" t="inlineStr">
        <is>
          <t>PGCV_0027_1743</t>
        </is>
      </c>
      <c r="B1822" s="8" t="inlineStr">
        <is>
          <t>COVID-SNL-22-73488</t>
        </is>
      </c>
      <c r="C1822" s="8" t="inlineStr">
        <is>
          <t>B9TNJR6B52</t>
        </is>
      </c>
      <c r="D1822" s="7" t="n">
        <v>27</v>
      </c>
      <c r="E1822" s="7" t="n">
        <v>1743</v>
      </c>
      <c r="F1822" s="7" t="inlineStr">
        <is>
          <t>Yes</t>
        </is>
      </c>
      <c r="G1822" s="8" t="n"/>
    </row>
    <row r="1823">
      <c r="A1823" s="8" t="inlineStr">
        <is>
          <t>PGCV_0027_1744</t>
        </is>
      </c>
      <c r="B1823" s="8" t="inlineStr">
        <is>
          <t>COVID-SNL-22-73607</t>
        </is>
      </c>
      <c r="C1823" s="8" t="inlineStr">
        <is>
          <t>ZVMKYNBBVJ</t>
        </is>
      </c>
      <c r="D1823" s="7" t="n">
        <v>27</v>
      </c>
      <c r="E1823" s="7" t="n">
        <v>1744</v>
      </c>
      <c r="F1823" s="7" t="inlineStr">
        <is>
          <t>Yes</t>
        </is>
      </c>
      <c r="G1823" s="8" t="n"/>
    </row>
    <row r="1824">
      <c r="A1824" s="8" t="inlineStr">
        <is>
          <t>PGCV_0027_1745</t>
        </is>
      </c>
      <c r="B1824" s="8" t="inlineStr">
        <is>
          <t>COVID-SNL-22-73617</t>
        </is>
      </c>
      <c r="C1824" s="8" t="inlineStr">
        <is>
          <t>G7YQHX8UOT</t>
        </is>
      </c>
      <c r="D1824" s="7" t="n">
        <v>27</v>
      </c>
      <c r="E1824" s="7" t="n">
        <v>1745</v>
      </c>
      <c r="F1824" s="7" t="inlineStr">
        <is>
          <t>Yes</t>
        </is>
      </c>
      <c r="G1824" s="8" t="n"/>
    </row>
    <row r="1825">
      <c r="A1825" s="8" t="inlineStr">
        <is>
          <t>PGCV_0027_1746</t>
        </is>
      </c>
      <c r="B1825" s="8" t="inlineStr">
        <is>
          <t>COVID-SNL-22-73689</t>
        </is>
      </c>
      <c r="C1825" s="8" t="inlineStr">
        <is>
          <t>DBCQEQMG17</t>
        </is>
      </c>
      <c r="D1825" s="7" t="n">
        <v>27</v>
      </c>
      <c r="E1825" s="7" t="n">
        <v>1746</v>
      </c>
      <c r="F1825" s="7" t="inlineStr">
        <is>
          <t>Yes</t>
        </is>
      </c>
      <c r="G1825" s="8" t="n"/>
    </row>
    <row r="1826">
      <c r="A1826" s="8" t="inlineStr">
        <is>
          <t>PGCV_0027_1747</t>
        </is>
      </c>
      <c r="B1826" s="8" t="inlineStr">
        <is>
          <t>COVID-SNL-22-73728</t>
        </is>
      </c>
      <c r="C1826" s="8" t="inlineStr">
        <is>
          <t>FGQ73O29HT</t>
        </is>
      </c>
      <c r="D1826" s="7" t="n">
        <v>27</v>
      </c>
      <c r="E1826" s="7" t="n">
        <v>1747</v>
      </c>
      <c r="F1826" s="7" t="inlineStr">
        <is>
          <t>Yes</t>
        </is>
      </c>
      <c r="G1826" s="8" t="n"/>
    </row>
    <row r="1827">
      <c r="A1827" s="8" t="inlineStr">
        <is>
          <t>PGCV_0027_1748</t>
        </is>
      </c>
      <c r="B1827" s="8" t="inlineStr">
        <is>
          <t>COVID-SNL-22-73763</t>
        </is>
      </c>
      <c r="C1827" s="8" t="inlineStr">
        <is>
          <t>QRNGAVICDP</t>
        </is>
      </c>
      <c r="D1827" s="7" t="n">
        <v>27</v>
      </c>
      <c r="E1827" s="7" t="n">
        <v>1748</v>
      </c>
      <c r="F1827" s="7" t="inlineStr">
        <is>
          <t>Yes</t>
        </is>
      </c>
      <c r="G1827" s="8" t="n"/>
    </row>
    <row r="1828">
      <c r="A1828" s="8" t="inlineStr">
        <is>
          <t>PGCV_0027_1749</t>
        </is>
      </c>
      <c r="B1828" s="8" t="inlineStr">
        <is>
          <t>COVID-SNL-22-73767</t>
        </is>
      </c>
      <c r="C1828" s="8" t="inlineStr">
        <is>
          <t>PL6ULTWW48</t>
        </is>
      </c>
      <c r="D1828" s="7" t="n">
        <v>27</v>
      </c>
      <c r="E1828" s="7" t="n">
        <v>1749</v>
      </c>
      <c r="F1828" s="7" t="inlineStr">
        <is>
          <t>Yes</t>
        </is>
      </c>
      <c r="G1828" s="8" t="n"/>
    </row>
    <row r="1829">
      <c r="A1829" s="8" t="inlineStr">
        <is>
          <t>PGCV_0027_1750</t>
        </is>
      </c>
      <c r="B1829" s="8" t="inlineStr">
        <is>
          <t>COVID-SNL-22-73770</t>
        </is>
      </c>
      <c r="C1829" s="8" t="inlineStr">
        <is>
          <t>AHNHNVVUDY</t>
        </is>
      </c>
      <c r="D1829" s="7" t="n">
        <v>27</v>
      </c>
      <c r="E1829" s="7" t="n">
        <v>1750</v>
      </c>
      <c r="F1829" s="7" t="inlineStr">
        <is>
          <t>Yes</t>
        </is>
      </c>
      <c r="G1829" s="8" t="n"/>
    </row>
    <row r="1830">
      <c r="A1830" s="8" t="inlineStr">
        <is>
          <t>PGCV_0027_1751</t>
        </is>
      </c>
      <c r="B1830" s="8" t="inlineStr">
        <is>
          <t>COVID-SNL-22-73773</t>
        </is>
      </c>
      <c r="C1830" s="8" t="inlineStr">
        <is>
          <t>OBGTWK8XCR</t>
        </is>
      </c>
      <c r="D1830" s="7" t="n">
        <v>27</v>
      </c>
      <c r="E1830" s="7" t="n">
        <v>1751</v>
      </c>
      <c r="F1830" s="7" t="inlineStr">
        <is>
          <t>Yes</t>
        </is>
      </c>
      <c r="G1830" s="8" t="n"/>
    </row>
    <row r="1831">
      <c r="A1831" s="8" t="inlineStr">
        <is>
          <t>PGCV_0027_1752</t>
        </is>
      </c>
      <c r="B1831" s="8" t="inlineStr">
        <is>
          <t>COVID-SNL-22-73878</t>
        </is>
      </c>
      <c r="C1831" s="8" t="inlineStr">
        <is>
          <t>AXU0LAZPCK</t>
        </is>
      </c>
      <c r="D1831" s="7" t="n">
        <v>27</v>
      </c>
      <c r="E1831" s="7" t="n">
        <v>1752</v>
      </c>
      <c r="F1831" s="7" t="inlineStr">
        <is>
          <t>Yes</t>
        </is>
      </c>
      <c r="G1831" s="8" t="n"/>
    </row>
    <row r="1832">
      <c r="A1832" s="8" t="inlineStr">
        <is>
          <t>PGCV_0027_1753</t>
        </is>
      </c>
      <c r="B1832" s="8" t="inlineStr">
        <is>
          <t>COVID-SNL-22-73850</t>
        </is>
      </c>
      <c r="C1832" s="8" t="inlineStr">
        <is>
          <t>MFGPU8XKD4</t>
        </is>
      </c>
      <c r="D1832" s="7" t="n">
        <v>27</v>
      </c>
      <c r="E1832" s="7" t="n">
        <v>1753</v>
      </c>
      <c r="F1832" s="7" t="inlineStr">
        <is>
          <t>Yes</t>
        </is>
      </c>
      <c r="G1832" s="8" t="n"/>
    </row>
    <row r="1833">
      <c r="A1833" s="8" t="inlineStr">
        <is>
          <t>PGCV_0027_1754</t>
        </is>
      </c>
      <c r="B1833" s="8" t="inlineStr">
        <is>
          <t>COVID-SNL-22-73853</t>
        </is>
      </c>
      <c r="C1833" s="8" t="inlineStr">
        <is>
          <t>IC8SISASSU</t>
        </is>
      </c>
      <c r="D1833" s="7" t="n">
        <v>27</v>
      </c>
      <c r="E1833" s="7" t="n">
        <v>1754</v>
      </c>
      <c r="F1833" s="7" t="inlineStr">
        <is>
          <t>Yes</t>
        </is>
      </c>
      <c r="G1833" s="8" t="n"/>
    </row>
    <row r="1834">
      <c r="A1834" s="8" t="inlineStr">
        <is>
          <t>PGCV_0027_1755</t>
        </is>
      </c>
      <c r="B1834" s="8" t="inlineStr">
        <is>
          <t>COVID-SNL-22-73892</t>
        </is>
      </c>
      <c r="C1834" s="8" t="inlineStr">
        <is>
          <t>LREARQWCFN</t>
        </is>
      </c>
      <c r="D1834" s="7" t="n">
        <v>27</v>
      </c>
      <c r="E1834" s="7" t="n">
        <v>1755</v>
      </c>
      <c r="F1834" s="7" t="inlineStr">
        <is>
          <t>Yes</t>
        </is>
      </c>
      <c r="G1834" s="8" t="n"/>
    </row>
    <row r="1835">
      <c r="A1835" s="8" t="inlineStr">
        <is>
          <t>PGCV_0027_1756</t>
        </is>
      </c>
      <c r="B1835" s="8" t="inlineStr">
        <is>
          <t>COVID-SNL-22-74021</t>
        </is>
      </c>
      <c r="C1835" s="8" t="inlineStr">
        <is>
          <t>KEMNFN6DGL</t>
        </is>
      </c>
      <c r="D1835" s="7" t="n">
        <v>27</v>
      </c>
      <c r="E1835" s="7" t="n">
        <v>1756</v>
      </c>
      <c r="F1835" s="7" t="inlineStr">
        <is>
          <t>Yes</t>
        </is>
      </c>
      <c r="G1835" s="8" t="n"/>
    </row>
    <row r="1836">
      <c r="A1836" s="8" t="inlineStr">
        <is>
          <t>PGCV_0027_1757</t>
        </is>
      </c>
      <c r="B1836" s="8" t="inlineStr">
        <is>
          <t>COVID-SNL-22-74028</t>
        </is>
      </c>
      <c r="C1836" s="8" t="inlineStr">
        <is>
          <t>SMHRMNSWK7</t>
        </is>
      </c>
      <c r="D1836" s="7" t="n">
        <v>27</v>
      </c>
      <c r="E1836" s="7" t="n">
        <v>1757</v>
      </c>
      <c r="F1836" s="7" t="inlineStr">
        <is>
          <t>Yes</t>
        </is>
      </c>
      <c r="G1836" s="8" t="n"/>
    </row>
    <row r="1837">
      <c r="A1837" s="8" t="inlineStr">
        <is>
          <t>PGCV_0027_1758</t>
        </is>
      </c>
      <c r="B1837" s="8" t="inlineStr">
        <is>
          <t>COVID-SNL-22-73996</t>
        </is>
      </c>
      <c r="C1837" s="8" t="inlineStr">
        <is>
          <t>QGTQIQWFEF</t>
        </is>
      </c>
      <c r="D1837" s="7" t="n">
        <v>27</v>
      </c>
      <c r="E1837" s="7" t="n">
        <v>1758</v>
      </c>
      <c r="F1837" s="7" t="inlineStr">
        <is>
          <t>No</t>
        </is>
      </c>
      <c r="G1837" s="8" t="n"/>
    </row>
    <row r="1838">
      <c r="A1838" s="8" t="inlineStr">
        <is>
          <t>PGCV_0027_1759</t>
        </is>
      </c>
      <c r="B1838" s="8" t="inlineStr">
        <is>
          <t>COVID-SNL-22-74053</t>
        </is>
      </c>
      <c r="C1838" s="8" t="inlineStr">
        <is>
          <t>NDKHRCXCX1</t>
        </is>
      </c>
      <c r="D1838" s="7" t="n">
        <v>27</v>
      </c>
      <c r="E1838" s="7" t="n">
        <v>1759</v>
      </c>
      <c r="F1838" s="7" t="inlineStr">
        <is>
          <t>Yes</t>
        </is>
      </c>
      <c r="G1838" s="8" t="n"/>
    </row>
    <row r="1839">
      <c r="A1839" s="8" t="inlineStr">
        <is>
          <t>PGCV_0027_1760</t>
        </is>
      </c>
      <c r="B1839" s="8" t="inlineStr">
        <is>
          <t>COVID-SNL-22-74060</t>
        </is>
      </c>
      <c r="C1839" s="8" t="inlineStr">
        <is>
          <t>3CUDQEHUNQ</t>
        </is>
      </c>
      <c r="D1839" s="7" t="n">
        <v>27</v>
      </c>
      <c r="E1839" s="7" t="n">
        <v>1760</v>
      </c>
      <c r="F1839" s="7" t="inlineStr">
        <is>
          <t>Yes</t>
        </is>
      </c>
      <c r="G1839" s="8" t="n"/>
    </row>
    <row r="1840">
      <c r="A1840" s="8" t="inlineStr">
        <is>
          <t>PGCV_0027_1761</t>
        </is>
      </c>
      <c r="B1840" s="8" t="inlineStr">
        <is>
          <t>COVID-SNL-22-74061</t>
        </is>
      </c>
      <c r="C1840" s="8" t="inlineStr">
        <is>
          <t>YTN8XLY3F2</t>
        </is>
      </c>
      <c r="D1840" s="7" t="n">
        <v>27</v>
      </c>
      <c r="E1840" s="7" t="n">
        <v>1761</v>
      </c>
      <c r="F1840" s="7" t="inlineStr">
        <is>
          <t>Yes</t>
        </is>
      </c>
      <c r="G1840" s="8" t="n"/>
    </row>
    <row r="1841">
      <c r="A1841" s="8" t="inlineStr">
        <is>
          <t>PGCV_0027_1762</t>
        </is>
      </c>
      <c r="B1841" s="8" t="inlineStr">
        <is>
          <t>COVID-SNL-22-74214</t>
        </is>
      </c>
      <c r="C1841" s="8" t="inlineStr">
        <is>
          <t>MFWHTQM2NM</t>
        </is>
      </c>
      <c r="D1841" s="7" t="n">
        <v>27</v>
      </c>
      <c r="E1841" s="7" t="n">
        <v>1762</v>
      </c>
      <c r="F1841" s="7" t="inlineStr">
        <is>
          <t>Yes</t>
        </is>
      </c>
      <c r="G1841" s="8" t="n"/>
    </row>
    <row r="1842">
      <c r="A1842" s="8" t="inlineStr">
        <is>
          <t>PGCV_0027_1763</t>
        </is>
      </c>
      <c r="B1842" s="8" t="inlineStr">
        <is>
          <t>COVID-SNL-22-74220</t>
        </is>
      </c>
      <c r="C1842" s="8" t="inlineStr">
        <is>
          <t>L9DOGPCG1W</t>
        </is>
      </c>
      <c r="D1842" s="7" t="n">
        <v>27</v>
      </c>
      <c r="E1842" s="7" t="n">
        <v>1763</v>
      </c>
      <c r="F1842" s="7" t="inlineStr">
        <is>
          <t>Yes</t>
        </is>
      </c>
      <c r="G1842" s="8" t="n"/>
    </row>
    <row r="1843">
      <c r="A1843" s="8" t="inlineStr">
        <is>
          <t>PGCV_0027_1764</t>
        </is>
      </c>
      <c r="B1843" s="8" t="inlineStr">
        <is>
          <t>COVID-SNL-22-74223</t>
        </is>
      </c>
      <c r="C1843" s="8" t="inlineStr">
        <is>
          <t>PRKFFG6UKU</t>
        </is>
      </c>
      <c r="D1843" s="7" t="n">
        <v>27</v>
      </c>
      <c r="E1843" s="7" t="n">
        <v>1764</v>
      </c>
      <c r="F1843" s="7" t="inlineStr">
        <is>
          <t>Yes</t>
        </is>
      </c>
      <c r="G1843" s="8" t="n"/>
    </row>
    <row r="1844">
      <c r="A1844" s="8" t="inlineStr">
        <is>
          <t>PGCV_0027_1765</t>
        </is>
      </c>
      <c r="B1844" s="8" t="inlineStr">
        <is>
          <t>COVID-SNL-22-74229</t>
        </is>
      </c>
      <c r="C1844" s="8" t="inlineStr">
        <is>
          <t>D1HV5FHFQF</t>
        </is>
      </c>
      <c r="D1844" s="7" t="n">
        <v>27</v>
      </c>
      <c r="E1844" s="7" t="n">
        <v>1765</v>
      </c>
      <c r="F1844" s="7" t="inlineStr">
        <is>
          <t>Yes</t>
        </is>
      </c>
      <c r="G1844" s="8" t="n"/>
    </row>
    <row r="1845">
      <c r="A1845" s="8" t="inlineStr">
        <is>
          <t>PGCV_0027_1766</t>
        </is>
      </c>
      <c r="B1845" s="8" t="inlineStr">
        <is>
          <t>COVID-SNL-22-74230</t>
        </is>
      </c>
      <c r="C1845" s="8" t="inlineStr">
        <is>
          <t>4IRWLLNFDM</t>
        </is>
      </c>
      <c r="D1845" s="7" t="n">
        <v>27</v>
      </c>
      <c r="E1845" s="7" t="n">
        <v>1766</v>
      </c>
      <c r="F1845" s="7" t="inlineStr">
        <is>
          <t>Yes</t>
        </is>
      </c>
      <c r="G1845" s="8" t="n"/>
    </row>
    <row r="1846">
      <c r="A1846" s="8" t="inlineStr">
        <is>
          <t>PGCV_0027_1767</t>
        </is>
      </c>
      <c r="B1846" s="8" t="inlineStr">
        <is>
          <t>COVID-SNL-22-74234</t>
        </is>
      </c>
      <c r="C1846" s="8" t="inlineStr">
        <is>
          <t>SFSELEIVMY</t>
        </is>
      </c>
      <c r="D1846" s="7" t="n">
        <v>27</v>
      </c>
      <c r="E1846" s="7" t="n">
        <v>1767</v>
      </c>
      <c r="F1846" s="7" t="inlineStr">
        <is>
          <t>Yes</t>
        </is>
      </c>
      <c r="G1846" s="8" t="n"/>
    </row>
    <row r="1847">
      <c r="A1847" s="8" t="inlineStr">
        <is>
          <t>PGCV_0027_1768</t>
        </is>
      </c>
      <c r="B1847" s="8" t="inlineStr">
        <is>
          <t>COVID-SNL-22-74239</t>
        </is>
      </c>
      <c r="C1847" s="8" t="inlineStr">
        <is>
          <t>DX0H1V1JEQ</t>
        </is>
      </c>
      <c r="D1847" s="7" t="n">
        <v>27</v>
      </c>
      <c r="E1847" s="7" t="n">
        <v>1768</v>
      </c>
      <c r="F1847" s="7" t="inlineStr">
        <is>
          <t>Yes</t>
        </is>
      </c>
      <c r="G1847" s="8" t="n"/>
    </row>
    <row r="1848">
      <c r="A1848" s="8" t="inlineStr">
        <is>
          <t>PGCV_0027_1769</t>
        </is>
      </c>
      <c r="B1848" s="8" t="inlineStr">
        <is>
          <t>COVID-SNL-22-74242</t>
        </is>
      </c>
      <c r="C1848" s="8" t="inlineStr">
        <is>
          <t>1N8JVSPQDI</t>
        </is>
      </c>
      <c r="D1848" s="7" t="n">
        <v>27</v>
      </c>
      <c r="E1848" s="7" t="n">
        <v>1769</v>
      </c>
      <c r="F1848" s="7" t="inlineStr">
        <is>
          <t>Yes</t>
        </is>
      </c>
      <c r="G1848" s="8" t="n"/>
    </row>
    <row r="1849">
      <c r="A1849" s="8" t="inlineStr">
        <is>
          <t>PGCV_0027_1770</t>
        </is>
      </c>
      <c r="B1849" s="8" t="inlineStr">
        <is>
          <t>COVID-SNL-22-74171</t>
        </is>
      </c>
      <c r="C1849" s="8" t="inlineStr">
        <is>
          <t>6UJPAG3XC5</t>
        </is>
      </c>
      <c r="D1849" s="7" t="n">
        <v>27</v>
      </c>
      <c r="E1849" s="7" t="n">
        <v>1770</v>
      </c>
      <c r="F1849" s="7" t="inlineStr">
        <is>
          <t>Yes</t>
        </is>
      </c>
      <c r="G1849" s="8" t="n"/>
    </row>
    <row r="1850">
      <c r="A1850" s="8" t="inlineStr">
        <is>
          <t>PGCV_0027_1771</t>
        </is>
      </c>
      <c r="B1850" s="8" t="inlineStr">
        <is>
          <t>COVID-SNL-22-74174</t>
        </is>
      </c>
      <c r="C1850" s="8" t="inlineStr">
        <is>
          <t>C5FNXHBGD3</t>
        </is>
      </c>
      <c r="D1850" s="7" t="n">
        <v>27</v>
      </c>
      <c r="E1850" s="7" t="n">
        <v>1771</v>
      </c>
      <c r="F1850" s="7" t="inlineStr">
        <is>
          <t>Yes</t>
        </is>
      </c>
      <c r="G1850" s="8" t="n"/>
    </row>
    <row r="1851">
      <c r="A1851" s="8" t="inlineStr">
        <is>
          <t>PGCV_0027_1772</t>
        </is>
      </c>
      <c r="B1851" s="8" t="inlineStr">
        <is>
          <t>COVID-SNL-22-74176</t>
        </is>
      </c>
      <c r="C1851" s="8" t="inlineStr">
        <is>
          <t>XXAD4XPJKU</t>
        </is>
      </c>
      <c r="D1851" s="7" t="n">
        <v>27</v>
      </c>
      <c r="E1851" s="7" t="n">
        <v>1772</v>
      </c>
      <c r="F1851" s="7" t="inlineStr">
        <is>
          <t>Yes</t>
        </is>
      </c>
      <c r="G1851" s="8" t="n"/>
    </row>
    <row r="1852">
      <c r="A1852" s="8" t="inlineStr">
        <is>
          <t>PGCV_0027_1773</t>
        </is>
      </c>
      <c r="B1852" s="8" t="inlineStr">
        <is>
          <t>COVID-SNL-22-74177</t>
        </is>
      </c>
      <c r="C1852" s="8" t="inlineStr">
        <is>
          <t>WPMP6MJYJN</t>
        </is>
      </c>
      <c r="D1852" s="7" t="n">
        <v>27</v>
      </c>
      <c r="E1852" s="7" t="n">
        <v>1773</v>
      </c>
      <c r="F1852" s="7" t="inlineStr">
        <is>
          <t>Yes</t>
        </is>
      </c>
      <c r="G1852" s="8" t="n"/>
    </row>
    <row r="1853">
      <c r="A1853" s="8" t="inlineStr">
        <is>
          <t>PGCV_0027_1774</t>
        </is>
      </c>
      <c r="B1853" s="8" t="inlineStr">
        <is>
          <t>COVID-SNL-22-74178</t>
        </is>
      </c>
      <c r="C1853" s="8" t="inlineStr">
        <is>
          <t>U6FWLOBPX4</t>
        </is>
      </c>
      <c r="D1853" s="7" t="n">
        <v>27</v>
      </c>
      <c r="E1853" s="7" t="n">
        <v>1774</v>
      </c>
      <c r="F1853" s="7" t="inlineStr">
        <is>
          <t>Yes</t>
        </is>
      </c>
      <c r="G1853" s="8" t="n"/>
    </row>
    <row r="1854">
      <c r="A1854" s="8" t="inlineStr">
        <is>
          <t>PGCV_0027_1775</t>
        </is>
      </c>
      <c r="B1854" s="8" t="inlineStr">
        <is>
          <t>COVID-SNL-22-74182</t>
        </is>
      </c>
      <c r="C1854" s="8" t="inlineStr">
        <is>
          <t>KKQJJD4XIT</t>
        </is>
      </c>
      <c r="D1854" s="7" t="n">
        <v>27</v>
      </c>
      <c r="E1854" s="7" t="n">
        <v>1775</v>
      </c>
      <c r="F1854" s="7" t="inlineStr">
        <is>
          <t>Yes</t>
        </is>
      </c>
      <c r="G1854" s="8" t="n"/>
    </row>
    <row r="1855">
      <c r="A1855" s="8" t="inlineStr">
        <is>
          <t>PGCV_0027_1776</t>
        </is>
      </c>
      <c r="B1855" s="8" t="inlineStr">
        <is>
          <t>COVID-SNL-22-74190</t>
        </is>
      </c>
      <c r="C1855" s="8" t="inlineStr">
        <is>
          <t>TNKGFFPTR2</t>
        </is>
      </c>
      <c r="D1855" s="7" t="n">
        <v>27</v>
      </c>
      <c r="E1855" s="7" t="n">
        <v>1776</v>
      </c>
      <c r="F1855" s="7" t="inlineStr">
        <is>
          <t>Yes</t>
        </is>
      </c>
      <c r="G1855" s="8" t="n"/>
    </row>
    <row r="1856">
      <c r="A1856" s="8" t="inlineStr">
        <is>
          <t>PGCV_0027_1777</t>
        </is>
      </c>
      <c r="B1856" s="8" t="inlineStr">
        <is>
          <t>COVID-SNL-22-74253</t>
        </is>
      </c>
      <c r="C1856" s="8" t="inlineStr">
        <is>
          <t>SB3WIX63TE</t>
        </is>
      </c>
      <c r="D1856" s="7" t="n">
        <v>27</v>
      </c>
      <c r="E1856" s="7" t="n">
        <v>1777</v>
      </c>
      <c r="F1856" s="7" t="inlineStr">
        <is>
          <t>Yes</t>
        </is>
      </c>
      <c r="G1856" s="8" t="n"/>
    </row>
    <row r="1857">
      <c r="A1857" s="8" t="inlineStr">
        <is>
          <t>PGCV_0027_1778</t>
        </is>
      </c>
      <c r="B1857" s="8" t="inlineStr">
        <is>
          <t>COVID-SNL-22-74254</t>
        </is>
      </c>
      <c r="C1857" s="8" t="inlineStr">
        <is>
          <t>NO6MNPY8ZW</t>
        </is>
      </c>
      <c r="D1857" s="7" t="n">
        <v>27</v>
      </c>
      <c r="E1857" s="7" t="n">
        <v>1778</v>
      </c>
      <c r="F1857" s="7" t="inlineStr">
        <is>
          <t>Yes</t>
        </is>
      </c>
      <c r="G1857" s="8" t="n"/>
    </row>
    <row r="1858">
      <c r="A1858" s="8" t="inlineStr">
        <is>
          <t>PGCV_0027_1779</t>
        </is>
      </c>
      <c r="B1858" s="8" t="inlineStr">
        <is>
          <t>COVID-SNL-22-74158</t>
        </is>
      </c>
      <c r="C1858" s="8" t="inlineStr">
        <is>
          <t>PYLDRS7GQS</t>
        </is>
      </c>
      <c r="D1858" s="7" t="n">
        <v>27</v>
      </c>
      <c r="E1858" s="7" t="n">
        <v>1779</v>
      </c>
      <c r="F1858" s="7" t="inlineStr">
        <is>
          <t>Yes</t>
        </is>
      </c>
      <c r="G1858" s="8" t="n"/>
    </row>
    <row r="1859">
      <c r="A1859" s="8" t="inlineStr">
        <is>
          <t>PGCV_0027_1780</t>
        </is>
      </c>
      <c r="B1859" s="8" t="inlineStr">
        <is>
          <t>COVID-SNL-22-74065</t>
        </is>
      </c>
      <c r="C1859" s="8" t="inlineStr">
        <is>
          <t>JXXAOEEE8N</t>
        </is>
      </c>
      <c r="D1859" s="7" t="n">
        <v>27</v>
      </c>
      <c r="E1859" s="7" t="n">
        <v>1780</v>
      </c>
      <c r="F1859" s="7" t="inlineStr">
        <is>
          <t>Yes</t>
        </is>
      </c>
      <c r="G1859" s="8" t="n"/>
    </row>
    <row r="1860">
      <c r="A1860" s="8" t="inlineStr">
        <is>
          <t>PGCV_0027_1781</t>
        </is>
      </c>
      <c r="B1860" s="8" t="inlineStr">
        <is>
          <t>COVID-SNL-22-74067</t>
        </is>
      </c>
      <c r="C1860" s="8" t="inlineStr">
        <is>
          <t>RMWSTC89MM</t>
        </is>
      </c>
      <c r="D1860" s="7" t="n">
        <v>27</v>
      </c>
      <c r="E1860" s="7" t="n">
        <v>1781</v>
      </c>
      <c r="F1860" s="7" t="inlineStr">
        <is>
          <t>Yes</t>
        </is>
      </c>
      <c r="G1860" s="8" t="n"/>
    </row>
    <row r="1861">
      <c r="A1861" s="8" t="inlineStr">
        <is>
          <t>PGCV_0027_1782</t>
        </is>
      </c>
      <c r="B1861" s="8" t="inlineStr">
        <is>
          <t>COVID-SNL-22-74068</t>
        </is>
      </c>
      <c r="C1861" s="8" t="inlineStr">
        <is>
          <t>YGTFNUPGO5</t>
        </is>
      </c>
      <c r="D1861" s="7" t="n">
        <v>27</v>
      </c>
      <c r="E1861" s="7" t="n">
        <v>1782</v>
      </c>
      <c r="F1861" s="7" t="inlineStr">
        <is>
          <t>Yes</t>
        </is>
      </c>
      <c r="G1861" s="8" t="n"/>
    </row>
    <row r="1862">
      <c r="A1862" s="8" t="inlineStr">
        <is>
          <t>PGCV_0027_1783</t>
        </is>
      </c>
      <c r="B1862" s="8" t="inlineStr">
        <is>
          <t>COVID-SNL-22-74076</t>
        </is>
      </c>
      <c r="C1862" s="8" t="inlineStr">
        <is>
          <t>UPOTEJL5W0</t>
        </is>
      </c>
      <c r="D1862" s="7" t="n">
        <v>27</v>
      </c>
      <c r="E1862" s="7" t="n">
        <v>1783</v>
      </c>
      <c r="F1862" s="7" t="inlineStr">
        <is>
          <t>Yes</t>
        </is>
      </c>
      <c r="G1862" s="8" t="n"/>
    </row>
    <row r="1863">
      <c r="A1863" s="8" t="inlineStr">
        <is>
          <t>PGCV_0027_1784</t>
        </is>
      </c>
      <c r="B1863" s="8" t="inlineStr">
        <is>
          <t>COVID-SNL-22-74084</t>
        </is>
      </c>
      <c r="C1863" s="8" t="inlineStr">
        <is>
          <t>EQCY5EIN80</t>
        </is>
      </c>
      <c r="D1863" s="7" t="n">
        <v>27</v>
      </c>
      <c r="E1863" s="7" t="n">
        <v>1784</v>
      </c>
      <c r="F1863" s="7" t="inlineStr">
        <is>
          <t>Yes</t>
        </is>
      </c>
      <c r="G1863" s="8" t="n"/>
    </row>
    <row r="1864">
      <c r="A1864" s="8" t="inlineStr">
        <is>
          <t>PGCV_0027_1785</t>
        </is>
      </c>
      <c r="B1864" s="8" t="inlineStr">
        <is>
          <t>COVID-SNL-22-74090</t>
        </is>
      </c>
      <c r="C1864" s="8" t="inlineStr">
        <is>
          <t>U4C6NWXN93</t>
        </is>
      </c>
      <c r="D1864" s="7" t="n">
        <v>27</v>
      </c>
      <c r="E1864" s="7" t="n">
        <v>1785</v>
      </c>
      <c r="F1864" s="7" t="inlineStr">
        <is>
          <t>Yes</t>
        </is>
      </c>
      <c r="G1864" s="8" t="n"/>
    </row>
    <row r="1865">
      <c r="A1865" s="8" t="inlineStr">
        <is>
          <t>PGCV_0027_1786</t>
        </is>
      </c>
      <c r="B1865" s="8" t="inlineStr">
        <is>
          <t>COVID-SNL-22-74095</t>
        </is>
      </c>
      <c r="C1865" s="8" t="inlineStr">
        <is>
          <t>ODUFIBFZ3Y</t>
        </is>
      </c>
      <c r="D1865" s="7" t="n">
        <v>27</v>
      </c>
      <c r="E1865" s="7" t="n">
        <v>1786</v>
      </c>
      <c r="F1865" s="7" t="inlineStr">
        <is>
          <t>Yes</t>
        </is>
      </c>
      <c r="G1865" s="8" t="n"/>
    </row>
    <row r="1866">
      <c r="A1866" s="8" t="inlineStr">
        <is>
          <t>PGCV_0027_1787</t>
        </is>
      </c>
      <c r="B1866" s="8" t="inlineStr">
        <is>
          <t>COVID-SNL-22-74096</t>
        </is>
      </c>
      <c r="C1866" s="8" t="inlineStr">
        <is>
          <t>YOOOLQZ5KY</t>
        </is>
      </c>
      <c r="D1866" s="7" t="n">
        <v>27</v>
      </c>
      <c r="E1866" s="7" t="n">
        <v>1787</v>
      </c>
      <c r="F1866" s="7" t="inlineStr">
        <is>
          <t>Yes</t>
        </is>
      </c>
      <c r="G1866" s="8" t="n"/>
    </row>
    <row r="1867">
      <c r="A1867" s="8" t="inlineStr">
        <is>
          <t>PGCV_0027_1788</t>
        </is>
      </c>
      <c r="B1867" s="8" t="inlineStr">
        <is>
          <t>COVID-SNL-22-74105</t>
        </is>
      </c>
      <c r="C1867" s="8" t="inlineStr">
        <is>
          <t>73NLOPYJVX</t>
        </is>
      </c>
      <c r="D1867" s="7" t="n">
        <v>27</v>
      </c>
      <c r="E1867" s="7" t="n">
        <v>1788</v>
      </c>
      <c r="F1867" s="7" t="inlineStr">
        <is>
          <t>Yes</t>
        </is>
      </c>
      <c r="G1867" s="8" t="n"/>
    </row>
    <row r="1868">
      <c r="A1868" s="8" t="inlineStr">
        <is>
          <t>PGCV_0027_1789</t>
        </is>
      </c>
      <c r="B1868" s="8" t="inlineStr">
        <is>
          <t>COVID-SNL-22-74106</t>
        </is>
      </c>
      <c r="C1868" s="8" t="inlineStr">
        <is>
          <t>HYUUSBRV2A</t>
        </is>
      </c>
      <c r="D1868" s="7" t="n">
        <v>27</v>
      </c>
      <c r="E1868" s="7" t="n">
        <v>1789</v>
      </c>
      <c r="F1868" s="7" t="inlineStr">
        <is>
          <t>Yes</t>
        </is>
      </c>
      <c r="G1868" s="8" t="n"/>
    </row>
    <row r="1869">
      <c r="A1869" s="8" t="inlineStr">
        <is>
          <t>PGCV_0027_1790</t>
        </is>
      </c>
      <c r="B1869" s="8" t="inlineStr">
        <is>
          <t>COVID-SNL-22-74107</t>
        </is>
      </c>
      <c r="C1869" s="8" t="inlineStr">
        <is>
          <t>FM0PN4YEEE</t>
        </is>
      </c>
      <c r="D1869" s="7" t="n">
        <v>27</v>
      </c>
      <c r="E1869" s="7" t="n">
        <v>1790</v>
      </c>
      <c r="F1869" s="7" t="inlineStr">
        <is>
          <t>Yes</t>
        </is>
      </c>
      <c r="G1869" s="8" t="n"/>
    </row>
    <row r="1870">
      <c r="A1870" s="8" t="inlineStr">
        <is>
          <t>PGCV_0027_1791</t>
        </is>
      </c>
      <c r="B1870" s="8" t="inlineStr">
        <is>
          <t>COVID-SNL-22-74108</t>
        </is>
      </c>
      <c r="C1870" s="8" t="inlineStr">
        <is>
          <t>HEARETLW3Q</t>
        </is>
      </c>
      <c r="D1870" s="7" t="n">
        <v>27</v>
      </c>
      <c r="E1870" s="7" t="n">
        <v>1791</v>
      </c>
      <c r="F1870" s="7" t="inlineStr">
        <is>
          <t>Yes</t>
        </is>
      </c>
      <c r="G1870" s="8" t="n"/>
    </row>
    <row r="1871">
      <c r="A1871" s="8" t="inlineStr">
        <is>
          <t>PGCV_0027_1792</t>
        </is>
      </c>
      <c r="B1871" s="8" t="inlineStr">
        <is>
          <t>COVID-SNL-22-74109</t>
        </is>
      </c>
      <c r="C1871" s="8" t="inlineStr">
        <is>
          <t>PQYYPDSLBC</t>
        </is>
      </c>
      <c r="D1871" s="7" t="n">
        <v>27</v>
      </c>
      <c r="E1871" s="7" t="n">
        <v>1792</v>
      </c>
      <c r="F1871" s="7" t="inlineStr">
        <is>
          <t>Yes</t>
        </is>
      </c>
      <c r="G1871" s="8" t="n"/>
    </row>
    <row r="1872">
      <c r="A1872" s="8" t="inlineStr">
        <is>
          <t>PGCV_0027_1793</t>
        </is>
      </c>
      <c r="B1872" s="8" t="inlineStr">
        <is>
          <t>COVID-SNL-22-74114</t>
        </is>
      </c>
      <c r="C1872" s="8" t="inlineStr">
        <is>
          <t>FOWRUSHQIR</t>
        </is>
      </c>
      <c r="D1872" s="7" t="n">
        <v>27</v>
      </c>
      <c r="E1872" s="7" t="n">
        <v>1793</v>
      </c>
      <c r="F1872" s="7" t="inlineStr">
        <is>
          <t>Yes</t>
        </is>
      </c>
      <c r="G1872" s="8" t="n"/>
    </row>
    <row r="1873">
      <c r="A1873" s="8" t="inlineStr">
        <is>
          <t>PGCV_0027_1794</t>
        </is>
      </c>
      <c r="B1873" s="8" t="inlineStr">
        <is>
          <t>COVID-SNL-22-74136</t>
        </is>
      </c>
      <c r="C1873" s="8" t="inlineStr">
        <is>
          <t>Z6WO44LFT9</t>
        </is>
      </c>
      <c r="D1873" s="7" t="n">
        <v>27</v>
      </c>
      <c r="E1873" s="7" t="n">
        <v>1794</v>
      </c>
      <c r="F1873" s="7" t="inlineStr">
        <is>
          <t>Yes</t>
        </is>
      </c>
      <c r="G1873" s="8" t="n"/>
    </row>
    <row r="1874">
      <c r="A1874" s="8" t="inlineStr">
        <is>
          <t>PGCV_0027_1795</t>
        </is>
      </c>
      <c r="B1874" s="8" t="inlineStr">
        <is>
          <t>COVID-SNL-22-74292</t>
        </is>
      </c>
      <c r="C1874" s="8" t="inlineStr">
        <is>
          <t>TYX3UJXRMB</t>
        </is>
      </c>
      <c r="D1874" s="7" t="n">
        <v>27</v>
      </c>
      <c r="E1874" s="7" t="n">
        <v>1795</v>
      </c>
      <c r="F1874" s="7" t="inlineStr">
        <is>
          <t>Yes</t>
        </is>
      </c>
      <c r="G1874" s="8" t="n"/>
    </row>
    <row r="1875">
      <c r="A1875" s="8" t="inlineStr">
        <is>
          <t>PGCV_0027_1796</t>
        </is>
      </c>
      <c r="B1875" s="8" t="inlineStr">
        <is>
          <t>COVID-SNL-22-74356</t>
        </is>
      </c>
      <c r="C1875" s="8" t="inlineStr">
        <is>
          <t>8WJKRT8UFD</t>
        </is>
      </c>
      <c r="D1875" s="7" t="n">
        <v>27</v>
      </c>
      <c r="E1875" s="7" t="n">
        <v>1796</v>
      </c>
      <c r="F1875" s="7" t="inlineStr">
        <is>
          <t>Yes</t>
        </is>
      </c>
      <c r="G1875" s="8" t="n"/>
    </row>
    <row r="1876">
      <c r="A1876" s="8" t="inlineStr">
        <is>
          <t>PGCV_0027_1797</t>
        </is>
      </c>
      <c r="B1876" s="8" t="inlineStr">
        <is>
          <t>COVID-SNL-22-74419</t>
        </is>
      </c>
      <c r="C1876" s="8" t="inlineStr">
        <is>
          <t>QUTWVZUIW7</t>
        </is>
      </c>
      <c r="D1876" s="7" t="n">
        <v>27</v>
      </c>
      <c r="E1876" s="7" t="n">
        <v>1797</v>
      </c>
      <c r="F1876" s="7" t="inlineStr">
        <is>
          <t>Yes</t>
        </is>
      </c>
      <c r="G1876" s="8" t="n"/>
    </row>
    <row r="1877">
      <c r="A1877" s="8" t="inlineStr">
        <is>
          <t>PGCV_0027_1798</t>
        </is>
      </c>
      <c r="B1877" s="8" t="inlineStr">
        <is>
          <t>COVID-SNL-22-74425</t>
        </is>
      </c>
      <c r="C1877" s="8" t="inlineStr">
        <is>
          <t>HJ3HQZO6B9</t>
        </is>
      </c>
      <c r="D1877" s="7" t="n">
        <v>27</v>
      </c>
      <c r="E1877" s="7" t="n">
        <v>1798</v>
      </c>
      <c r="F1877" s="7" t="inlineStr">
        <is>
          <t>Yes</t>
        </is>
      </c>
      <c r="G1877" s="8" t="n"/>
    </row>
    <row r="1878">
      <c r="A1878" s="8" t="inlineStr">
        <is>
          <t>PGCV_0027_1799</t>
        </is>
      </c>
      <c r="B1878" s="8" t="inlineStr">
        <is>
          <t>COVID-SNL-22-74437</t>
        </is>
      </c>
      <c r="C1878" s="8" t="inlineStr">
        <is>
          <t>CYJFAYAZUD</t>
        </is>
      </c>
      <c r="D1878" s="7" t="n">
        <v>27</v>
      </c>
      <c r="E1878" s="7" t="n">
        <v>1799</v>
      </c>
      <c r="F1878" s="7" t="inlineStr">
        <is>
          <t>Yes</t>
        </is>
      </c>
      <c r="G1878" s="8" t="n"/>
    </row>
    <row r="1879">
      <c r="A1879" s="8" t="inlineStr">
        <is>
          <t>PGCV_0027_1800</t>
        </is>
      </c>
      <c r="B1879" s="8" t="inlineStr">
        <is>
          <t>COVID-SNL-22-74442</t>
        </is>
      </c>
      <c r="C1879" s="8" t="inlineStr">
        <is>
          <t>FRIMSDZLW0</t>
        </is>
      </c>
      <c r="D1879" s="7" t="n">
        <v>27</v>
      </c>
      <c r="E1879" s="7" t="n">
        <v>1800</v>
      </c>
      <c r="F1879" s="7" t="inlineStr">
        <is>
          <t>Yes</t>
        </is>
      </c>
      <c r="G1879" s="8" t="n"/>
    </row>
    <row r="1880">
      <c r="A1880" s="8" t="inlineStr">
        <is>
          <t>PGCV_0027_1801</t>
        </is>
      </c>
      <c r="B1880" s="8" t="inlineStr">
        <is>
          <t>COVID-SNL-22-74485</t>
        </is>
      </c>
      <c r="C1880" s="8" t="inlineStr">
        <is>
          <t>JZXV66YWYW</t>
        </is>
      </c>
      <c r="D1880" s="7" t="n">
        <v>27</v>
      </c>
      <c r="E1880" s="7" t="n">
        <v>1801</v>
      </c>
      <c r="F1880" s="7" t="inlineStr">
        <is>
          <t>Yes</t>
        </is>
      </c>
      <c r="G1880" s="8" t="n"/>
    </row>
    <row r="1881">
      <c r="A1881" s="8" t="inlineStr">
        <is>
          <t>PGCV_0027_1802</t>
        </is>
      </c>
      <c r="B1881" s="8" t="inlineStr">
        <is>
          <t>COVID-SNL-22-74508</t>
        </is>
      </c>
      <c r="C1881" s="8" t="inlineStr">
        <is>
          <t>WXORW5FFEG</t>
        </is>
      </c>
      <c r="D1881" s="7" t="n">
        <v>27</v>
      </c>
      <c r="E1881" s="7" t="n">
        <v>1802</v>
      </c>
      <c r="F1881" s="7" t="inlineStr">
        <is>
          <t>Yes</t>
        </is>
      </c>
      <c r="G1881" s="8" t="n"/>
    </row>
    <row r="1882">
      <c r="A1882" s="8" t="inlineStr">
        <is>
          <t>PGCV_0027_1803</t>
        </is>
      </c>
      <c r="B1882" s="8" t="inlineStr">
        <is>
          <t>COVID-SNL-22-74516</t>
        </is>
      </c>
      <c r="C1882" s="8" t="inlineStr">
        <is>
          <t>FZPYK3R9MG</t>
        </is>
      </c>
      <c r="D1882" s="7" t="n">
        <v>27</v>
      </c>
      <c r="E1882" s="7" t="n">
        <v>1803</v>
      </c>
      <c r="F1882" s="7" t="inlineStr">
        <is>
          <t>Yes</t>
        </is>
      </c>
      <c r="G1882" s="8" t="n"/>
    </row>
    <row r="1883">
      <c r="A1883" s="8" t="inlineStr">
        <is>
          <t>PGCV_0027_1804</t>
        </is>
      </c>
      <c r="B1883" s="8" t="inlineStr">
        <is>
          <t>COVID-SNL-22-74521</t>
        </is>
      </c>
      <c r="C1883" s="8" t="inlineStr">
        <is>
          <t>NWQ55WTJOB</t>
        </is>
      </c>
      <c r="D1883" s="7" t="n">
        <v>27</v>
      </c>
      <c r="E1883" s="7" t="n">
        <v>1804</v>
      </c>
      <c r="F1883" s="7" t="inlineStr">
        <is>
          <t>Yes</t>
        </is>
      </c>
      <c r="G1883" s="8" t="n"/>
    </row>
    <row r="1884">
      <c r="A1884" s="8" t="inlineStr">
        <is>
          <t>PGCV_0027_1805</t>
        </is>
      </c>
      <c r="B1884" s="8" t="inlineStr">
        <is>
          <t>COVID-SNL-22-74678</t>
        </is>
      </c>
      <c r="C1884" s="8" t="inlineStr">
        <is>
          <t>OKB7DHMZI4</t>
        </is>
      </c>
      <c r="D1884" s="7" t="n">
        <v>27</v>
      </c>
      <c r="E1884" s="7" t="n">
        <v>1805</v>
      </c>
      <c r="F1884" s="7" t="inlineStr">
        <is>
          <t>Yes</t>
        </is>
      </c>
      <c r="G1884" s="8" t="n"/>
    </row>
    <row r="1885">
      <c r="A1885" s="8" t="inlineStr">
        <is>
          <t>PGCV_0027_1806</t>
        </is>
      </c>
      <c r="B1885" s="8" t="inlineStr">
        <is>
          <t>COVID-SNL-22-74680</t>
        </is>
      </c>
      <c r="C1885" s="8" t="inlineStr">
        <is>
          <t>QB42PDYHAR</t>
        </is>
      </c>
      <c r="D1885" s="7" t="n">
        <v>27</v>
      </c>
      <c r="E1885" s="7" t="n">
        <v>1806</v>
      </c>
      <c r="F1885" s="7" t="inlineStr">
        <is>
          <t>Yes</t>
        </is>
      </c>
      <c r="G1885" s="8" t="n"/>
    </row>
    <row r="1886">
      <c r="A1886" s="8" t="inlineStr">
        <is>
          <t>PGCV_0027_1807</t>
        </is>
      </c>
      <c r="B1886" s="8" t="inlineStr">
        <is>
          <t>COVID-SNL-22-74682</t>
        </is>
      </c>
      <c r="C1886" s="8" t="inlineStr">
        <is>
          <t>RCGJ03RKMZ</t>
        </is>
      </c>
      <c r="D1886" s="7" t="n">
        <v>27</v>
      </c>
      <c r="E1886" s="7" t="n">
        <v>1807</v>
      </c>
      <c r="F1886" s="7" t="inlineStr">
        <is>
          <t>Yes</t>
        </is>
      </c>
      <c r="G1886" s="8" t="n"/>
    </row>
    <row r="1887">
      <c r="A1887" s="8" t="inlineStr">
        <is>
          <t>PGCV_0027_1808</t>
        </is>
      </c>
      <c r="B1887" s="8" t="inlineStr">
        <is>
          <t>COVID-SNL-22-74687</t>
        </is>
      </c>
      <c r="C1887" s="8" t="inlineStr">
        <is>
          <t>BR2XZJLLBD</t>
        </is>
      </c>
      <c r="D1887" s="7" t="n">
        <v>27</v>
      </c>
      <c r="E1887" s="7" t="n">
        <v>1808</v>
      </c>
      <c r="F1887" s="7" t="inlineStr">
        <is>
          <t>Yes</t>
        </is>
      </c>
      <c r="G1887" s="8" t="n"/>
    </row>
    <row r="1888">
      <c r="A1888" s="8" t="inlineStr">
        <is>
          <t>PGCV_0027_1809</t>
        </is>
      </c>
      <c r="B1888" s="8" t="inlineStr">
        <is>
          <t>COVID-SNL-22-74535</t>
        </is>
      </c>
      <c r="C1888" s="8" t="inlineStr">
        <is>
          <t>ABBPKIET6T</t>
        </is>
      </c>
      <c r="D1888" s="7" t="n">
        <v>27</v>
      </c>
      <c r="E1888" s="7" t="n">
        <v>1809</v>
      </c>
      <c r="F1888" s="7" t="inlineStr">
        <is>
          <t>Yes</t>
        </is>
      </c>
      <c r="G1888" s="8" t="n"/>
    </row>
    <row r="1889">
      <c r="A1889" s="8" t="inlineStr">
        <is>
          <t>PGCV_0027_1810</t>
        </is>
      </c>
      <c r="B1889" s="8" t="inlineStr">
        <is>
          <t>COVID-SNL-22-74554</t>
        </is>
      </c>
      <c r="C1889" s="8" t="inlineStr">
        <is>
          <t>DC9OQAKNYV</t>
        </is>
      </c>
      <c r="D1889" s="7" t="n">
        <v>27</v>
      </c>
      <c r="E1889" s="7" t="n">
        <v>1810</v>
      </c>
      <c r="F1889" s="7" t="inlineStr">
        <is>
          <t>Yes</t>
        </is>
      </c>
      <c r="G1889" s="8" t="n"/>
    </row>
    <row r="1890">
      <c r="A1890" s="8" t="inlineStr">
        <is>
          <t>PGCV_0027_1811</t>
        </is>
      </c>
      <c r="B1890" s="8" t="inlineStr">
        <is>
          <t>COVID-SNL-22-74569</t>
        </is>
      </c>
      <c r="C1890" s="8" t="inlineStr">
        <is>
          <t>EFNXSVOKBU</t>
        </is>
      </c>
      <c r="D1890" s="7" t="n">
        <v>27</v>
      </c>
      <c r="E1890" s="7" t="n">
        <v>1811</v>
      </c>
      <c r="F1890" s="7" t="inlineStr">
        <is>
          <t>Yes</t>
        </is>
      </c>
      <c r="G1890" s="8" t="n"/>
    </row>
    <row r="1891">
      <c r="A1891" s="8" t="inlineStr">
        <is>
          <t>PGCV_0027_1812</t>
        </is>
      </c>
      <c r="B1891" s="8" t="inlineStr">
        <is>
          <t>COVID-SNL-22-74571</t>
        </is>
      </c>
      <c r="C1891" s="8" t="inlineStr">
        <is>
          <t>MEZJSELVY3</t>
        </is>
      </c>
      <c r="D1891" s="7" t="n">
        <v>27</v>
      </c>
      <c r="E1891" s="7" t="n">
        <v>1812</v>
      </c>
      <c r="F1891" s="7" t="inlineStr">
        <is>
          <t>Yes</t>
        </is>
      </c>
      <c r="G1891" s="8" t="n"/>
    </row>
    <row r="1892">
      <c r="A1892" s="8" t="inlineStr">
        <is>
          <t>PGCV_0027_1813</t>
        </is>
      </c>
      <c r="B1892" s="8" t="inlineStr">
        <is>
          <t>COVID-SNL-22-74581</t>
        </is>
      </c>
      <c r="C1892" s="8" t="inlineStr">
        <is>
          <t>LN6BZSNNK3</t>
        </is>
      </c>
      <c r="D1892" s="7" t="n">
        <v>27</v>
      </c>
      <c r="E1892" s="7" t="n">
        <v>1813</v>
      </c>
      <c r="F1892" s="7" t="inlineStr">
        <is>
          <t>Yes</t>
        </is>
      </c>
      <c r="G1892" s="8" t="n"/>
    </row>
    <row r="1893">
      <c r="A1893" s="8" t="inlineStr">
        <is>
          <t>PGCV_0027_1814</t>
        </is>
      </c>
      <c r="B1893" s="8" t="inlineStr">
        <is>
          <t>COVID-SNL-22-74583</t>
        </is>
      </c>
      <c r="C1893" s="8" t="inlineStr">
        <is>
          <t>H5EDXTEFTT</t>
        </is>
      </c>
      <c r="D1893" s="7" t="n">
        <v>27</v>
      </c>
      <c r="E1893" s="7" t="n">
        <v>1814</v>
      </c>
      <c r="F1893" s="7" t="inlineStr">
        <is>
          <t>Yes</t>
        </is>
      </c>
      <c r="G1893" s="8" t="n"/>
    </row>
    <row r="1894">
      <c r="A1894" s="8" t="inlineStr">
        <is>
          <t>PGCV_0027_1815</t>
        </is>
      </c>
      <c r="B1894" s="8" t="inlineStr">
        <is>
          <t>COVID-SNL-22-74585</t>
        </is>
      </c>
      <c r="C1894" s="8" t="inlineStr">
        <is>
          <t>0FNYCIO78Q</t>
        </is>
      </c>
      <c r="D1894" s="7" t="n">
        <v>27</v>
      </c>
      <c r="E1894" s="7" t="n">
        <v>1815</v>
      </c>
      <c r="F1894" s="7" t="inlineStr">
        <is>
          <t>Yes</t>
        </is>
      </c>
      <c r="G1894" s="8" t="n"/>
    </row>
    <row r="1895">
      <c r="A1895" s="8" t="inlineStr">
        <is>
          <t>PGCV_0027_1816</t>
        </is>
      </c>
      <c r="B1895" s="8" t="inlineStr">
        <is>
          <t>COVID-SNL-22-74589</t>
        </is>
      </c>
      <c r="C1895" s="8" t="inlineStr">
        <is>
          <t>2HLAKKA1YZ</t>
        </is>
      </c>
      <c r="D1895" s="7" t="n">
        <v>27</v>
      </c>
      <c r="E1895" s="7" t="n">
        <v>1816</v>
      </c>
      <c r="F1895" s="7" t="inlineStr">
        <is>
          <t>Yes</t>
        </is>
      </c>
      <c r="G1895" s="8" t="n"/>
    </row>
    <row r="1896">
      <c r="A1896" s="8" t="inlineStr">
        <is>
          <t>PGCV_0027_1817</t>
        </is>
      </c>
      <c r="B1896" s="8" t="inlineStr">
        <is>
          <t>COVID-SNL-22-74590</t>
        </is>
      </c>
      <c r="C1896" s="8" t="inlineStr">
        <is>
          <t>7CA4HMJZOX</t>
        </is>
      </c>
      <c r="D1896" s="7" t="n">
        <v>27</v>
      </c>
      <c r="E1896" s="7" t="n">
        <v>1817</v>
      </c>
      <c r="F1896" s="7" t="inlineStr">
        <is>
          <t>Yes</t>
        </is>
      </c>
      <c r="G1896" s="8" t="n"/>
    </row>
    <row r="1897">
      <c r="A1897" s="8" t="inlineStr">
        <is>
          <t>PGCV_0027_1818</t>
        </is>
      </c>
      <c r="B1897" s="8" t="inlineStr">
        <is>
          <t>COVID-SNL-22-74592</t>
        </is>
      </c>
      <c r="C1897" s="8" t="inlineStr">
        <is>
          <t>REPNA8QHCA</t>
        </is>
      </c>
      <c r="D1897" s="7" t="n">
        <v>27</v>
      </c>
      <c r="E1897" s="7" t="n">
        <v>1818</v>
      </c>
      <c r="F1897" s="7" t="inlineStr">
        <is>
          <t>Yes</t>
        </is>
      </c>
      <c r="G1897" s="8" t="n"/>
    </row>
    <row r="1898">
      <c r="A1898" s="8" t="inlineStr">
        <is>
          <t>PGCV_0027_1819</t>
        </is>
      </c>
      <c r="B1898" s="8" t="inlineStr">
        <is>
          <t>COVID-SNL-22-74597</t>
        </is>
      </c>
      <c r="C1898" s="8" t="inlineStr">
        <is>
          <t>FVTHMF3D3H</t>
        </is>
      </c>
      <c r="D1898" s="7" t="n">
        <v>27</v>
      </c>
      <c r="E1898" s="7" t="n">
        <v>1819</v>
      </c>
      <c r="F1898" s="7" t="inlineStr">
        <is>
          <t>Yes</t>
        </is>
      </c>
      <c r="G1898" s="8" t="n"/>
    </row>
    <row r="1899">
      <c r="A1899" s="8" t="inlineStr">
        <is>
          <t>PGCV_0027_1820</t>
        </is>
      </c>
      <c r="B1899" s="8" t="inlineStr">
        <is>
          <t>COVID-SNL-22-74644</t>
        </is>
      </c>
      <c r="C1899" s="8" t="inlineStr">
        <is>
          <t>WS84C5EENH</t>
        </is>
      </c>
      <c r="D1899" s="7" t="n">
        <v>27</v>
      </c>
      <c r="E1899" s="7" t="n">
        <v>1820</v>
      </c>
      <c r="F1899" s="7" t="inlineStr">
        <is>
          <t>Yes</t>
        </is>
      </c>
      <c r="G1899" s="8" t="n"/>
    </row>
    <row r="1900">
      <c r="A1900" s="8" t="inlineStr">
        <is>
          <t>PGCV_0027_1821</t>
        </is>
      </c>
      <c r="B1900" s="8" t="inlineStr">
        <is>
          <t>COVID-SNL-22-74657</t>
        </is>
      </c>
      <c r="C1900" s="8" t="inlineStr">
        <is>
          <t>ZDRRVBG2WV</t>
        </is>
      </c>
      <c r="D1900" s="7" t="n">
        <v>27</v>
      </c>
      <c r="E1900" s="7" t="n">
        <v>1821</v>
      </c>
      <c r="F1900" s="7" t="inlineStr">
        <is>
          <t>Yes</t>
        </is>
      </c>
      <c r="G1900" s="8" t="n"/>
    </row>
    <row r="1901">
      <c r="A1901" s="8" t="inlineStr">
        <is>
          <t>PGCV_0027_1822</t>
        </is>
      </c>
      <c r="B1901" s="8" t="inlineStr">
        <is>
          <t>COVID-SNL-22-74661</t>
        </is>
      </c>
      <c r="C1901" s="8" t="inlineStr">
        <is>
          <t>KGQW0U9DY0</t>
        </is>
      </c>
      <c r="D1901" s="7" t="n">
        <v>27</v>
      </c>
      <c r="E1901" s="7" t="n">
        <v>1822</v>
      </c>
      <c r="F1901" s="7" t="inlineStr">
        <is>
          <t>Yes</t>
        </is>
      </c>
      <c r="G1901" s="8" t="n"/>
    </row>
    <row r="1902">
      <c r="A1902" s="8" t="inlineStr">
        <is>
          <t>PGCV_0027_1823</t>
        </is>
      </c>
      <c r="B1902" s="8" t="inlineStr">
        <is>
          <t>COVID-SNL-22-74662</t>
        </is>
      </c>
      <c r="C1902" s="8" t="inlineStr">
        <is>
          <t>AATD1KUQMX</t>
        </is>
      </c>
      <c r="D1902" s="7" t="n">
        <v>27</v>
      </c>
      <c r="E1902" s="7" t="n">
        <v>1823</v>
      </c>
      <c r="F1902" s="7" t="inlineStr">
        <is>
          <t>Yes</t>
        </is>
      </c>
      <c r="G1902" s="8" t="n"/>
    </row>
    <row r="1903">
      <c r="A1903" s="8" t="inlineStr">
        <is>
          <t>PGCV_0027_1824</t>
        </is>
      </c>
      <c r="B1903" s="8" t="inlineStr">
        <is>
          <t>COVID-SNL-22-74664</t>
        </is>
      </c>
      <c r="C1903" s="8" t="inlineStr">
        <is>
          <t>UJ9KEQ0COF</t>
        </is>
      </c>
      <c r="D1903" s="7" t="n">
        <v>27</v>
      </c>
      <c r="E1903" s="7" t="n">
        <v>1824</v>
      </c>
      <c r="F1903" s="7" t="inlineStr">
        <is>
          <t>Yes</t>
        </is>
      </c>
      <c r="G1903" s="8" t="n"/>
    </row>
    <row r="1904">
      <c r="A1904" s="8" t="inlineStr">
        <is>
          <t>PGCV_0027_1825</t>
        </is>
      </c>
      <c r="B1904" s="8" t="inlineStr">
        <is>
          <t>COVID-SNL-22-74667</t>
        </is>
      </c>
      <c r="C1904" s="8" t="inlineStr">
        <is>
          <t>GGGYAGSUGH</t>
        </is>
      </c>
      <c r="D1904" s="7" t="n">
        <v>27</v>
      </c>
      <c r="E1904" s="7" t="n">
        <v>1825</v>
      </c>
      <c r="F1904" s="7" t="inlineStr">
        <is>
          <t>Yes</t>
        </is>
      </c>
      <c r="G1904" s="8" t="n"/>
    </row>
    <row r="1905">
      <c r="A1905" s="8" t="inlineStr">
        <is>
          <t>PGCV_0027_1826</t>
        </is>
      </c>
      <c r="B1905" s="8" t="inlineStr">
        <is>
          <t>COVID-SNL-22-74669</t>
        </is>
      </c>
      <c r="C1905" s="8" t="inlineStr">
        <is>
          <t>QOMQAWCFIN</t>
        </is>
      </c>
      <c r="D1905" s="7" t="n">
        <v>27</v>
      </c>
      <c r="E1905" s="7" t="n">
        <v>1826</v>
      </c>
      <c r="F1905" s="7" t="inlineStr">
        <is>
          <t>Yes</t>
        </is>
      </c>
      <c r="G1905" s="8" t="n"/>
    </row>
    <row r="1906">
      <c r="A1906" s="8" t="inlineStr">
        <is>
          <t>PGCV_0027_1827</t>
        </is>
      </c>
      <c r="B1906" s="8" t="inlineStr">
        <is>
          <t>COVID-SNL-22-74737</t>
        </is>
      </c>
      <c r="C1906" s="8" t="inlineStr">
        <is>
          <t>CJAKL8X7XN</t>
        </is>
      </c>
      <c r="D1906" s="7" t="n">
        <v>27</v>
      </c>
      <c r="E1906" s="7" t="n">
        <v>1827</v>
      </c>
      <c r="F1906" s="7" t="inlineStr">
        <is>
          <t>Yes</t>
        </is>
      </c>
      <c r="G1906" s="8" t="n"/>
    </row>
    <row r="1907">
      <c r="A1907" s="8" t="inlineStr">
        <is>
          <t>PGCV_0027_1828</t>
        </is>
      </c>
      <c r="B1907" s="8" t="inlineStr">
        <is>
          <t>COVID-SNL-22-74742</t>
        </is>
      </c>
      <c r="C1907" s="8" t="inlineStr">
        <is>
          <t>HLVZFVQUND</t>
        </is>
      </c>
      <c r="D1907" s="7" t="n">
        <v>27</v>
      </c>
      <c r="E1907" s="7" t="n">
        <v>1828</v>
      </c>
      <c r="F1907" s="7" t="inlineStr">
        <is>
          <t>No</t>
        </is>
      </c>
      <c r="G1907" s="8" t="n"/>
    </row>
    <row r="1908">
      <c r="A1908" s="8" t="inlineStr">
        <is>
          <t>PGCV_0027_1829</t>
        </is>
      </c>
      <c r="B1908" s="8" t="inlineStr">
        <is>
          <t>COVID-SNL-22-74509</t>
        </is>
      </c>
      <c r="C1908" s="8" t="inlineStr">
        <is>
          <t>HPIY82I2C6</t>
        </is>
      </c>
      <c r="D1908" s="7" t="n">
        <v>27</v>
      </c>
      <c r="E1908" s="7" t="n">
        <v>1829</v>
      </c>
      <c r="F1908" s="7" t="inlineStr">
        <is>
          <t>Yes</t>
        </is>
      </c>
      <c r="G1908" s="8" t="n"/>
    </row>
    <row r="1909">
      <c r="A1909" s="8" t="inlineStr">
        <is>
          <t>PGCV_0027_1830</t>
        </is>
      </c>
      <c r="B1909" s="8" t="inlineStr">
        <is>
          <t>COVID-SNL-22-74793</t>
        </is>
      </c>
      <c r="C1909" s="8" t="inlineStr">
        <is>
          <t>JUUKKLUWSM</t>
        </is>
      </c>
      <c r="D1909" s="7" t="n">
        <v>27</v>
      </c>
      <c r="E1909" s="7" t="n">
        <v>1830</v>
      </c>
      <c r="F1909" s="7" t="inlineStr">
        <is>
          <t>No</t>
        </is>
      </c>
      <c r="G1909" s="8" t="n"/>
    </row>
    <row r="1910">
      <c r="A1910" s="8" t="inlineStr">
        <is>
          <t>PGCV_0027_1831</t>
        </is>
      </c>
      <c r="B1910" s="8" t="inlineStr">
        <is>
          <t>COVID-SNL-22-74874</t>
        </is>
      </c>
      <c r="C1910" s="8" t="inlineStr">
        <is>
          <t>2HC1KM7FDI</t>
        </is>
      </c>
      <c r="D1910" s="7" t="n">
        <v>27</v>
      </c>
      <c r="E1910" s="7" t="n">
        <v>1831</v>
      </c>
      <c r="F1910" s="7" t="inlineStr">
        <is>
          <t>Yes</t>
        </is>
      </c>
      <c r="G1910" s="8" t="n"/>
    </row>
    <row r="1911">
      <c r="A1911" s="8" t="inlineStr">
        <is>
          <t>PGCV_0027_1832</t>
        </is>
      </c>
      <c r="B1911" s="8" t="inlineStr">
        <is>
          <t>COVID-SNL-22-74912</t>
        </is>
      </c>
      <c r="C1911" s="8" t="inlineStr">
        <is>
          <t>2XR4VVRMOS</t>
        </is>
      </c>
      <c r="D1911" s="7" t="n">
        <v>27</v>
      </c>
      <c r="E1911" s="7" t="n">
        <v>1832</v>
      </c>
      <c r="F1911" s="7" t="inlineStr">
        <is>
          <t>Yes</t>
        </is>
      </c>
      <c r="G1911" s="8" t="n"/>
    </row>
    <row r="1912">
      <c r="A1912" s="8" t="inlineStr">
        <is>
          <t>PGCV_0027_1833</t>
        </is>
      </c>
      <c r="B1912" s="8" t="inlineStr">
        <is>
          <t>COVID-SNL-22-74940</t>
        </is>
      </c>
      <c r="C1912" s="8" t="inlineStr">
        <is>
          <t>JZQYXJMP6O</t>
        </is>
      </c>
      <c r="D1912" s="7" t="n">
        <v>27</v>
      </c>
      <c r="E1912" s="7" t="n">
        <v>1833</v>
      </c>
      <c r="F1912" s="7" t="inlineStr">
        <is>
          <t>Yes</t>
        </is>
      </c>
      <c r="G1912" s="8" t="n"/>
    </row>
    <row r="1913">
      <c r="A1913" s="8" t="inlineStr">
        <is>
          <t>PGCV_0027_1834</t>
        </is>
      </c>
      <c r="B1913" s="8" t="inlineStr">
        <is>
          <t>COVID-SNL-22-74945</t>
        </is>
      </c>
      <c r="C1913" s="8" t="inlineStr">
        <is>
          <t>QHLZDZWDOQ</t>
        </is>
      </c>
      <c r="D1913" s="7" t="n">
        <v>27</v>
      </c>
      <c r="E1913" s="7" t="n">
        <v>1834</v>
      </c>
      <c r="F1913" s="7" t="inlineStr">
        <is>
          <t>Yes</t>
        </is>
      </c>
      <c r="G1913" s="8" t="n"/>
    </row>
    <row r="1914">
      <c r="A1914" s="8" t="inlineStr">
        <is>
          <t>PGCV_0027_1835</t>
        </is>
      </c>
      <c r="B1914" s="8" t="inlineStr">
        <is>
          <t>COVID-SNL-22-74946</t>
        </is>
      </c>
      <c r="C1914" s="8" t="inlineStr">
        <is>
          <t>NKFVWK8VJT</t>
        </is>
      </c>
      <c r="D1914" s="7" t="n">
        <v>27</v>
      </c>
      <c r="E1914" s="7" t="n">
        <v>1835</v>
      </c>
      <c r="F1914" s="7" t="inlineStr">
        <is>
          <t>Yes</t>
        </is>
      </c>
      <c r="G1914" s="8" t="n"/>
    </row>
    <row r="1915">
      <c r="A1915" s="8" t="inlineStr">
        <is>
          <t>PGCV_0027_1836</t>
        </is>
      </c>
      <c r="B1915" s="8" t="inlineStr">
        <is>
          <t>COVID-SNL-22-74976</t>
        </is>
      </c>
      <c r="C1915" s="8" t="inlineStr">
        <is>
          <t>E3YS8RHVKF</t>
        </is>
      </c>
      <c r="D1915" s="7" t="n">
        <v>27</v>
      </c>
      <c r="E1915" s="7" t="n">
        <v>1836</v>
      </c>
      <c r="F1915" s="7" t="inlineStr">
        <is>
          <t>Yes</t>
        </is>
      </c>
      <c r="G1915" s="8" t="n"/>
    </row>
    <row r="1916">
      <c r="A1916" s="8" t="inlineStr">
        <is>
          <t>PGCV_0027_1837</t>
        </is>
      </c>
      <c r="B1916" s="8" t="inlineStr">
        <is>
          <t>COVID-SNL-22-74982</t>
        </is>
      </c>
      <c r="C1916" s="8" t="inlineStr">
        <is>
          <t>MCQZ6G3RMW</t>
        </is>
      </c>
      <c r="D1916" s="7" t="n">
        <v>27</v>
      </c>
      <c r="E1916" s="7" t="n">
        <v>1837</v>
      </c>
      <c r="F1916" s="7" t="inlineStr">
        <is>
          <t>Yes</t>
        </is>
      </c>
      <c r="G1916" s="8" t="n"/>
    </row>
    <row r="1917">
      <c r="A1917" s="8" t="inlineStr">
        <is>
          <t>PGCV_0027_1838</t>
        </is>
      </c>
      <c r="B1917" s="8" t="inlineStr">
        <is>
          <t>COVID-SNL-22-74986</t>
        </is>
      </c>
      <c r="C1917" s="8" t="inlineStr">
        <is>
          <t>XLLITGJHIQ</t>
        </is>
      </c>
      <c r="D1917" s="7" t="n">
        <v>27</v>
      </c>
      <c r="E1917" s="7" t="n">
        <v>1838</v>
      </c>
      <c r="F1917" s="7" t="inlineStr">
        <is>
          <t>Yes</t>
        </is>
      </c>
      <c r="G1917" s="8" t="n"/>
    </row>
    <row r="1918">
      <c r="A1918" s="8" t="inlineStr">
        <is>
          <t>PGCV_0027_1839</t>
        </is>
      </c>
      <c r="B1918" s="8" t="inlineStr">
        <is>
          <t>COVID-SNL-22-74988</t>
        </is>
      </c>
      <c r="C1918" s="8" t="inlineStr">
        <is>
          <t>ET4JLV2AZL</t>
        </is>
      </c>
      <c r="D1918" s="7" t="n">
        <v>27</v>
      </c>
      <c r="E1918" s="7" t="n">
        <v>1839</v>
      </c>
      <c r="F1918" s="7" t="inlineStr">
        <is>
          <t>Yes</t>
        </is>
      </c>
      <c r="G1918" s="8" t="n"/>
    </row>
    <row r="1919">
      <c r="A1919" s="8" t="inlineStr">
        <is>
          <t>PGCV_0027_1840</t>
        </is>
      </c>
      <c r="B1919" s="8" t="inlineStr">
        <is>
          <t>COVID-SNL-22-74820</t>
        </is>
      </c>
      <c r="C1919" s="8" t="inlineStr">
        <is>
          <t>MGFYH7B0ID</t>
        </is>
      </c>
      <c r="D1919" s="7" t="n">
        <v>27</v>
      </c>
      <c r="E1919" s="7" t="n">
        <v>1840</v>
      </c>
      <c r="F1919" s="7" t="inlineStr">
        <is>
          <t>Yes</t>
        </is>
      </c>
      <c r="G1919" s="8" t="n"/>
    </row>
    <row r="1920">
      <c r="A1920" s="8" t="inlineStr">
        <is>
          <t>PGCV_0027_1841</t>
        </is>
      </c>
      <c r="B1920" s="8" t="inlineStr">
        <is>
          <t>COVID-SNL-22-74830</t>
        </is>
      </c>
      <c r="C1920" s="8" t="inlineStr">
        <is>
          <t>XQEBWLUHTX</t>
        </is>
      </c>
      <c r="D1920" s="7" t="n">
        <v>27</v>
      </c>
      <c r="E1920" s="7" t="n">
        <v>1841</v>
      </c>
      <c r="F1920" s="7" t="inlineStr">
        <is>
          <t>Yes</t>
        </is>
      </c>
      <c r="G1920" s="8" t="n"/>
    </row>
    <row r="1921">
      <c r="A1921" s="8" t="inlineStr">
        <is>
          <t>PGCV_0027_1842</t>
        </is>
      </c>
      <c r="B1921" s="8" t="inlineStr">
        <is>
          <t>COVID-SNL-22-74833</t>
        </is>
      </c>
      <c r="C1921" s="8" t="inlineStr">
        <is>
          <t>VTNFVMFDQK</t>
        </is>
      </c>
      <c r="D1921" s="7" t="n">
        <v>27</v>
      </c>
      <c r="E1921" s="7" t="n">
        <v>1842</v>
      </c>
      <c r="F1921" s="7" t="inlineStr">
        <is>
          <t>Yes</t>
        </is>
      </c>
      <c r="G1921" s="8" t="n"/>
    </row>
    <row r="1922">
      <c r="A1922" s="8" t="inlineStr">
        <is>
          <t>PGCV_0027_1843</t>
        </is>
      </c>
      <c r="B1922" s="8" t="inlineStr">
        <is>
          <t>COVID-SNL-22-74950</t>
        </is>
      </c>
      <c r="C1922" s="8" t="inlineStr">
        <is>
          <t>SMCLNAUMXZ</t>
        </is>
      </c>
      <c r="D1922" s="7" t="n">
        <v>27</v>
      </c>
      <c r="E1922" s="7" t="n">
        <v>1843</v>
      </c>
      <c r="F1922" s="7" t="inlineStr">
        <is>
          <t>Yes</t>
        </is>
      </c>
      <c r="G1922" s="8" t="n"/>
    </row>
    <row r="1923">
      <c r="A1923" s="8" t="inlineStr">
        <is>
          <t>PGCV_0027_1844</t>
        </is>
      </c>
      <c r="B1923" s="8" t="inlineStr">
        <is>
          <t>COVID-SNL-22-74952</t>
        </is>
      </c>
      <c r="C1923" s="8" t="inlineStr">
        <is>
          <t>H5BO5RVY0D</t>
        </is>
      </c>
      <c r="D1923" s="7" t="n">
        <v>27</v>
      </c>
      <c r="E1923" s="7" t="n">
        <v>1844</v>
      </c>
      <c r="F1923" s="7" t="inlineStr">
        <is>
          <t>Yes</t>
        </is>
      </c>
      <c r="G1923" s="8" t="n"/>
    </row>
    <row r="1924">
      <c r="A1924" s="8" t="inlineStr">
        <is>
          <t>PGCV_0027_1845</t>
        </is>
      </c>
      <c r="B1924" s="8" t="inlineStr">
        <is>
          <t>COVID-SNL-22-74953</t>
        </is>
      </c>
      <c r="C1924" s="8" t="inlineStr">
        <is>
          <t>DW8EPGRPUW</t>
        </is>
      </c>
      <c r="D1924" s="7" t="n">
        <v>27</v>
      </c>
      <c r="E1924" s="7" t="n">
        <v>1845</v>
      </c>
      <c r="F1924" s="7" t="inlineStr">
        <is>
          <t>Yes</t>
        </is>
      </c>
      <c r="G1924" s="8" t="n"/>
    </row>
    <row r="1925">
      <c r="A1925" s="8" t="inlineStr">
        <is>
          <t>PGCV_0027_1846</t>
        </is>
      </c>
      <c r="B1925" s="8" t="inlineStr">
        <is>
          <t>COVID-SNL-22-74959</t>
        </is>
      </c>
      <c r="C1925" s="8" t="inlineStr">
        <is>
          <t>EHZQHBC2PA</t>
        </is>
      </c>
      <c r="D1925" s="7" t="n">
        <v>27</v>
      </c>
      <c r="E1925" s="7" t="n">
        <v>1846</v>
      </c>
      <c r="F1925" s="7" t="inlineStr">
        <is>
          <t>Yes</t>
        </is>
      </c>
      <c r="G1925" s="8" t="n"/>
    </row>
    <row r="1926">
      <c r="A1926" s="8" t="inlineStr">
        <is>
          <t>PGCV_0027_1847</t>
        </is>
      </c>
      <c r="B1926" s="8" t="inlineStr">
        <is>
          <t>COVID-SNL-22-75014</t>
        </is>
      </c>
      <c r="C1926" s="8" t="inlineStr">
        <is>
          <t>EWNY0VD8B9</t>
        </is>
      </c>
      <c r="D1926" s="7" t="n">
        <v>27</v>
      </c>
      <c r="E1926" s="7" t="n">
        <v>1847</v>
      </c>
      <c r="F1926" s="7" t="inlineStr">
        <is>
          <t>Yes</t>
        </is>
      </c>
      <c r="G1926" s="8" t="n"/>
    </row>
    <row r="1927">
      <c r="A1927" s="8" t="inlineStr">
        <is>
          <t>PGCV_0027_1848</t>
        </is>
      </c>
      <c r="B1927" s="8" t="inlineStr">
        <is>
          <t>COVID-SNL-22-75020</t>
        </is>
      </c>
      <c r="C1927" s="8" t="inlineStr">
        <is>
          <t>AQKSNG6EI7</t>
        </is>
      </c>
      <c r="D1927" s="7" t="n">
        <v>27</v>
      </c>
      <c r="E1927" s="7" t="n">
        <v>1848</v>
      </c>
      <c r="F1927" s="7" t="inlineStr">
        <is>
          <t>Yes</t>
        </is>
      </c>
      <c r="G1927" s="8" t="n"/>
    </row>
    <row r="1928">
      <c r="A1928" s="8" t="inlineStr">
        <is>
          <t>PGCV_0027_1849</t>
        </is>
      </c>
      <c r="B1928" s="8" t="inlineStr">
        <is>
          <t>COVID-SNL-22-75076</t>
        </is>
      </c>
      <c r="C1928" s="8" t="inlineStr">
        <is>
          <t>D2GLYGASOC</t>
        </is>
      </c>
      <c r="D1928" s="7" t="n">
        <v>27</v>
      </c>
      <c r="E1928" s="7" t="n">
        <v>1849</v>
      </c>
      <c r="F1928" s="7" t="inlineStr">
        <is>
          <t>Yes</t>
        </is>
      </c>
      <c r="G1928" s="8" t="n"/>
    </row>
    <row r="1929">
      <c r="A1929" s="8" t="inlineStr">
        <is>
          <t>PGCV_0027_1850</t>
        </is>
      </c>
      <c r="B1929" s="8" t="inlineStr">
        <is>
          <t>COVID-SNL-22-75077</t>
        </is>
      </c>
      <c r="C1929" s="8" t="inlineStr">
        <is>
          <t>IJVLLXU7UG</t>
        </is>
      </c>
      <c r="D1929" s="7" t="n">
        <v>27</v>
      </c>
      <c r="E1929" s="7" t="n">
        <v>1850</v>
      </c>
      <c r="F1929" s="7" t="inlineStr">
        <is>
          <t>Yes</t>
        </is>
      </c>
      <c r="G1929" s="8" t="n"/>
    </row>
    <row r="1930">
      <c r="A1930" s="8" t="inlineStr">
        <is>
          <t>PGCV_0027_1851</t>
        </is>
      </c>
      <c r="B1930" s="8" t="inlineStr">
        <is>
          <t>COVID-SNL-22-75080</t>
        </is>
      </c>
      <c r="C1930" s="8" t="inlineStr">
        <is>
          <t>LUUUTIWTEB</t>
        </is>
      </c>
      <c r="D1930" s="7" t="n">
        <v>27</v>
      </c>
      <c r="E1930" s="7" t="n">
        <v>1851</v>
      </c>
      <c r="F1930" s="7" t="inlineStr">
        <is>
          <t>Yes</t>
        </is>
      </c>
      <c r="G1930" s="8" t="n"/>
    </row>
    <row r="1931">
      <c r="A1931" s="8" t="inlineStr">
        <is>
          <t>PGCV_0027_1852</t>
        </is>
      </c>
      <c r="B1931" s="8" t="inlineStr">
        <is>
          <t>COVID-SNL-22-75095</t>
        </is>
      </c>
      <c r="C1931" s="8" t="inlineStr">
        <is>
          <t>O6HLEQMTEA</t>
        </is>
      </c>
      <c r="D1931" s="7" t="n">
        <v>27</v>
      </c>
      <c r="E1931" s="7" t="n">
        <v>1852</v>
      </c>
      <c r="F1931" s="7" t="inlineStr">
        <is>
          <t>Yes</t>
        </is>
      </c>
      <c r="G1931" s="8" t="n"/>
    </row>
    <row r="1932">
      <c r="A1932" s="8" t="inlineStr">
        <is>
          <t>PGCV_0027_1853</t>
        </is>
      </c>
      <c r="B1932" s="8" t="inlineStr">
        <is>
          <t>COVID-SNL-22-75103</t>
        </is>
      </c>
      <c r="C1932" s="8" t="inlineStr">
        <is>
          <t>IKJECWJUYS</t>
        </is>
      </c>
      <c r="D1932" s="7" t="n">
        <v>27</v>
      </c>
      <c r="E1932" s="7" t="n">
        <v>1853</v>
      </c>
      <c r="F1932" s="7" t="inlineStr">
        <is>
          <t>Yes</t>
        </is>
      </c>
      <c r="G1932" s="8" t="n"/>
    </row>
    <row r="1933">
      <c r="A1933" s="8" t="inlineStr">
        <is>
          <t>PGCV_0027_1854</t>
        </is>
      </c>
      <c r="B1933" s="8" t="inlineStr">
        <is>
          <t>COVID-SNL-22-75114</t>
        </is>
      </c>
      <c r="C1933" s="8" t="inlineStr">
        <is>
          <t>Z7RXZXQWLO</t>
        </is>
      </c>
      <c r="D1933" s="7" t="n">
        <v>27</v>
      </c>
      <c r="E1933" s="7" t="n">
        <v>1854</v>
      </c>
      <c r="F1933" s="7" t="inlineStr">
        <is>
          <t>Yes</t>
        </is>
      </c>
      <c r="G1933" s="8" t="n"/>
    </row>
    <row r="1934">
      <c r="A1934" s="8" t="inlineStr">
        <is>
          <t>PGCV_0027_1855</t>
        </is>
      </c>
      <c r="B1934" s="8" t="inlineStr">
        <is>
          <t>COVID-SNL-22-75142</t>
        </is>
      </c>
      <c r="C1934" s="8" t="inlineStr">
        <is>
          <t>Z3LDUX9QUX</t>
        </is>
      </c>
      <c r="D1934" s="7" t="n">
        <v>27</v>
      </c>
      <c r="E1934" s="7" t="n">
        <v>1855</v>
      </c>
      <c r="F1934" s="7" t="inlineStr">
        <is>
          <t>Yes</t>
        </is>
      </c>
      <c r="G1934" s="8" t="n"/>
    </row>
    <row r="1935">
      <c r="A1935" s="8" t="inlineStr">
        <is>
          <t>PGCV_0027_1856</t>
        </is>
      </c>
      <c r="B1935" s="8" t="inlineStr">
        <is>
          <t>COVID-SNL-22-75150</t>
        </is>
      </c>
      <c r="C1935" s="8" t="inlineStr">
        <is>
          <t>6X4PG8UBI8</t>
        </is>
      </c>
      <c r="D1935" s="7" t="n">
        <v>27</v>
      </c>
      <c r="E1935" s="7" t="n">
        <v>1856</v>
      </c>
      <c r="F1935" s="7" t="inlineStr">
        <is>
          <t>Yes</t>
        </is>
      </c>
      <c r="G1935" s="8" t="n"/>
    </row>
    <row r="1936">
      <c r="A1936" s="8" t="inlineStr">
        <is>
          <t>PGCV_0027_1857</t>
        </is>
      </c>
      <c r="B1936" s="8" t="inlineStr">
        <is>
          <t>COVID-SNL-22-75152</t>
        </is>
      </c>
      <c r="C1936" s="8" t="inlineStr">
        <is>
          <t>78FVAHFXCV</t>
        </is>
      </c>
      <c r="D1936" s="7" t="n">
        <v>27</v>
      </c>
      <c r="E1936" s="7" t="n">
        <v>1857</v>
      </c>
      <c r="F1936" s="7" t="inlineStr">
        <is>
          <t>Yes</t>
        </is>
      </c>
      <c r="G1936" s="8" t="n"/>
    </row>
    <row r="1937">
      <c r="A1937" s="8" t="inlineStr">
        <is>
          <t>PGCV_0027_1858</t>
        </is>
      </c>
      <c r="B1937" s="8" t="inlineStr">
        <is>
          <t>COVID-SNL-22-75190</t>
        </is>
      </c>
      <c r="C1937" s="8" t="inlineStr">
        <is>
          <t>PACN5PI7D0</t>
        </is>
      </c>
      <c r="D1937" s="7" t="n">
        <v>27</v>
      </c>
      <c r="E1937" s="7" t="n">
        <v>1858</v>
      </c>
      <c r="F1937" s="7" t="inlineStr">
        <is>
          <t>Yes</t>
        </is>
      </c>
      <c r="G1937" s="8" t="n"/>
    </row>
    <row r="1938">
      <c r="A1938" s="8" t="inlineStr">
        <is>
          <t>PGCV_0027_1859</t>
        </is>
      </c>
      <c r="B1938" s="8" t="inlineStr">
        <is>
          <t>COVID-SNL-22-75201</t>
        </is>
      </c>
      <c r="C1938" s="8" t="inlineStr">
        <is>
          <t>8GFV1PEUTH</t>
        </is>
      </c>
      <c r="D1938" s="7" t="n">
        <v>27</v>
      </c>
      <c r="E1938" s="7" t="n">
        <v>1859</v>
      </c>
      <c r="F1938" s="7" t="inlineStr">
        <is>
          <t>Yes</t>
        </is>
      </c>
      <c r="G1938" s="8" t="n"/>
    </row>
    <row r="1939">
      <c r="A1939" s="8" t="inlineStr">
        <is>
          <t>PGCV_0027_1860</t>
        </is>
      </c>
      <c r="B1939" s="8" t="inlineStr">
        <is>
          <t>COVID-SNL-22-75221</t>
        </is>
      </c>
      <c r="C1939" s="8" t="inlineStr">
        <is>
          <t>9BU7NTFG15</t>
        </is>
      </c>
      <c r="D1939" s="7" t="n">
        <v>27</v>
      </c>
      <c r="E1939" s="7" t="n">
        <v>1860</v>
      </c>
      <c r="F1939" s="7" t="inlineStr">
        <is>
          <t>Yes</t>
        </is>
      </c>
      <c r="G1939" s="8" t="n"/>
    </row>
    <row r="1940">
      <c r="A1940" s="8" t="inlineStr">
        <is>
          <t>PGCV_0027_1861</t>
        </is>
      </c>
      <c r="B1940" s="8" t="inlineStr">
        <is>
          <t>COVID-SNL-22-75169</t>
        </is>
      </c>
      <c r="C1940" s="8" t="inlineStr">
        <is>
          <t>A1YMOQVXQG</t>
        </is>
      </c>
      <c r="D1940" s="7" t="n">
        <v>27</v>
      </c>
      <c r="E1940" s="7" t="n">
        <v>1861</v>
      </c>
      <c r="F1940" s="7" t="inlineStr">
        <is>
          <t>Yes</t>
        </is>
      </c>
      <c r="G1940" s="8" t="n"/>
    </row>
    <row r="1941">
      <c r="A1941" s="8" t="inlineStr">
        <is>
          <t>PGCV_0027_1862</t>
        </is>
      </c>
      <c r="B1941" s="8" t="inlineStr">
        <is>
          <t>COVID-SNL-22-75264</t>
        </is>
      </c>
      <c r="C1941" s="8" t="inlineStr">
        <is>
          <t>O0M41Q63RT</t>
        </is>
      </c>
      <c r="D1941" s="7" t="n">
        <v>27</v>
      </c>
      <c r="E1941" s="7" t="n">
        <v>1862</v>
      </c>
      <c r="F1941" s="7" t="inlineStr">
        <is>
          <t>Yes</t>
        </is>
      </c>
      <c r="G1941" s="8" t="n"/>
    </row>
    <row r="1942">
      <c r="A1942" s="8" t="inlineStr">
        <is>
          <t>PGCV_0027_1863</t>
        </is>
      </c>
      <c r="B1942" s="8" t="inlineStr">
        <is>
          <t>COVID-SNL-22-75284</t>
        </is>
      </c>
      <c r="C1942" s="8" t="inlineStr">
        <is>
          <t>QUALYQNLCK</t>
        </is>
      </c>
      <c r="D1942" s="7" t="n">
        <v>27</v>
      </c>
      <c r="E1942" s="7" t="n">
        <v>1863</v>
      </c>
      <c r="F1942" s="7" t="inlineStr">
        <is>
          <t>Yes</t>
        </is>
      </c>
      <c r="G1942" s="8" t="n"/>
    </row>
    <row r="1943">
      <c r="A1943" s="8" t="inlineStr">
        <is>
          <t>PGCV_0027_1864</t>
        </is>
      </c>
      <c r="B1943" s="8" t="inlineStr">
        <is>
          <t>COVID-SNL-22-75340</t>
        </is>
      </c>
      <c r="C1943" s="8" t="inlineStr">
        <is>
          <t>56VHNHAWQP</t>
        </is>
      </c>
      <c r="D1943" s="7" t="n">
        <v>27</v>
      </c>
      <c r="E1943" s="7" t="n">
        <v>1864</v>
      </c>
      <c r="F1943" s="7" t="inlineStr">
        <is>
          <t>Yes</t>
        </is>
      </c>
      <c r="G1943" s="8" t="n"/>
    </row>
    <row r="1944">
      <c r="A1944" s="8" t="inlineStr">
        <is>
          <t>PGCV_0027_1865</t>
        </is>
      </c>
      <c r="B1944" s="8" t="inlineStr">
        <is>
          <t>COVID-SNL-22-75352</t>
        </is>
      </c>
      <c r="C1944" s="8" t="inlineStr">
        <is>
          <t>K0NZCQKQTV</t>
        </is>
      </c>
      <c r="D1944" s="7" t="n">
        <v>27</v>
      </c>
      <c r="E1944" s="7" t="n">
        <v>1865</v>
      </c>
      <c r="F1944" s="7" t="inlineStr">
        <is>
          <t>Yes</t>
        </is>
      </c>
      <c r="G1944" s="8" t="n"/>
    </row>
    <row r="1945">
      <c r="A1945" s="8" t="inlineStr">
        <is>
          <t>PGCV_0027_1866</t>
        </is>
      </c>
      <c r="B1945" s="8" t="inlineStr">
        <is>
          <t>COVID-SNL-22-75356</t>
        </is>
      </c>
      <c r="C1945" s="8" t="inlineStr">
        <is>
          <t>ADVTFMQXJY</t>
        </is>
      </c>
      <c r="D1945" s="7" t="n">
        <v>27</v>
      </c>
      <c r="E1945" s="7" t="n">
        <v>1866</v>
      </c>
      <c r="F1945" s="7" t="inlineStr">
        <is>
          <t>Yes</t>
        </is>
      </c>
      <c r="G1945" s="8" t="n"/>
    </row>
    <row r="1946">
      <c r="A1946" s="8" t="inlineStr">
        <is>
          <t>PGCV_0027_1867</t>
        </is>
      </c>
      <c r="B1946" s="8" t="inlineStr">
        <is>
          <t>COVID-SNL-22-75362</t>
        </is>
      </c>
      <c r="C1946" s="8" t="inlineStr">
        <is>
          <t>C3TPDANCYA</t>
        </is>
      </c>
      <c r="D1946" s="7" t="n">
        <v>27</v>
      </c>
      <c r="E1946" s="7" t="n">
        <v>1867</v>
      </c>
      <c r="F1946" s="7" t="inlineStr">
        <is>
          <t>Yes</t>
        </is>
      </c>
      <c r="G1946" s="8" t="n"/>
    </row>
    <row r="1947">
      <c r="A1947" s="8" t="inlineStr">
        <is>
          <t>PGCV_0027_1868</t>
        </is>
      </c>
      <c r="B1947" s="8" t="inlineStr">
        <is>
          <t>COVID-SNL-22-75625</t>
        </is>
      </c>
      <c r="C1947" s="8" t="inlineStr">
        <is>
          <t>XLDH679HMY</t>
        </is>
      </c>
      <c r="D1947" s="7" t="n">
        <v>27</v>
      </c>
      <c r="E1947" s="7" t="n">
        <v>1868</v>
      </c>
      <c r="F1947" s="7" t="inlineStr">
        <is>
          <t>Yes</t>
        </is>
      </c>
      <c r="G1947" s="8" t="n"/>
    </row>
    <row r="1948">
      <c r="A1948" s="8" t="inlineStr">
        <is>
          <t>PGCV_0027_1869</t>
        </is>
      </c>
      <c r="B1948" s="8" t="inlineStr">
        <is>
          <t>COVID-SNL-22-75629</t>
        </is>
      </c>
      <c r="C1948" s="8" t="inlineStr">
        <is>
          <t>6YKGTZD2AF</t>
        </is>
      </c>
      <c r="D1948" s="7" t="n">
        <v>27</v>
      </c>
      <c r="E1948" s="7" t="n">
        <v>1869</v>
      </c>
      <c r="F1948" s="7" t="inlineStr">
        <is>
          <t>Yes</t>
        </is>
      </c>
      <c r="G1948" s="8" t="n"/>
    </row>
    <row r="1949">
      <c r="A1949" s="8" t="inlineStr">
        <is>
          <t>PGCV_0027_1870</t>
        </is>
      </c>
      <c r="B1949" s="8" t="inlineStr">
        <is>
          <t>COVID-SNL-22-75630</t>
        </is>
      </c>
      <c r="C1949" s="8" t="inlineStr">
        <is>
          <t>DEQRDCWMAY</t>
        </is>
      </c>
      <c r="D1949" s="7" t="n">
        <v>27</v>
      </c>
      <c r="E1949" s="7" t="n">
        <v>1870</v>
      </c>
      <c r="F1949" s="7" t="inlineStr">
        <is>
          <t>Yes</t>
        </is>
      </c>
      <c r="G1949" s="8" t="n"/>
    </row>
    <row r="1950">
      <c r="A1950" s="8" t="inlineStr">
        <is>
          <t>PGCV_0027_1871</t>
        </is>
      </c>
      <c r="B1950" s="8" t="inlineStr">
        <is>
          <t>COVID-SNL-22-75650</t>
        </is>
      </c>
      <c r="C1950" s="8" t="inlineStr">
        <is>
          <t>GQDA65FP7N</t>
        </is>
      </c>
      <c r="D1950" s="7" t="n">
        <v>27</v>
      </c>
      <c r="E1950" s="7" t="n">
        <v>1871</v>
      </c>
      <c r="F1950" s="7" t="inlineStr">
        <is>
          <t>Yes</t>
        </is>
      </c>
      <c r="G1950" s="8" t="n"/>
    </row>
    <row r="1951">
      <c r="A1951" s="8" t="inlineStr">
        <is>
          <t>PGCV_0027_1872</t>
        </is>
      </c>
      <c r="B1951" s="8" t="inlineStr">
        <is>
          <t>COVID-SNL-22-75446</t>
        </is>
      </c>
      <c r="C1951" s="8" t="inlineStr">
        <is>
          <t>QRYXVT9Y0B</t>
        </is>
      </c>
      <c r="D1951" s="7" t="n">
        <v>27</v>
      </c>
      <c r="E1951" s="7" t="n">
        <v>1872</v>
      </c>
      <c r="F1951" s="7" t="inlineStr">
        <is>
          <t>Yes</t>
        </is>
      </c>
      <c r="G1951" s="8" t="n"/>
    </row>
    <row r="1952">
      <c r="A1952" s="8" t="inlineStr">
        <is>
          <t>PGCV_0027_1873</t>
        </is>
      </c>
      <c r="B1952" s="8" t="inlineStr">
        <is>
          <t>COVID-SNL-22-75452</t>
        </is>
      </c>
      <c r="C1952" s="8" t="inlineStr">
        <is>
          <t>17AA9PLJ7U</t>
        </is>
      </c>
      <c r="D1952" s="7" t="n">
        <v>27</v>
      </c>
      <c r="E1952" s="7" t="n">
        <v>1873</v>
      </c>
      <c r="F1952" s="7" t="inlineStr">
        <is>
          <t>Yes</t>
        </is>
      </c>
      <c r="G1952" s="8" t="n"/>
    </row>
    <row r="1953">
      <c r="A1953" s="8" t="inlineStr">
        <is>
          <t>PGCV_0027_1874</t>
        </is>
      </c>
      <c r="B1953" s="8" t="inlineStr">
        <is>
          <t>COVID-SNL-22-75471</t>
        </is>
      </c>
      <c r="C1953" s="8" t="inlineStr">
        <is>
          <t>HKTNPTVTWP</t>
        </is>
      </c>
      <c r="D1953" s="7" t="n">
        <v>27</v>
      </c>
      <c r="E1953" s="7" t="n">
        <v>1874</v>
      </c>
      <c r="F1953" s="7" t="inlineStr">
        <is>
          <t>Yes</t>
        </is>
      </c>
      <c r="G1953" s="8" t="n"/>
    </row>
    <row r="1954">
      <c r="A1954" s="8" t="inlineStr">
        <is>
          <t>PGCV_0027_1875</t>
        </is>
      </c>
      <c r="B1954" s="8" t="inlineStr">
        <is>
          <t>COVID-SNL-22-75474</t>
        </is>
      </c>
      <c r="C1954" s="8" t="inlineStr">
        <is>
          <t>CDGMR6E7OZ</t>
        </is>
      </c>
      <c r="D1954" s="7" t="n">
        <v>27</v>
      </c>
      <c r="E1954" s="7" t="n">
        <v>1875</v>
      </c>
      <c r="F1954" s="7" t="inlineStr">
        <is>
          <t>Yes</t>
        </is>
      </c>
      <c r="G1954" s="8" t="n"/>
    </row>
    <row r="1955">
      <c r="A1955" s="8" t="inlineStr">
        <is>
          <t>PGCV_0027_1876</t>
        </is>
      </c>
      <c r="B1955" s="8" t="inlineStr">
        <is>
          <t>COVID-SNL-22-75475</t>
        </is>
      </c>
      <c r="C1955" s="8" t="inlineStr">
        <is>
          <t>3LCSHT38UM</t>
        </is>
      </c>
      <c r="D1955" s="7" t="n">
        <v>27</v>
      </c>
      <c r="E1955" s="7" t="n">
        <v>1876</v>
      </c>
      <c r="F1955" s="7" t="inlineStr">
        <is>
          <t>Yes</t>
        </is>
      </c>
      <c r="G1955" s="8" t="n"/>
    </row>
    <row r="1956">
      <c r="A1956" s="8" t="inlineStr">
        <is>
          <t>PGCV_0027_1877</t>
        </is>
      </c>
      <c r="B1956" s="8" t="inlineStr">
        <is>
          <t>COVID-SNL-22-75484</t>
        </is>
      </c>
      <c r="C1956" s="8" t="inlineStr">
        <is>
          <t>95QWSOGW6P</t>
        </is>
      </c>
      <c r="D1956" s="7" t="n">
        <v>27</v>
      </c>
      <c r="E1956" s="7" t="n">
        <v>1877</v>
      </c>
      <c r="F1956" s="7" t="inlineStr">
        <is>
          <t>Yes</t>
        </is>
      </c>
      <c r="G1956" s="8" t="n"/>
    </row>
    <row r="1957">
      <c r="A1957" s="8" t="inlineStr">
        <is>
          <t>PGCV_0027_1878</t>
        </is>
      </c>
      <c r="B1957" s="8" t="inlineStr">
        <is>
          <t>COVID-SNL-22-75503</t>
        </is>
      </c>
      <c r="C1957" s="8" t="inlineStr">
        <is>
          <t>NG7JJVD1UM</t>
        </is>
      </c>
      <c r="D1957" s="7" t="n">
        <v>27</v>
      </c>
      <c r="E1957" s="7" t="n">
        <v>1878</v>
      </c>
      <c r="F1957" s="7" t="inlineStr">
        <is>
          <t>Yes</t>
        </is>
      </c>
      <c r="G1957" s="8" t="n"/>
    </row>
    <row r="1958">
      <c r="A1958" s="8" t="inlineStr">
        <is>
          <t>PGCV_0027_1879</t>
        </is>
      </c>
      <c r="B1958" s="8" t="inlineStr">
        <is>
          <t>COVID-SNL-22-75537</t>
        </is>
      </c>
      <c r="C1958" s="8" t="inlineStr">
        <is>
          <t>6Y7OUYXIXN</t>
        </is>
      </c>
      <c r="D1958" s="7" t="n">
        <v>27</v>
      </c>
      <c r="E1958" s="7" t="n">
        <v>1879</v>
      </c>
      <c r="F1958" s="7" t="inlineStr">
        <is>
          <t>Yes</t>
        </is>
      </c>
      <c r="G1958" s="8" t="n"/>
    </row>
    <row r="1959">
      <c r="A1959" s="8" t="inlineStr">
        <is>
          <t>PGCV_0027_1880</t>
        </is>
      </c>
      <c r="B1959" s="8" t="inlineStr">
        <is>
          <t>COVID-SNL-22-75552</t>
        </is>
      </c>
      <c r="C1959" s="8" t="inlineStr">
        <is>
          <t>SHJZQ3JLTM</t>
        </is>
      </c>
      <c r="D1959" s="7" t="n">
        <v>27</v>
      </c>
      <c r="E1959" s="7" t="n">
        <v>1880</v>
      </c>
      <c r="F1959" s="7" t="inlineStr">
        <is>
          <t>Yes</t>
        </is>
      </c>
      <c r="G1959" s="8" t="n"/>
    </row>
    <row r="1960">
      <c r="A1960" s="8" t="inlineStr">
        <is>
          <t>PGCV_0027_1881</t>
        </is>
      </c>
      <c r="B1960" s="8" t="inlineStr">
        <is>
          <t>COVID-SNL-22-75553</t>
        </is>
      </c>
      <c r="C1960" s="8" t="inlineStr">
        <is>
          <t>PBGVAFF7CJ</t>
        </is>
      </c>
      <c r="D1960" s="7" t="n">
        <v>27</v>
      </c>
      <c r="E1960" s="7" t="n">
        <v>1881</v>
      </c>
      <c r="F1960" s="7" t="inlineStr">
        <is>
          <t>Yes</t>
        </is>
      </c>
      <c r="G1960" s="8" t="n"/>
    </row>
    <row r="1961">
      <c r="A1961" s="8" t="inlineStr">
        <is>
          <t>PGCV_0027_1882</t>
        </is>
      </c>
      <c r="B1961" s="8" t="inlineStr">
        <is>
          <t>COVID-SNL-22-75554</t>
        </is>
      </c>
      <c r="C1961" s="8" t="inlineStr">
        <is>
          <t>XF0PVYVQRQ</t>
        </is>
      </c>
      <c r="D1961" s="7" t="n">
        <v>27</v>
      </c>
      <c r="E1961" s="7" t="n">
        <v>1882</v>
      </c>
      <c r="F1961" s="7" t="inlineStr">
        <is>
          <t>Yes</t>
        </is>
      </c>
      <c r="G1961" s="8" t="n"/>
    </row>
    <row r="1962">
      <c r="A1962" s="8" t="inlineStr">
        <is>
          <t>PGCV_0027_1883</t>
        </is>
      </c>
      <c r="B1962" s="8" t="inlineStr">
        <is>
          <t>COVID-SNL-22-75655</t>
        </is>
      </c>
      <c r="C1962" s="8" t="inlineStr">
        <is>
          <t>6AQNNVXY4U</t>
        </is>
      </c>
      <c r="D1962" s="7" t="n">
        <v>27</v>
      </c>
      <c r="E1962" s="7" t="n">
        <v>1883</v>
      </c>
      <c r="F1962" s="7" t="inlineStr">
        <is>
          <t>Yes</t>
        </is>
      </c>
      <c r="G1962" s="8" t="n"/>
    </row>
    <row r="1963">
      <c r="A1963" s="8" t="inlineStr">
        <is>
          <t>PGCV_0027_1884</t>
        </is>
      </c>
      <c r="B1963" s="8" t="inlineStr">
        <is>
          <t>COVID-SNL-22-76659</t>
        </is>
      </c>
      <c r="C1963" s="8" t="inlineStr">
        <is>
          <t>N1WPRF1RM4</t>
        </is>
      </c>
      <c r="D1963" s="7" t="n">
        <v>27</v>
      </c>
      <c r="E1963" s="7" t="n">
        <v>1884</v>
      </c>
      <c r="F1963" s="7" t="inlineStr">
        <is>
          <t>Yes</t>
        </is>
      </c>
      <c r="G1963" s="8" t="n"/>
    </row>
    <row r="1964">
      <c r="A1964" s="8" t="inlineStr">
        <is>
          <t>PGCV_0027_1885</t>
        </is>
      </c>
      <c r="B1964" s="8" t="inlineStr">
        <is>
          <t>COVID-SNL-22-74983</t>
        </is>
      </c>
      <c r="C1964" s="8" t="inlineStr">
        <is>
          <t>XFUC7UQAMH</t>
        </is>
      </c>
      <c r="D1964" s="7" t="n">
        <v>27</v>
      </c>
      <c r="E1964" s="7" t="n">
        <v>1885</v>
      </c>
      <c r="F1964" s="7" t="inlineStr">
        <is>
          <t>Yes</t>
        </is>
      </c>
      <c r="G1964" s="8" t="n"/>
    </row>
    <row r="1965">
      <c r="A1965" s="8" t="inlineStr">
        <is>
          <t>PGCV_0027_1886</t>
        </is>
      </c>
      <c r="B1965" s="8" t="inlineStr">
        <is>
          <t>COVID-SNL-22-74596</t>
        </is>
      </c>
      <c r="C1965" s="8" t="inlineStr">
        <is>
          <t>EJBCWKQL2X</t>
        </is>
      </c>
      <c r="D1965" s="7" t="n">
        <v>27</v>
      </c>
      <c r="E1965" s="7" t="n">
        <v>1886</v>
      </c>
      <c r="F1965" s="7" t="inlineStr">
        <is>
          <t>Yes</t>
        </is>
      </c>
      <c r="G1965" s="8" t="n"/>
    </row>
    <row r="1966">
      <c r="A1966" s="8" t="inlineStr">
        <is>
          <t>PGCV_0027_1887</t>
        </is>
      </c>
      <c r="B1966" s="8" t="inlineStr">
        <is>
          <t>22-38655</t>
        </is>
      </c>
      <c r="C1966" s="8" t="inlineStr">
        <is>
          <t>O6EEHVPJJ6</t>
        </is>
      </c>
      <c r="D1966" s="7" t="n">
        <v>27</v>
      </c>
      <c r="E1966" s="7" t="n">
        <v>1887</v>
      </c>
      <c r="F1966" s="7" t="inlineStr">
        <is>
          <t>Yes</t>
        </is>
      </c>
      <c r="G1966" s="8" t="n"/>
    </row>
    <row r="1967">
      <c r="A1967" s="8" t="inlineStr">
        <is>
          <t>PGCV_0027_1888</t>
        </is>
      </c>
      <c r="B1967" s="8" t="inlineStr">
        <is>
          <t>22-38664</t>
        </is>
      </c>
      <c r="C1967" s="8" t="inlineStr">
        <is>
          <t>5Z4IXUOBIH</t>
        </is>
      </c>
      <c r="D1967" s="7" t="n">
        <v>27</v>
      </c>
      <c r="E1967" s="7" t="n">
        <v>1888</v>
      </c>
      <c r="F1967" s="7" t="inlineStr">
        <is>
          <t>Yes</t>
        </is>
      </c>
      <c r="G1967" s="8" t="n"/>
    </row>
    <row r="1968">
      <c r="A1968" s="8" t="inlineStr">
        <is>
          <t>PGCV_0028_1889</t>
        </is>
      </c>
      <c r="B1968" s="8" t="inlineStr">
        <is>
          <t>22-38679</t>
        </is>
      </c>
      <c r="C1968" s="8" t="inlineStr">
        <is>
          <t>XT54SF81XY</t>
        </is>
      </c>
      <c r="D1968" s="7" t="n">
        <v>28</v>
      </c>
      <c r="E1968" s="7" t="n">
        <v>1889</v>
      </c>
      <c r="F1968" s="7" t="inlineStr">
        <is>
          <t>Yes</t>
        </is>
      </c>
      <c r="G1968" s="8" t="n"/>
    </row>
    <row r="1969">
      <c r="A1969" s="8" t="inlineStr">
        <is>
          <t>PGCV_0027_1890</t>
        </is>
      </c>
      <c r="B1969" s="8" t="inlineStr">
        <is>
          <t>22-38706</t>
        </is>
      </c>
      <c r="C1969" s="8" t="inlineStr">
        <is>
          <t>XS5QTIKB2D</t>
        </is>
      </c>
      <c r="D1969" s="7" t="n">
        <v>27</v>
      </c>
      <c r="E1969" s="7" t="n">
        <v>1890</v>
      </c>
      <c r="F1969" s="7" t="inlineStr">
        <is>
          <t>Yes</t>
        </is>
      </c>
      <c r="G1969" s="8" t="n"/>
    </row>
    <row r="1970">
      <c r="A1970" s="8" t="inlineStr">
        <is>
          <t>PGCV_0027_1891</t>
        </is>
      </c>
      <c r="B1970" s="8" t="inlineStr">
        <is>
          <t>22-38740</t>
        </is>
      </c>
      <c r="C1970" s="8" t="inlineStr">
        <is>
          <t>LIZWITYSAJ</t>
        </is>
      </c>
      <c r="D1970" s="7" t="n">
        <v>27</v>
      </c>
      <c r="E1970" s="7" t="n">
        <v>1891</v>
      </c>
      <c r="F1970" s="7" t="inlineStr">
        <is>
          <t>Yes</t>
        </is>
      </c>
      <c r="G1970" s="8" t="n"/>
    </row>
    <row r="1971">
      <c r="A1971" s="8" t="inlineStr">
        <is>
          <t>PGCV_0027_1892</t>
        </is>
      </c>
      <c r="B1971" s="8" t="inlineStr">
        <is>
          <t>22-38791</t>
        </is>
      </c>
      <c r="C1971" s="8" t="inlineStr">
        <is>
          <t>IDR6MGIDTY</t>
        </is>
      </c>
      <c r="D1971" s="7" t="n">
        <v>27</v>
      </c>
      <c r="E1971" s="7" t="n">
        <v>1892</v>
      </c>
      <c r="F1971" s="7" t="inlineStr">
        <is>
          <t>Yes</t>
        </is>
      </c>
      <c r="G1971" s="8" t="n"/>
    </row>
    <row r="1972">
      <c r="A1972" s="8" t="inlineStr">
        <is>
          <t>PGCV_0027_1893</t>
        </is>
      </c>
      <c r="B1972" s="8" t="inlineStr">
        <is>
          <t>22-38808</t>
        </is>
      </c>
      <c r="C1972" s="8" t="inlineStr">
        <is>
          <t>36LZCOAUKG</t>
        </is>
      </c>
      <c r="D1972" s="7" t="n">
        <v>27</v>
      </c>
      <c r="E1972" s="7" t="n">
        <v>1893</v>
      </c>
      <c r="F1972" s="7" t="inlineStr">
        <is>
          <t>Yes</t>
        </is>
      </c>
      <c r="G1972" s="8" t="n"/>
    </row>
    <row r="1973">
      <c r="A1973" s="8" t="inlineStr">
        <is>
          <t>PGCV_0027_1894</t>
        </is>
      </c>
      <c r="B1973" s="8" t="inlineStr">
        <is>
          <t>22-38822</t>
        </is>
      </c>
      <c r="C1973" s="8" t="inlineStr">
        <is>
          <t>YC3WJKT7R3</t>
        </is>
      </c>
      <c r="D1973" s="7" t="n">
        <v>27</v>
      </c>
      <c r="E1973" s="7" t="n">
        <v>1894</v>
      </c>
      <c r="F1973" s="7" t="inlineStr">
        <is>
          <t>Yes</t>
        </is>
      </c>
      <c r="G1973" s="8" t="n"/>
    </row>
    <row r="1974">
      <c r="A1974" s="8" t="inlineStr">
        <is>
          <t>PGCV_0027_1895</t>
        </is>
      </c>
      <c r="B1974" s="8" t="inlineStr">
        <is>
          <t>22-38823</t>
        </is>
      </c>
      <c r="C1974" s="8" t="inlineStr">
        <is>
          <t>N9MJUSOCRH</t>
        </is>
      </c>
      <c r="D1974" s="7" t="n">
        <v>27</v>
      </c>
      <c r="E1974" s="7" t="n">
        <v>1895</v>
      </c>
      <c r="F1974" s="7" t="inlineStr">
        <is>
          <t>Yes</t>
        </is>
      </c>
      <c r="G1974" s="8" t="n"/>
    </row>
    <row r="1975">
      <c r="A1975" s="8" t="inlineStr">
        <is>
          <t>PGCV_0027_1896</t>
        </is>
      </c>
      <c r="B1975" s="8" t="inlineStr">
        <is>
          <t>22-38844</t>
        </is>
      </c>
      <c r="C1975" s="8" t="inlineStr">
        <is>
          <t>ZDMUQJTDVY</t>
        </is>
      </c>
      <c r="D1975" s="7" t="n">
        <v>27</v>
      </c>
      <c r="E1975" s="7" t="n">
        <v>1896</v>
      </c>
      <c r="F1975" s="7" t="inlineStr">
        <is>
          <t>Yes</t>
        </is>
      </c>
      <c r="G1975" s="8" t="n"/>
    </row>
    <row r="1976">
      <c r="A1976" s="8" t="inlineStr">
        <is>
          <t>PGCV_0027_1897</t>
        </is>
      </c>
      <c r="B1976" s="8" t="inlineStr">
        <is>
          <t>22-38881</t>
        </is>
      </c>
      <c r="C1976" s="8" t="inlineStr">
        <is>
          <t>URENSU9MUU</t>
        </is>
      </c>
      <c r="D1976" s="7" t="n">
        <v>27</v>
      </c>
      <c r="E1976" s="7" t="n">
        <v>1897</v>
      </c>
      <c r="F1976" s="7" t="inlineStr">
        <is>
          <t>Yes</t>
        </is>
      </c>
      <c r="G1976" s="8" t="n"/>
    </row>
    <row r="1977">
      <c r="A1977" s="8" t="inlineStr">
        <is>
          <t>PGCV_0027_1898</t>
        </is>
      </c>
      <c r="B1977" s="8" t="inlineStr">
        <is>
          <t>22-38901</t>
        </is>
      </c>
      <c r="C1977" s="8" t="inlineStr">
        <is>
          <t>LIEEVG2LL2</t>
        </is>
      </c>
      <c r="D1977" s="7" t="n">
        <v>27</v>
      </c>
      <c r="E1977" s="7" t="n">
        <v>1898</v>
      </c>
      <c r="F1977" s="7" t="inlineStr">
        <is>
          <t>Yes</t>
        </is>
      </c>
      <c r="G1977" s="8" t="n"/>
    </row>
    <row r="1978">
      <c r="A1978" s="8" t="inlineStr">
        <is>
          <t>PGCV_0027_1899</t>
        </is>
      </c>
      <c r="B1978" s="8" t="inlineStr">
        <is>
          <t>22-38903</t>
        </is>
      </c>
      <c r="C1978" s="8" t="inlineStr">
        <is>
          <t>VXV19W41WA</t>
        </is>
      </c>
      <c r="D1978" s="7" t="n">
        <v>27</v>
      </c>
      <c r="E1978" s="7" t="n">
        <v>1899</v>
      </c>
      <c r="F1978" s="7" t="inlineStr">
        <is>
          <t>Yes</t>
        </is>
      </c>
      <c r="G1978" s="8" t="n"/>
    </row>
    <row r="1979">
      <c r="A1979" s="8" t="inlineStr">
        <is>
          <t>PGCV_0027_1900</t>
        </is>
      </c>
      <c r="B1979" s="8" t="inlineStr">
        <is>
          <t>22-38905</t>
        </is>
      </c>
      <c r="C1979" s="8" t="inlineStr">
        <is>
          <t>ISMXZOHAVZ</t>
        </is>
      </c>
      <c r="D1979" s="7" t="n">
        <v>27</v>
      </c>
      <c r="E1979" s="7" t="n">
        <v>1900</v>
      </c>
      <c r="F1979" s="7" t="inlineStr">
        <is>
          <t>Yes</t>
        </is>
      </c>
      <c r="G1979" s="8" t="n"/>
    </row>
    <row r="1980">
      <c r="A1980" s="8" t="inlineStr">
        <is>
          <t>PGCV_0027_1901</t>
        </is>
      </c>
      <c r="B1980" s="8" t="inlineStr">
        <is>
          <t>22-38957</t>
        </is>
      </c>
      <c r="C1980" s="8" t="inlineStr">
        <is>
          <t>OV8Z4KDSHF</t>
        </is>
      </c>
      <c r="D1980" s="7" t="n">
        <v>27</v>
      </c>
      <c r="E1980" s="7" t="n">
        <v>1901</v>
      </c>
      <c r="F1980" s="7" t="inlineStr">
        <is>
          <t>Yes</t>
        </is>
      </c>
      <c r="G1980" s="8" t="n"/>
    </row>
    <row r="1981">
      <c r="A1981" s="8" t="inlineStr">
        <is>
          <t>PGCV_0027_1902</t>
        </is>
      </c>
      <c r="B1981" s="8" t="inlineStr">
        <is>
          <t>22-38997</t>
        </is>
      </c>
      <c r="C1981" s="8" t="inlineStr">
        <is>
          <t>ORMY8Y3JYY</t>
        </is>
      </c>
      <c r="D1981" s="7" t="n">
        <v>27</v>
      </c>
      <c r="E1981" s="7" t="n">
        <v>1902</v>
      </c>
      <c r="F1981" s="7" t="inlineStr">
        <is>
          <t>Yes</t>
        </is>
      </c>
      <c r="G1981" s="8" t="n"/>
    </row>
    <row r="1982">
      <c r="A1982" s="8" t="inlineStr">
        <is>
          <t>PGCV_0027_1903</t>
        </is>
      </c>
      <c r="B1982" s="8" t="inlineStr">
        <is>
          <t>22-39033</t>
        </is>
      </c>
      <c r="C1982" s="8" t="inlineStr">
        <is>
          <t>CTSIEXB6LZ</t>
        </is>
      </c>
      <c r="D1982" s="7" t="n">
        <v>27</v>
      </c>
      <c r="E1982" s="7" t="n">
        <v>1903</v>
      </c>
      <c r="F1982" s="7" t="inlineStr">
        <is>
          <t>Yes</t>
        </is>
      </c>
      <c r="G1982" s="8" t="n"/>
    </row>
    <row r="1983">
      <c r="A1983" s="8" t="inlineStr">
        <is>
          <t>PGCV_0027_1904</t>
        </is>
      </c>
      <c r="B1983" s="8" t="inlineStr">
        <is>
          <t>22-39076</t>
        </is>
      </c>
      <c r="C1983" s="8" t="inlineStr">
        <is>
          <t>MPAAU8FAOL</t>
        </is>
      </c>
      <c r="D1983" s="7" t="n">
        <v>27</v>
      </c>
      <c r="E1983" s="7" t="n">
        <v>1904</v>
      </c>
      <c r="F1983" s="7" t="inlineStr">
        <is>
          <t>Yes</t>
        </is>
      </c>
      <c r="G1983" s="8" t="n"/>
    </row>
    <row r="1984">
      <c r="A1984" s="8" t="inlineStr">
        <is>
          <t>PGCV_0027_1905</t>
        </is>
      </c>
      <c r="B1984" s="8" t="inlineStr">
        <is>
          <t>22-39148</t>
        </is>
      </c>
      <c r="C1984" s="8" t="inlineStr">
        <is>
          <t>CTDMGZQRIM</t>
        </is>
      </c>
      <c r="D1984" s="7" t="n">
        <v>27</v>
      </c>
      <c r="E1984" s="7" t="n">
        <v>1905</v>
      </c>
      <c r="F1984" s="7" t="inlineStr">
        <is>
          <t>Yes</t>
        </is>
      </c>
      <c r="G1984" s="8" t="n"/>
    </row>
    <row r="1985">
      <c r="A1985" s="8" t="inlineStr">
        <is>
          <t>PGCV_0027_1906</t>
        </is>
      </c>
      <c r="B1985" s="8" t="inlineStr">
        <is>
          <t>22-39236</t>
        </is>
      </c>
      <c r="C1985" s="8" t="inlineStr">
        <is>
          <t>ZPVTRNHSSL</t>
        </is>
      </c>
      <c r="D1985" s="7" t="n">
        <v>27</v>
      </c>
      <c r="E1985" s="7" t="n">
        <v>1906</v>
      </c>
      <c r="F1985" s="7" t="inlineStr">
        <is>
          <t>Yes</t>
        </is>
      </c>
      <c r="G1985" s="8" t="n"/>
    </row>
    <row r="1986">
      <c r="A1986" s="8" t="inlineStr">
        <is>
          <t>PGCV_0027_1907</t>
        </is>
      </c>
      <c r="B1986" s="8" t="inlineStr">
        <is>
          <t>22-39294</t>
        </is>
      </c>
      <c r="C1986" s="8" t="inlineStr">
        <is>
          <t>PDZRAO7N2V</t>
        </is>
      </c>
      <c r="D1986" s="7" t="n">
        <v>27</v>
      </c>
      <c r="E1986" s="7" t="n">
        <v>1907</v>
      </c>
      <c r="F1986" s="7" t="inlineStr">
        <is>
          <t>Yes</t>
        </is>
      </c>
      <c r="G1986" s="8" t="n"/>
    </row>
    <row r="1987">
      <c r="A1987" s="8" t="inlineStr">
        <is>
          <t>PGCV_0027_1908</t>
        </is>
      </c>
      <c r="B1987" s="8" t="inlineStr">
        <is>
          <t>22-39298</t>
        </is>
      </c>
      <c r="C1987" s="8" t="inlineStr">
        <is>
          <t>GJK3N2WBHA</t>
        </is>
      </c>
      <c r="D1987" s="7" t="n">
        <v>27</v>
      </c>
      <c r="E1987" s="7" t="n">
        <v>1908</v>
      </c>
      <c r="F1987" s="7" t="inlineStr">
        <is>
          <t>Yes</t>
        </is>
      </c>
      <c r="G1987" s="8" t="n"/>
    </row>
    <row r="1988">
      <c r="A1988" s="8" t="inlineStr">
        <is>
          <t>PGCV_0027_1909</t>
        </is>
      </c>
      <c r="B1988" s="8" t="inlineStr">
        <is>
          <t>22-39302</t>
        </is>
      </c>
      <c r="C1988" s="8" t="inlineStr">
        <is>
          <t>SPZWCZOLUD</t>
        </is>
      </c>
      <c r="D1988" s="7" t="n">
        <v>27</v>
      </c>
      <c r="E1988" s="7" t="n">
        <v>1909</v>
      </c>
      <c r="F1988" s="7" t="inlineStr">
        <is>
          <t>Yes</t>
        </is>
      </c>
      <c r="G1988" s="8" t="n"/>
    </row>
    <row r="1989">
      <c r="A1989" s="8" t="inlineStr">
        <is>
          <t>PGCV_0027_1910</t>
        </is>
      </c>
      <c r="B1989" s="8" t="inlineStr">
        <is>
          <t>22-39383</t>
        </is>
      </c>
      <c r="C1989" s="8" t="inlineStr">
        <is>
          <t>RNYWOQRJNO</t>
        </is>
      </c>
      <c r="D1989" s="7" t="n">
        <v>27</v>
      </c>
      <c r="E1989" s="7" t="n">
        <v>1910</v>
      </c>
      <c r="F1989" s="7" t="inlineStr">
        <is>
          <t>Yes</t>
        </is>
      </c>
      <c r="G1989" s="8" t="n"/>
    </row>
    <row r="1990">
      <c r="A1990" s="8" t="inlineStr">
        <is>
          <t>PGCV_0027_1911</t>
        </is>
      </c>
      <c r="B1990" s="8" t="inlineStr">
        <is>
          <t>22-39473</t>
        </is>
      </c>
      <c r="C1990" s="8" t="inlineStr">
        <is>
          <t>IWAJG7ISZF</t>
        </is>
      </c>
      <c r="D1990" s="7" t="n">
        <v>27</v>
      </c>
      <c r="E1990" s="7" t="n">
        <v>1911</v>
      </c>
      <c r="F1990" s="7" t="inlineStr">
        <is>
          <t>Yes</t>
        </is>
      </c>
      <c r="G1990" s="8" t="n"/>
    </row>
    <row r="1991">
      <c r="A1991" s="8" t="inlineStr">
        <is>
          <t>PGCV_0027_1912</t>
        </is>
      </c>
      <c r="B1991" s="8" t="inlineStr">
        <is>
          <t>22-39491</t>
        </is>
      </c>
      <c r="C1991" s="8" t="inlineStr">
        <is>
          <t>GQGPPGVGPC</t>
        </is>
      </c>
      <c r="D1991" s="7" t="n">
        <v>27</v>
      </c>
      <c r="E1991" s="7" t="n">
        <v>1912</v>
      </c>
      <c r="F1991" s="7" t="inlineStr">
        <is>
          <t>Yes</t>
        </is>
      </c>
      <c r="G1991" s="8" t="n"/>
    </row>
    <row r="1992">
      <c r="A1992" s="8" t="inlineStr">
        <is>
          <t>PGCV_0027_1913</t>
        </is>
      </c>
      <c r="B1992" s="8" t="inlineStr">
        <is>
          <t>22-39462</t>
        </is>
      </c>
      <c r="C1992" s="8" t="inlineStr">
        <is>
          <t>RVNCUZT30B</t>
        </is>
      </c>
      <c r="D1992" s="7" t="n">
        <v>27</v>
      </c>
      <c r="E1992" s="7" t="n">
        <v>1913</v>
      </c>
      <c r="F1992" s="7" t="inlineStr">
        <is>
          <t>Yes</t>
        </is>
      </c>
      <c r="G1992" s="8" t="n"/>
    </row>
    <row r="1993">
      <c r="A1993" s="8" t="inlineStr">
        <is>
          <t>PGCV_0027_1914</t>
        </is>
      </c>
      <c r="B1993" s="8" t="inlineStr">
        <is>
          <t>22-39513</t>
        </is>
      </c>
      <c r="C1993" s="8" t="inlineStr">
        <is>
          <t>COPFNLQHAZ</t>
        </is>
      </c>
      <c r="D1993" s="7" t="n">
        <v>27</v>
      </c>
      <c r="E1993" s="7" t="n">
        <v>1914</v>
      </c>
      <c r="F1993" s="7" t="inlineStr">
        <is>
          <t>Yes</t>
        </is>
      </c>
      <c r="G1993" s="8" t="n"/>
    </row>
    <row r="1994">
      <c r="A1994" s="8" t="inlineStr">
        <is>
          <t>PGCV_0027_1915</t>
        </is>
      </c>
      <c r="B1994" s="8" t="inlineStr">
        <is>
          <t>22-39534</t>
        </is>
      </c>
      <c r="C1994" s="8" t="inlineStr">
        <is>
          <t>UDDWXNJNVN</t>
        </is>
      </c>
      <c r="D1994" s="7" t="n">
        <v>27</v>
      </c>
      <c r="E1994" s="7" t="n">
        <v>1915</v>
      </c>
      <c r="F1994" s="7" t="inlineStr">
        <is>
          <t>Yes</t>
        </is>
      </c>
      <c r="G1994" s="8" t="n"/>
    </row>
    <row r="1995">
      <c r="A1995" s="8" t="inlineStr">
        <is>
          <t>PGCV_0027_1916</t>
        </is>
      </c>
      <c r="B1995" s="8" t="inlineStr">
        <is>
          <t>22-39564</t>
        </is>
      </c>
      <c r="C1995" s="8" t="inlineStr">
        <is>
          <t>TCYVICFWLU</t>
        </is>
      </c>
      <c r="D1995" s="7" t="n">
        <v>27</v>
      </c>
      <c r="E1995" s="7" t="n">
        <v>1916</v>
      </c>
      <c r="F1995" s="7" t="inlineStr">
        <is>
          <t>Yes</t>
        </is>
      </c>
      <c r="G1995" s="8" t="n"/>
    </row>
    <row r="1996">
      <c r="A1996" s="8" t="inlineStr">
        <is>
          <t>PGCV_0027_1917</t>
        </is>
      </c>
      <c r="B1996" s="8" t="inlineStr">
        <is>
          <t>22-39582</t>
        </is>
      </c>
      <c r="C1996" s="8" t="inlineStr">
        <is>
          <t>NMQA1MYBLN</t>
        </is>
      </c>
      <c r="D1996" s="7" t="n">
        <v>27</v>
      </c>
      <c r="E1996" s="7" t="n">
        <v>1917</v>
      </c>
      <c r="F1996" s="7" t="inlineStr">
        <is>
          <t>Yes</t>
        </is>
      </c>
      <c r="G1996" s="8" t="n"/>
    </row>
    <row r="1997">
      <c r="A1997" s="8" t="inlineStr">
        <is>
          <t>PGCV_0027_1918</t>
        </is>
      </c>
      <c r="B1997" s="8" t="inlineStr">
        <is>
          <t>22-39584</t>
        </is>
      </c>
      <c r="C1997" s="8" t="inlineStr">
        <is>
          <t>N1IUOKSHKX</t>
        </is>
      </c>
      <c r="D1997" s="7" t="n">
        <v>27</v>
      </c>
      <c r="E1997" s="7" t="n">
        <v>1918</v>
      </c>
      <c r="F1997" s="7" t="inlineStr">
        <is>
          <t>Yes</t>
        </is>
      </c>
      <c r="G1997" s="8" t="n"/>
    </row>
    <row r="1998">
      <c r="A1998" s="8" t="inlineStr">
        <is>
          <t>PGCV_0027_1919</t>
        </is>
      </c>
      <c r="B1998" s="8" t="inlineStr">
        <is>
          <t>22-39586</t>
        </is>
      </c>
      <c r="C1998" s="8" t="inlineStr">
        <is>
          <t>KQIJDOICVO</t>
        </is>
      </c>
      <c r="D1998" s="7" t="n">
        <v>27</v>
      </c>
      <c r="E1998" s="7" t="n">
        <v>1919</v>
      </c>
      <c r="F1998" s="7" t="inlineStr">
        <is>
          <t>Yes</t>
        </is>
      </c>
      <c r="G1998" s="8" t="n"/>
    </row>
    <row r="1999">
      <c r="A1999" s="8" t="inlineStr">
        <is>
          <t>PGCV_0027_1920</t>
        </is>
      </c>
      <c r="B1999" s="8" t="inlineStr">
        <is>
          <t>22-39640</t>
        </is>
      </c>
      <c r="C1999" s="8" t="inlineStr">
        <is>
          <t>NF6V8VIPZY</t>
        </is>
      </c>
      <c r="D1999" s="7" t="n">
        <v>27</v>
      </c>
      <c r="E1999" s="7" t="n">
        <v>1920</v>
      </c>
      <c r="F1999" s="7" t="inlineStr">
        <is>
          <t>Yes</t>
        </is>
      </c>
      <c r="G1999" s="8" t="n"/>
    </row>
    <row r="2000">
      <c r="A2000" s="8" t="inlineStr">
        <is>
          <t>PGCV_0027_1921</t>
        </is>
      </c>
      <c r="B2000" s="8" t="inlineStr">
        <is>
          <t>22-39641</t>
        </is>
      </c>
      <c r="C2000" s="8" t="inlineStr">
        <is>
          <t>WSB7L29TJ3</t>
        </is>
      </c>
      <c r="D2000" s="7" t="n">
        <v>27</v>
      </c>
      <c r="E2000" s="7" t="n">
        <v>1921</v>
      </c>
      <c r="F2000" s="7" t="inlineStr">
        <is>
          <t>Yes</t>
        </is>
      </c>
      <c r="G2000" s="8" t="n"/>
    </row>
    <row r="2001">
      <c r="A2001" s="8" t="inlineStr">
        <is>
          <t>PGCV_0027_1922</t>
        </is>
      </c>
      <c r="B2001" s="8" t="inlineStr">
        <is>
          <t>730B114495</t>
        </is>
      </c>
      <c r="C2001" s="8" t="inlineStr">
        <is>
          <t>MBLCAISI5F</t>
        </is>
      </c>
      <c r="D2001" s="7" t="n">
        <v>27</v>
      </c>
      <c r="E2001" s="7" t="n">
        <v>1922</v>
      </c>
      <c r="F2001" s="7" t="inlineStr">
        <is>
          <t>Yes</t>
        </is>
      </c>
      <c r="G2001" s="8" t="n"/>
    </row>
    <row r="2002">
      <c r="A2002" s="8" t="inlineStr">
        <is>
          <t>PGCV_0027_1923</t>
        </is>
      </c>
      <c r="B2002" s="8" t="inlineStr">
        <is>
          <t>730B114498</t>
        </is>
      </c>
      <c r="C2002" s="8" t="inlineStr">
        <is>
          <t>WWYDUHH1D8</t>
        </is>
      </c>
      <c r="D2002" s="7" t="n">
        <v>27</v>
      </c>
      <c r="E2002" s="7" t="n">
        <v>1923</v>
      </c>
      <c r="F2002" s="7" t="inlineStr">
        <is>
          <t>Yes</t>
        </is>
      </c>
      <c r="G2002" s="8" t="n"/>
    </row>
    <row r="2003">
      <c r="A2003" s="8" t="inlineStr">
        <is>
          <t>PGCV_0028_1924</t>
        </is>
      </c>
      <c r="B2003" s="8" t="inlineStr">
        <is>
          <t>730B114561</t>
        </is>
      </c>
      <c r="C2003" s="8" t="inlineStr">
        <is>
          <t>I80P0QLG6S</t>
        </is>
      </c>
      <c r="D2003" s="7" t="n">
        <v>28</v>
      </c>
      <c r="E2003" s="7" t="n">
        <v>1924</v>
      </c>
      <c r="F2003" s="7" t="inlineStr">
        <is>
          <t>Yes</t>
        </is>
      </c>
      <c r="G2003" s="8" t="n"/>
    </row>
    <row r="2004">
      <c r="A2004" s="8" t="inlineStr">
        <is>
          <t>PGCV_0027_1925</t>
        </is>
      </c>
      <c r="B2004" s="8" t="inlineStr">
        <is>
          <t>730B114562</t>
        </is>
      </c>
      <c r="C2004" s="8" t="inlineStr">
        <is>
          <t>XI0OHSOPER</t>
        </is>
      </c>
      <c r="D2004" s="7" t="n">
        <v>27</v>
      </c>
      <c r="E2004" s="7" t="n">
        <v>1925</v>
      </c>
      <c r="F2004" s="7" t="inlineStr">
        <is>
          <t>Yes</t>
        </is>
      </c>
      <c r="G2004" s="8" t="n"/>
    </row>
    <row r="2005">
      <c r="A2005" s="8" t="inlineStr">
        <is>
          <t>PGCV_0027_1926</t>
        </is>
      </c>
      <c r="B2005" s="8" t="inlineStr">
        <is>
          <t>731B114604</t>
        </is>
      </c>
      <c r="C2005" s="8" t="inlineStr">
        <is>
          <t>AQKIRZ8GFM</t>
        </is>
      </c>
      <c r="D2005" s="7" t="n">
        <v>27</v>
      </c>
      <c r="E2005" s="7" t="n">
        <v>1926</v>
      </c>
      <c r="F2005" s="7" t="inlineStr">
        <is>
          <t>Yes</t>
        </is>
      </c>
      <c r="G2005" s="8" t="n"/>
    </row>
    <row r="2006">
      <c r="A2006" s="8" t="inlineStr">
        <is>
          <t>PGCV_0027_1927</t>
        </is>
      </c>
      <c r="B2006" s="8" t="inlineStr">
        <is>
          <t>731B114631</t>
        </is>
      </c>
      <c r="C2006" s="8" t="inlineStr">
        <is>
          <t>LTLFPMNOIN</t>
        </is>
      </c>
      <c r="D2006" s="7" t="n">
        <v>27</v>
      </c>
      <c r="E2006" s="7" t="n">
        <v>1927</v>
      </c>
      <c r="F2006" s="7" t="inlineStr">
        <is>
          <t>Yes</t>
        </is>
      </c>
      <c r="G2006" s="8" t="n"/>
    </row>
    <row r="2007">
      <c r="A2007" s="8" t="inlineStr">
        <is>
          <t>PGCV_0027_1928</t>
        </is>
      </c>
      <c r="B2007" s="8" t="inlineStr">
        <is>
          <t>731B114632</t>
        </is>
      </c>
      <c r="C2007" s="8" t="inlineStr">
        <is>
          <t>QKFOKMHF8Z</t>
        </is>
      </c>
      <c r="D2007" s="7" t="n">
        <v>27</v>
      </c>
      <c r="E2007" s="7" t="n">
        <v>1928</v>
      </c>
      <c r="F2007" s="7" t="inlineStr">
        <is>
          <t>Yes</t>
        </is>
      </c>
      <c r="G2007" s="8" t="n"/>
    </row>
    <row r="2008">
      <c r="A2008" s="8" t="inlineStr">
        <is>
          <t>PGCV_0027_1929</t>
        </is>
      </c>
      <c r="B2008" s="8" t="inlineStr">
        <is>
          <t>731B114633</t>
        </is>
      </c>
      <c r="C2008" s="8" t="inlineStr">
        <is>
          <t>CBXWJKOIVK</t>
        </is>
      </c>
      <c r="D2008" s="7" t="n">
        <v>27</v>
      </c>
      <c r="E2008" s="7" t="n">
        <v>1929</v>
      </c>
      <c r="F2008" s="7" t="inlineStr">
        <is>
          <t>Yes</t>
        </is>
      </c>
      <c r="G2008" s="8" t="n"/>
    </row>
    <row r="2009">
      <c r="A2009" s="8" t="inlineStr">
        <is>
          <t>PGCV_0027_1930</t>
        </is>
      </c>
      <c r="B2009" s="8" t="inlineStr">
        <is>
          <t>731B114645</t>
        </is>
      </c>
      <c r="C2009" s="8" t="inlineStr">
        <is>
          <t>B2FIKCSBWD</t>
        </is>
      </c>
      <c r="D2009" s="7" t="n">
        <v>27</v>
      </c>
      <c r="E2009" s="7" t="n">
        <v>1930</v>
      </c>
      <c r="F2009" s="7" t="inlineStr">
        <is>
          <t>Yes</t>
        </is>
      </c>
      <c r="G2009" s="8" t="n"/>
    </row>
    <row r="2010">
      <c r="A2010" s="8" t="inlineStr">
        <is>
          <t>PGCV_0027_1931</t>
        </is>
      </c>
      <c r="B2010" s="8" t="inlineStr">
        <is>
          <t>731B114666</t>
        </is>
      </c>
      <c r="C2010" s="8" t="inlineStr">
        <is>
          <t>L74PXP4YRG</t>
        </is>
      </c>
      <c r="D2010" s="7" t="n">
        <v>27</v>
      </c>
      <c r="E2010" s="7" t="n">
        <v>1931</v>
      </c>
      <c r="F2010" s="7" t="inlineStr">
        <is>
          <t>Yes</t>
        </is>
      </c>
      <c r="G2010" s="8" t="n"/>
    </row>
    <row r="2011">
      <c r="A2011" s="8" t="inlineStr">
        <is>
          <t>PGCV_0027_1932</t>
        </is>
      </c>
      <c r="B2011" s="8" t="inlineStr">
        <is>
          <t>731B114667</t>
        </is>
      </c>
      <c r="C2011" s="8" t="inlineStr">
        <is>
          <t>O8JISU63BT</t>
        </is>
      </c>
      <c r="D2011" s="7" t="n">
        <v>27</v>
      </c>
      <c r="E2011" s="7" t="n">
        <v>1932</v>
      </c>
      <c r="F2011" s="7" t="inlineStr">
        <is>
          <t>Yes</t>
        </is>
      </c>
      <c r="G2011" s="8" t="n"/>
    </row>
    <row r="2012">
      <c r="A2012" s="8" t="inlineStr">
        <is>
          <t>PGCV_0027_1933</t>
        </is>
      </c>
      <c r="B2012" s="8" t="inlineStr">
        <is>
          <t>731B114669</t>
        </is>
      </c>
      <c r="C2012" s="8" t="inlineStr">
        <is>
          <t>AYGW6RLWYG</t>
        </is>
      </c>
      <c r="D2012" s="7" t="n">
        <v>27</v>
      </c>
      <c r="E2012" s="7" t="n">
        <v>1933</v>
      </c>
      <c r="F2012" s="7" t="inlineStr">
        <is>
          <t>Yes</t>
        </is>
      </c>
      <c r="G2012" s="8" t="n"/>
    </row>
    <row r="2013">
      <c r="A2013" s="8" t="inlineStr">
        <is>
          <t>PGCV_0027_1934</t>
        </is>
      </c>
      <c r="B2013" s="8" t="inlineStr">
        <is>
          <t>731B114712</t>
        </is>
      </c>
      <c r="C2013" s="8" t="inlineStr">
        <is>
          <t>7RYYTGE9CV</t>
        </is>
      </c>
      <c r="D2013" s="7" t="n">
        <v>27</v>
      </c>
      <c r="E2013" s="7" t="n">
        <v>1934</v>
      </c>
      <c r="F2013" s="7" t="inlineStr">
        <is>
          <t>Yes</t>
        </is>
      </c>
      <c r="G2013" s="8" t="n"/>
    </row>
    <row r="2014">
      <c r="A2014" s="8" t="inlineStr">
        <is>
          <t>PGCV_0027_1935</t>
        </is>
      </c>
      <c r="B2014" s="8" t="inlineStr">
        <is>
          <t>732B114785</t>
        </is>
      </c>
      <c r="C2014" s="8" t="inlineStr">
        <is>
          <t>V7UL7BJNBZ</t>
        </is>
      </c>
      <c r="D2014" s="7" t="n">
        <v>27</v>
      </c>
      <c r="E2014" s="7" t="n">
        <v>1935</v>
      </c>
      <c r="F2014" s="7" t="inlineStr">
        <is>
          <t>Yes</t>
        </is>
      </c>
      <c r="G2014" s="8" t="n"/>
    </row>
    <row r="2015">
      <c r="A2015" s="8" t="inlineStr">
        <is>
          <t>PGCV_0027_1936</t>
        </is>
      </c>
      <c r="B2015" s="8" t="inlineStr">
        <is>
          <t>732B114787</t>
        </is>
      </c>
      <c r="C2015" s="8" t="inlineStr">
        <is>
          <t>W0SAUIFZTG</t>
        </is>
      </c>
      <c r="D2015" s="7" t="n">
        <v>27</v>
      </c>
      <c r="E2015" s="7" t="n">
        <v>1936</v>
      </c>
      <c r="F2015" s="7" t="inlineStr">
        <is>
          <t>Yes</t>
        </is>
      </c>
      <c r="G2015" s="8" t="n"/>
    </row>
    <row r="2016">
      <c r="A2016" s="8" t="inlineStr">
        <is>
          <t>PGCV_0027_1937</t>
        </is>
      </c>
      <c r="B2016" s="8" t="inlineStr">
        <is>
          <t>732B114753</t>
        </is>
      </c>
      <c r="C2016" s="8" t="inlineStr">
        <is>
          <t>Y0RA6MG5NV</t>
        </is>
      </c>
      <c r="D2016" s="7" t="n">
        <v>27</v>
      </c>
      <c r="E2016" s="7" t="n">
        <v>1937</v>
      </c>
      <c r="F2016" s="7" t="inlineStr">
        <is>
          <t>Yes</t>
        </is>
      </c>
      <c r="G2016" s="8" t="n"/>
    </row>
    <row r="2017">
      <c r="A2017" s="8" t="inlineStr">
        <is>
          <t>PGCV_0027_1938</t>
        </is>
      </c>
      <c r="B2017" s="8" t="inlineStr">
        <is>
          <t>732B114759</t>
        </is>
      </c>
      <c r="C2017" s="8" t="inlineStr">
        <is>
          <t>JZ96XBCLOM</t>
        </is>
      </c>
      <c r="D2017" s="7" t="n">
        <v>27</v>
      </c>
      <c r="E2017" s="7" t="n">
        <v>1938</v>
      </c>
      <c r="F2017" s="7" t="inlineStr">
        <is>
          <t>Yes</t>
        </is>
      </c>
      <c r="G2017" s="8" t="n"/>
    </row>
    <row r="2018">
      <c r="A2018" s="8" t="inlineStr">
        <is>
          <t>PGCV_0027_1939</t>
        </is>
      </c>
      <c r="B2018" s="8" t="inlineStr">
        <is>
          <t>733B114854</t>
        </is>
      </c>
      <c r="C2018" s="8" t="inlineStr">
        <is>
          <t>YNXRW1II38</t>
        </is>
      </c>
      <c r="D2018" s="7" t="n">
        <v>27</v>
      </c>
      <c r="E2018" s="7" t="n">
        <v>1939</v>
      </c>
      <c r="F2018" s="7" t="inlineStr">
        <is>
          <t>Yes</t>
        </is>
      </c>
      <c r="G2018" s="8" t="n"/>
    </row>
    <row r="2019">
      <c r="A2019" s="8" t="inlineStr">
        <is>
          <t>PGCV_0027_1940</t>
        </is>
      </c>
      <c r="B2019" s="8" t="inlineStr">
        <is>
          <t>733B114860</t>
        </is>
      </c>
      <c r="C2019" s="8" t="inlineStr">
        <is>
          <t>PFLPHKF51S</t>
        </is>
      </c>
      <c r="D2019" s="7" t="n">
        <v>27</v>
      </c>
      <c r="E2019" s="7" t="n">
        <v>1940</v>
      </c>
      <c r="F2019" s="7" t="inlineStr">
        <is>
          <t>Yes</t>
        </is>
      </c>
      <c r="G2019" s="8" t="n"/>
    </row>
    <row r="2020">
      <c r="A2020" s="8" t="inlineStr">
        <is>
          <t>PGCV_0027_1941</t>
        </is>
      </c>
      <c r="B2020" s="8" t="inlineStr">
        <is>
          <t>733B114862</t>
        </is>
      </c>
      <c r="C2020" s="8" t="inlineStr">
        <is>
          <t>CYMPVPDHHR</t>
        </is>
      </c>
      <c r="D2020" s="7" t="n">
        <v>27</v>
      </c>
      <c r="E2020" s="7" t="n">
        <v>1941</v>
      </c>
      <c r="F2020" s="7" t="inlineStr">
        <is>
          <t>Yes</t>
        </is>
      </c>
      <c r="G2020" s="8" t="n"/>
    </row>
    <row r="2021">
      <c r="A2021" s="8" t="inlineStr">
        <is>
          <t>PGCV_0027_1942</t>
        </is>
      </c>
      <c r="B2021" s="8" t="inlineStr">
        <is>
          <t>734B114922</t>
        </is>
      </c>
      <c r="C2021" s="8" t="inlineStr">
        <is>
          <t>UVXVE55HOL</t>
        </is>
      </c>
      <c r="D2021" s="7" t="n">
        <v>27</v>
      </c>
      <c r="E2021" s="7" t="n">
        <v>1942</v>
      </c>
      <c r="F2021" s="7" t="inlineStr">
        <is>
          <t>Yes</t>
        </is>
      </c>
      <c r="G2021" s="8" t="n"/>
    </row>
    <row r="2022">
      <c r="A2022" s="8" t="inlineStr">
        <is>
          <t>PGCV_0027_1943</t>
        </is>
      </c>
      <c r="B2022" s="8" t="inlineStr">
        <is>
          <t>734B114963</t>
        </is>
      </c>
      <c r="C2022" s="8" t="inlineStr">
        <is>
          <t>LODA9O7CND</t>
        </is>
      </c>
      <c r="D2022" s="7" t="n">
        <v>27</v>
      </c>
      <c r="E2022" s="7" t="n">
        <v>1943</v>
      </c>
      <c r="F2022" s="7" t="inlineStr">
        <is>
          <t>Yes</t>
        </is>
      </c>
      <c r="G2022" s="8" t="n"/>
    </row>
    <row r="2023">
      <c r="A2023" s="8" t="inlineStr">
        <is>
          <t>PGCV_0027_1944</t>
        </is>
      </c>
      <c r="B2023" s="8" t="inlineStr">
        <is>
          <t>734B114982</t>
        </is>
      </c>
      <c r="C2023" s="8" t="inlineStr">
        <is>
          <t>VMNUZP4ZNJ</t>
        </is>
      </c>
      <c r="D2023" s="7" t="n">
        <v>27</v>
      </c>
      <c r="E2023" s="7" t="n">
        <v>1944</v>
      </c>
      <c r="F2023" s="7" t="inlineStr">
        <is>
          <t>Yes</t>
        </is>
      </c>
      <c r="G2023" s="8" t="n"/>
    </row>
    <row r="2024">
      <c r="A2024" s="8" t="inlineStr">
        <is>
          <t>PGCV_0027_1945</t>
        </is>
      </c>
      <c r="B2024" s="8" t="inlineStr">
        <is>
          <t>735B115038</t>
        </is>
      </c>
      <c r="C2024" s="8" t="inlineStr">
        <is>
          <t>HKAMBCQ208</t>
        </is>
      </c>
      <c r="D2024" s="7" t="n">
        <v>27</v>
      </c>
      <c r="E2024" s="7" t="n">
        <v>1945</v>
      </c>
      <c r="F2024" s="7" t="inlineStr">
        <is>
          <t>Yes</t>
        </is>
      </c>
      <c r="G2024" s="8" t="n"/>
    </row>
    <row r="2025">
      <c r="A2025" s="8" t="inlineStr">
        <is>
          <t>PGCV_0027_1946</t>
        </is>
      </c>
      <c r="B2025" s="8" t="inlineStr">
        <is>
          <t>735B115075</t>
        </is>
      </c>
      <c r="C2025" s="8" t="inlineStr">
        <is>
          <t>W20JO3SJ5K</t>
        </is>
      </c>
      <c r="D2025" s="7" t="n">
        <v>27</v>
      </c>
      <c r="E2025" s="7" t="n">
        <v>1946</v>
      </c>
      <c r="F2025" s="7" t="inlineStr">
        <is>
          <t>Yes</t>
        </is>
      </c>
      <c r="G2025" s="8" t="n"/>
    </row>
    <row r="2026">
      <c r="A2026" s="8" t="inlineStr">
        <is>
          <t>PGCV_0027_1947</t>
        </is>
      </c>
      <c r="B2026" s="8" t="inlineStr">
        <is>
          <t>735B115116</t>
        </is>
      </c>
      <c r="C2026" s="8" t="inlineStr">
        <is>
          <t>EGAPASVREC</t>
        </is>
      </c>
      <c r="D2026" s="7" t="n">
        <v>27</v>
      </c>
      <c r="E2026" s="7" t="n">
        <v>1947</v>
      </c>
      <c r="F2026" s="7" t="inlineStr">
        <is>
          <t>Yes</t>
        </is>
      </c>
      <c r="G2026" s="8" t="n"/>
    </row>
    <row r="2027">
      <c r="A2027" s="8" t="inlineStr">
        <is>
          <t>PGCV_0027_1948</t>
        </is>
      </c>
      <c r="B2027" s="8" t="inlineStr">
        <is>
          <t>735B115117</t>
        </is>
      </c>
      <c r="C2027" s="8" t="inlineStr">
        <is>
          <t>FBOPSUYTGI</t>
        </is>
      </c>
      <c r="D2027" s="7" t="n">
        <v>27</v>
      </c>
      <c r="E2027" s="7" t="n">
        <v>1948</v>
      </c>
      <c r="F2027" s="7" t="inlineStr">
        <is>
          <t>Yes</t>
        </is>
      </c>
      <c r="G2027" s="8" t="n"/>
    </row>
    <row r="2028">
      <c r="A2028" s="8" t="inlineStr">
        <is>
          <t>PGCV_0027_1949</t>
        </is>
      </c>
      <c r="B2028" s="8" t="inlineStr">
        <is>
          <t>C33743</t>
        </is>
      </c>
      <c r="C2028" s="8" t="inlineStr">
        <is>
          <t>MKQBFJSYUA</t>
        </is>
      </c>
      <c r="D2028" s="7" t="n">
        <v>27</v>
      </c>
      <c r="E2028" s="7" t="n">
        <v>1949</v>
      </c>
      <c r="F2028" s="7" t="inlineStr">
        <is>
          <t>Yes</t>
        </is>
      </c>
      <c r="G2028" s="8" t="n"/>
    </row>
    <row r="2029">
      <c r="A2029" s="8" t="inlineStr">
        <is>
          <t>PGCV_0027_1950</t>
        </is>
      </c>
      <c r="B2029" s="8" t="inlineStr">
        <is>
          <t>C33763</t>
        </is>
      </c>
      <c r="C2029" s="8" t="n"/>
      <c r="D2029" s="7" t="n">
        <v>27</v>
      </c>
      <c r="E2029" s="7" t="n">
        <v>1950</v>
      </c>
      <c r="F2029" s="7" t="inlineStr">
        <is>
          <t>Yes</t>
        </is>
      </c>
      <c r="G2029" s="8" t="n"/>
    </row>
    <row r="2030">
      <c r="A2030" s="8" t="inlineStr">
        <is>
          <t>PGCV_0027_1951</t>
        </is>
      </c>
      <c r="B2030" s="8" t="inlineStr">
        <is>
          <t>C33853</t>
        </is>
      </c>
      <c r="C2030" s="8" t="n"/>
      <c r="D2030" s="7" t="n">
        <v>27</v>
      </c>
      <c r="E2030" s="7" t="n">
        <v>1951</v>
      </c>
      <c r="F2030" s="7" t="inlineStr">
        <is>
          <t>Yes</t>
        </is>
      </c>
      <c r="G2030" s="8" t="n"/>
    </row>
    <row r="2031">
      <c r="A2031" s="8" t="inlineStr">
        <is>
          <t>PGCV_0027_1952</t>
        </is>
      </c>
      <c r="B2031" s="8" t="inlineStr">
        <is>
          <t>C33873</t>
        </is>
      </c>
      <c r="C2031" s="8" t="n"/>
      <c r="D2031" s="7" t="n">
        <v>27</v>
      </c>
      <c r="E2031" s="7" t="n">
        <v>1952</v>
      </c>
      <c r="F2031" s="7" t="inlineStr">
        <is>
          <t>Yes</t>
        </is>
      </c>
      <c r="G2031" s="8" t="n"/>
    </row>
    <row r="2032">
      <c r="A2032" s="8" t="inlineStr">
        <is>
          <t>PGCV_0027_1953</t>
        </is>
      </c>
      <c r="B2032" s="8" t="inlineStr">
        <is>
          <t>C33970</t>
        </is>
      </c>
      <c r="C2032" s="8" t="n"/>
      <c r="D2032" s="7" t="n">
        <v>27</v>
      </c>
      <c r="E2032" s="7" t="n">
        <v>1953</v>
      </c>
      <c r="F2032" s="7" t="inlineStr">
        <is>
          <t>Yes</t>
        </is>
      </c>
      <c r="G2032" s="8" t="n"/>
    </row>
    <row r="2033">
      <c r="A2033" s="8" t="inlineStr">
        <is>
          <t>PGCV_0027_1954</t>
        </is>
      </c>
      <c r="B2033" s="8" t="inlineStr">
        <is>
          <t>C34020</t>
        </is>
      </c>
      <c r="C2033" s="8" t="n"/>
      <c r="D2033" s="7" t="n">
        <v>27</v>
      </c>
      <c r="E2033" s="7" t="n">
        <v>1954</v>
      </c>
      <c r="F2033" s="7" t="inlineStr">
        <is>
          <t>Yes</t>
        </is>
      </c>
      <c r="G2033" s="8" t="n"/>
    </row>
    <row r="2034">
      <c r="A2034" s="8" t="inlineStr">
        <is>
          <t>PGCV_0027_1955</t>
        </is>
      </c>
      <c r="B2034" s="8" t="inlineStr">
        <is>
          <t>C34047</t>
        </is>
      </c>
      <c r="C2034" s="8" t="n"/>
      <c r="D2034" s="7" t="n">
        <v>27</v>
      </c>
      <c r="E2034" s="7" t="n">
        <v>1955</v>
      </c>
      <c r="F2034" s="7" t="inlineStr">
        <is>
          <t>Yes</t>
        </is>
      </c>
      <c r="G2034" s="8" t="n"/>
    </row>
    <row r="2035">
      <c r="A2035" s="8" t="inlineStr">
        <is>
          <t>PGCV_0027_1956</t>
        </is>
      </c>
      <c r="B2035" s="8" t="inlineStr">
        <is>
          <t>C34123</t>
        </is>
      </c>
      <c r="C2035" s="8" t="n"/>
      <c r="D2035" s="7" t="n">
        <v>27</v>
      </c>
      <c r="E2035" s="7" t="n">
        <v>1956</v>
      </c>
      <c r="F2035" s="7" t="inlineStr">
        <is>
          <t>Yes</t>
        </is>
      </c>
      <c r="G2035" s="8" t="n"/>
    </row>
    <row r="2036">
      <c r="A2036" s="8" t="inlineStr">
        <is>
          <t>PGCV_0027_1957</t>
        </is>
      </c>
      <c r="B2036" s="8" t="inlineStr">
        <is>
          <t>C34124</t>
        </is>
      </c>
      <c r="C2036" s="8" t="n"/>
      <c r="D2036" s="7" t="n">
        <v>27</v>
      </c>
      <c r="E2036" s="7" t="n">
        <v>1957</v>
      </c>
      <c r="F2036" s="7" t="inlineStr">
        <is>
          <t>Yes</t>
        </is>
      </c>
      <c r="G2036" s="8" t="n"/>
    </row>
    <row r="2037">
      <c r="A2037" s="8" t="inlineStr">
        <is>
          <t>PGCV_0027_1958</t>
        </is>
      </c>
      <c r="B2037" s="8" t="inlineStr">
        <is>
          <t>C34148</t>
        </is>
      </c>
      <c r="C2037" s="8" t="n"/>
      <c r="D2037" s="7" t="n">
        <v>27</v>
      </c>
      <c r="E2037" s="7" t="n">
        <v>1958</v>
      </c>
      <c r="F2037" s="7" t="inlineStr">
        <is>
          <t>Yes</t>
        </is>
      </c>
      <c r="G2037" s="8" t="n"/>
    </row>
    <row r="2038">
      <c r="A2038" s="8" t="inlineStr">
        <is>
          <t>PGCV_0027_1959</t>
        </is>
      </c>
      <c r="B2038" s="8" t="inlineStr">
        <is>
          <t>C34355</t>
        </is>
      </c>
      <c r="C2038" s="8" t="n"/>
      <c r="D2038" s="7" t="n">
        <v>27</v>
      </c>
      <c r="E2038" s="7" t="n">
        <v>1959</v>
      </c>
      <c r="F2038" s="7" t="inlineStr">
        <is>
          <t>Yes</t>
        </is>
      </c>
      <c r="G2038" s="8" t="n"/>
    </row>
    <row r="2039">
      <c r="A2039" s="8" t="inlineStr">
        <is>
          <t>PGCV_0027_1960</t>
        </is>
      </c>
      <c r="B2039" s="8" t="inlineStr">
        <is>
          <t>C34383</t>
        </is>
      </c>
      <c r="C2039" s="8" t="n"/>
      <c r="D2039" s="7" t="n">
        <v>27</v>
      </c>
      <c r="E2039" s="7" t="n">
        <v>1960</v>
      </c>
      <c r="F2039" s="7" t="inlineStr">
        <is>
          <t>Yes</t>
        </is>
      </c>
      <c r="G2039" s="8" t="n"/>
    </row>
    <row r="2040">
      <c r="A2040" s="8" t="inlineStr">
        <is>
          <t>PGCV_0027_1961</t>
        </is>
      </c>
      <c r="B2040" s="8" t="inlineStr">
        <is>
          <t>C34393</t>
        </is>
      </c>
      <c r="C2040" s="8" t="n"/>
      <c r="D2040" s="7" t="n">
        <v>27</v>
      </c>
      <c r="E2040" s="7" t="n">
        <v>1961</v>
      </c>
      <c r="F2040" s="7" t="inlineStr">
        <is>
          <t>Yes</t>
        </is>
      </c>
      <c r="G2040" s="8" t="n"/>
    </row>
    <row r="2041">
      <c r="A2041" s="8" t="inlineStr">
        <is>
          <t>PGCV_0027_1962</t>
        </is>
      </c>
      <c r="B2041" s="8" t="inlineStr">
        <is>
          <t>C34395</t>
        </is>
      </c>
      <c r="C2041" s="8" t="n"/>
      <c r="D2041" s="7" t="n">
        <v>27</v>
      </c>
      <c r="E2041" s="7" t="n">
        <v>1962</v>
      </c>
      <c r="F2041" s="7" t="inlineStr">
        <is>
          <t>Yes</t>
        </is>
      </c>
      <c r="G2041" s="8" t="n"/>
    </row>
    <row r="2042">
      <c r="A2042" s="8" t="inlineStr">
        <is>
          <t>PGCV_0027_1963</t>
        </is>
      </c>
      <c r="B2042" s="8" t="inlineStr">
        <is>
          <t>C34396</t>
        </is>
      </c>
      <c r="C2042" s="8" t="n"/>
      <c r="D2042" s="7" t="n">
        <v>27</v>
      </c>
      <c r="E2042" s="7" t="n">
        <v>1963</v>
      </c>
      <c r="F2042" s="7" t="inlineStr">
        <is>
          <t>Yes</t>
        </is>
      </c>
      <c r="G2042" s="8" t="n"/>
    </row>
    <row r="2043">
      <c r="A2043" s="8" t="inlineStr">
        <is>
          <t>PGCV_0027_1964</t>
        </is>
      </c>
      <c r="B2043" s="8" t="inlineStr">
        <is>
          <t>C34479</t>
        </is>
      </c>
      <c r="C2043" s="8" t="n"/>
      <c r="D2043" s="7" t="n">
        <v>27</v>
      </c>
      <c r="E2043" s="7" t="n">
        <v>1964</v>
      </c>
      <c r="F2043" s="7" t="inlineStr">
        <is>
          <t>Yes</t>
        </is>
      </c>
      <c r="G2043" s="8" t="n"/>
    </row>
    <row r="2044">
      <c r="A2044" s="8" t="inlineStr">
        <is>
          <t>PGCV_0027_1965</t>
        </is>
      </c>
      <c r="B2044" s="8" t="inlineStr">
        <is>
          <t>C34513</t>
        </is>
      </c>
      <c r="C2044" s="8" t="n"/>
      <c r="D2044" s="7" t="n">
        <v>27</v>
      </c>
      <c r="E2044" s="7" t="n">
        <v>1965</v>
      </c>
      <c r="F2044" s="7" t="inlineStr">
        <is>
          <t>Yes</t>
        </is>
      </c>
      <c r="G2044" s="8" t="n"/>
    </row>
    <row r="2045">
      <c r="A2045" s="8" t="inlineStr">
        <is>
          <t>PGCV_0027_1966</t>
        </is>
      </c>
      <c r="B2045" s="8" t="inlineStr">
        <is>
          <t>C34527</t>
        </is>
      </c>
      <c r="C2045" s="8" t="n"/>
      <c r="D2045" s="7" t="n">
        <v>27</v>
      </c>
      <c r="E2045" s="7" t="n">
        <v>1966</v>
      </c>
      <c r="F2045" s="7" t="inlineStr">
        <is>
          <t>Yes</t>
        </is>
      </c>
      <c r="G2045" s="8" t="n"/>
    </row>
    <row r="2046">
      <c r="A2046" s="8" t="inlineStr">
        <is>
          <t>PGCV_0028_1889</t>
        </is>
      </c>
      <c r="B2046" s="8" t="inlineStr">
        <is>
          <t>22-38679</t>
        </is>
      </c>
      <c r="C2046" s="8" t="n"/>
      <c r="D2046" s="7" t="n">
        <v>28</v>
      </c>
      <c r="E2046" s="7" t="n">
        <v>1889</v>
      </c>
      <c r="F2046" s="7" t="inlineStr">
        <is>
          <t>Yes</t>
        </is>
      </c>
      <c r="G2046" s="12" t="inlineStr">
        <is>
          <t>duplicate Strain_ID (also row 1968)</t>
        </is>
      </c>
    </row>
    <row r="2047">
      <c r="A2047" s="8" t="inlineStr">
        <is>
          <t>PGCV_0028_1924</t>
        </is>
      </c>
      <c r="B2047" s="8" t="inlineStr">
        <is>
          <t>730B114561</t>
        </is>
      </c>
      <c r="C2047" s="8" t="n"/>
      <c r="D2047" s="7" t="n">
        <v>28</v>
      </c>
      <c r="E2047" s="7" t="n">
        <v>1924</v>
      </c>
      <c r="F2047" s="7" t="inlineStr">
        <is>
          <t>Yes</t>
        </is>
      </c>
      <c r="G2047" s="12" t="inlineStr">
        <is>
          <t>duplicate Strain_ID (also row 2003)</t>
        </is>
      </c>
    </row>
    <row r="2048">
      <c r="A2048" s="8" t="inlineStr">
        <is>
          <t>PGCV_0028_1967</t>
        </is>
      </c>
      <c r="B2048" s="8" t="inlineStr">
        <is>
          <t>MLAB176702</t>
        </is>
      </c>
      <c r="C2048" s="8" t="n"/>
      <c r="D2048" s="7" t="n">
        <v>28</v>
      </c>
      <c r="E2048" s="7" t="n">
        <v>1967</v>
      </c>
      <c r="F2048" s="7" t="inlineStr">
        <is>
          <t>Yes</t>
        </is>
      </c>
      <c r="G2048" s="8" t="n"/>
    </row>
    <row r="2049">
      <c r="A2049" s="8" t="inlineStr">
        <is>
          <t>PGCV_0028_1968</t>
        </is>
      </c>
      <c r="B2049" s="8" t="inlineStr">
        <is>
          <t>MLAB176703</t>
        </is>
      </c>
      <c r="C2049" s="8" t="n"/>
      <c r="D2049" s="7" t="n">
        <v>28</v>
      </c>
      <c r="E2049" s="7" t="n">
        <v>1968</v>
      </c>
      <c r="F2049" s="7" t="inlineStr">
        <is>
          <t>Yes</t>
        </is>
      </c>
      <c r="G2049" s="8" t="n"/>
    </row>
    <row r="2050">
      <c r="A2050" s="8" t="inlineStr">
        <is>
          <t>PGCV_0028_1969</t>
        </is>
      </c>
      <c r="B2050" s="8" t="inlineStr">
        <is>
          <t>MLAB176711</t>
        </is>
      </c>
      <c r="C2050" s="8" t="n"/>
      <c r="D2050" s="7" t="n">
        <v>28</v>
      </c>
      <c r="E2050" s="7" t="n">
        <v>1969</v>
      </c>
      <c r="F2050" s="7" t="inlineStr">
        <is>
          <t>Yes</t>
        </is>
      </c>
      <c r="G2050" s="8" t="n"/>
    </row>
    <row r="2051">
      <c r="A2051" s="8" t="inlineStr">
        <is>
          <t>PGCV_0028_1970</t>
        </is>
      </c>
      <c r="B2051" s="8" t="inlineStr">
        <is>
          <t>MLAB176720</t>
        </is>
      </c>
      <c r="C2051" s="8" t="n"/>
      <c r="D2051" s="7" t="n">
        <v>28</v>
      </c>
      <c r="E2051" s="7" t="n">
        <v>1970</v>
      </c>
      <c r="F2051" s="7" t="inlineStr">
        <is>
          <t>Yes</t>
        </is>
      </c>
      <c r="G2051" s="8" t="n"/>
    </row>
    <row r="2052">
      <c r="A2052" s="8" t="inlineStr">
        <is>
          <t>PGCV_0028_1971</t>
        </is>
      </c>
      <c r="B2052" s="8" t="inlineStr">
        <is>
          <t>MLAB176725</t>
        </is>
      </c>
      <c r="C2052" s="8" t="n"/>
      <c r="D2052" s="7" t="n">
        <v>28</v>
      </c>
      <c r="E2052" s="7" t="n">
        <v>1971</v>
      </c>
      <c r="F2052" s="7" t="inlineStr">
        <is>
          <t>Yes</t>
        </is>
      </c>
      <c r="G2052" s="8" t="n"/>
    </row>
    <row r="2053">
      <c r="A2053" s="8" t="inlineStr">
        <is>
          <t>PGCV_0028_1972</t>
        </is>
      </c>
      <c r="B2053" s="8" t="inlineStr">
        <is>
          <t>MLAB176744</t>
        </is>
      </c>
      <c r="C2053" s="8" t="n"/>
      <c r="D2053" s="7" t="n">
        <v>28</v>
      </c>
      <c r="E2053" s="7" t="n">
        <v>1972</v>
      </c>
      <c r="F2053" s="7" t="inlineStr">
        <is>
          <t>Yes</t>
        </is>
      </c>
      <c r="G2053" s="8" t="n"/>
    </row>
    <row r="2054">
      <c r="A2054" s="8" t="inlineStr">
        <is>
          <t>PGCV_0028_1973</t>
        </is>
      </c>
      <c r="B2054" s="8" t="inlineStr">
        <is>
          <t>MLAB176751</t>
        </is>
      </c>
      <c r="C2054" s="8" t="n"/>
      <c r="D2054" s="7" t="n">
        <v>28</v>
      </c>
      <c r="E2054" s="7" t="n">
        <v>1973</v>
      </c>
      <c r="F2054" s="7" t="inlineStr">
        <is>
          <t>Yes</t>
        </is>
      </c>
      <c r="G2054" s="8" t="n"/>
    </row>
    <row r="2055">
      <c r="A2055" s="8" t="inlineStr">
        <is>
          <t>PGCV_0028_1974</t>
        </is>
      </c>
      <c r="B2055" s="8" t="inlineStr">
        <is>
          <t>MLAB176756</t>
        </is>
      </c>
      <c r="C2055" s="8" t="n"/>
      <c r="D2055" s="7" t="n">
        <v>28</v>
      </c>
      <c r="E2055" s="7" t="n">
        <v>1974</v>
      </c>
      <c r="F2055" s="7" t="inlineStr">
        <is>
          <t>Yes</t>
        </is>
      </c>
      <c r="G2055" s="8" t="n"/>
    </row>
    <row r="2056">
      <c r="A2056" s="8" t="inlineStr">
        <is>
          <t>PGCV_0028_1975</t>
        </is>
      </c>
      <c r="B2056" s="8" t="inlineStr">
        <is>
          <t>MLAB176759</t>
        </is>
      </c>
      <c r="C2056" s="8" t="n"/>
      <c r="D2056" s="7" t="n">
        <v>28</v>
      </c>
      <c r="E2056" s="7" t="n">
        <v>1975</v>
      </c>
      <c r="F2056" s="7" t="inlineStr">
        <is>
          <t>Yes</t>
        </is>
      </c>
      <c r="G2056" s="8" t="n"/>
    </row>
    <row r="2057">
      <c r="A2057" s="8" t="inlineStr">
        <is>
          <t>PGCV_0028_1976</t>
        </is>
      </c>
      <c r="B2057" s="8" t="inlineStr">
        <is>
          <t>MLAB177130</t>
        </is>
      </c>
      <c r="C2057" s="8" t="n"/>
      <c r="D2057" s="7" t="n">
        <v>28</v>
      </c>
      <c r="E2057" s="7" t="n">
        <v>1976</v>
      </c>
      <c r="F2057" s="7" t="inlineStr">
        <is>
          <t>Yes</t>
        </is>
      </c>
      <c r="G2057" s="8" t="n"/>
    </row>
    <row r="2058">
      <c r="A2058" s="8" t="inlineStr">
        <is>
          <t>PGCV_0028_1977</t>
        </is>
      </c>
      <c r="B2058" s="8" t="inlineStr">
        <is>
          <t>MLAB177131</t>
        </is>
      </c>
      <c r="C2058" s="8" t="n"/>
      <c r="D2058" s="7" t="n">
        <v>28</v>
      </c>
      <c r="E2058" s="7" t="n">
        <v>1977</v>
      </c>
      <c r="F2058" s="7" t="inlineStr">
        <is>
          <t>Yes</t>
        </is>
      </c>
      <c r="G2058" s="8" t="n"/>
    </row>
    <row r="2059">
      <c r="A2059" s="8" t="inlineStr">
        <is>
          <t>PGCV_0028_1978</t>
        </is>
      </c>
      <c r="B2059" s="8" t="inlineStr">
        <is>
          <t>MLAB177153</t>
        </is>
      </c>
      <c r="C2059" s="8" t="n"/>
      <c r="D2059" s="7" t="n">
        <v>28</v>
      </c>
      <c r="E2059" s="7" t="n">
        <v>1978</v>
      </c>
      <c r="F2059" s="7" t="inlineStr">
        <is>
          <t>Yes</t>
        </is>
      </c>
      <c r="G2059" s="8" t="n"/>
    </row>
    <row r="2060">
      <c r="A2060" s="8" t="inlineStr">
        <is>
          <t>PGCV_0028_1979</t>
        </is>
      </c>
      <c r="B2060" s="8" t="inlineStr">
        <is>
          <t>MLAB177156</t>
        </is>
      </c>
      <c r="C2060" s="8" t="n"/>
      <c r="D2060" s="7" t="n">
        <v>28</v>
      </c>
      <c r="E2060" s="7" t="n">
        <v>1979</v>
      </c>
      <c r="F2060" s="7" t="inlineStr">
        <is>
          <t>Yes</t>
        </is>
      </c>
      <c r="G2060" s="8" t="n"/>
    </row>
    <row r="2061">
      <c r="A2061" s="8" t="inlineStr">
        <is>
          <t>PGCV_0028_1980</t>
        </is>
      </c>
      <c r="B2061" s="8" t="inlineStr">
        <is>
          <t>MLAB177160</t>
        </is>
      </c>
      <c r="C2061" s="8" t="n"/>
      <c r="D2061" s="7" t="n">
        <v>28</v>
      </c>
      <c r="E2061" s="7" t="n">
        <v>1980</v>
      </c>
      <c r="F2061" s="7" t="inlineStr">
        <is>
          <t>Yes</t>
        </is>
      </c>
      <c r="G2061" s="8" t="n"/>
    </row>
    <row r="2062">
      <c r="A2062" s="8" t="inlineStr">
        <is>
          <t>PGCV_0028_1981</t>
        </is>
      </c>
      <c r="B2062" s="8" t="inlineStr">
        <is>
          <t>MLAB177167</t>
        </is>
      </c>
      <c r="C2062" s="8" t="n"/>
      <c r="D2062" s="7" t="n">
        <v>28</v>
      </c>
      <c r="E2062" s="7" t="n">
        <v>1981</v>
      </c>
      <c r="F2062" s="7" t="inlineStr">
        <is>
          <t>Yes</t>
        </is>
      </c>
      <c r="G2062" s="8" t="n"/>
    </row>
    <row r="2063">
      <c r="A2063" s="8" t="inlineStr">
        <is>
          <t>PGCV_0028_1982</t>
        </is>
      </c>
      <c r="B2063" s="8" t="inlineStr">
        <is>
          <t>MLAB177170</t>
        </is>
      </c>
      <c r="C2063" s="8" t="n"/>
      <c r="D2063" s="7" t="n">
        <v>28</v>
      </c>
      <c r="E2063" s="7" t="n">
        <v>1982</v>
      </c>
      <c r="F2063" s="7" t="inlineStr">
        <is>
          <t>Yes</t>
        </is>
      </c>
      <c r="G2063" s="8" t="n"/>
    </row>
    <row r="2064">
      <c r="A2064" s="8" t="inlineStr">
        <is>
          <t>PGCV_0028_1983</t>
        </is>
      </c>
      <c r="B2064" s="8" t="inlineStr">
        <is>
          <t>MLAB177182</t>
        </is>
      </c>
      <c r="C2064" s="8" t="n"/>
      <c r="D2064" s="7" t="n">
        <v>28</v>
      </c>
      <c r="E2064" s="7" t="n">
        <v>1983</v>
      </c>
      <c r="F2064" s="7" t="inlineStr">
        <is>
          <t>Yes</t>
        </is>
      </c>
      <c r="G2064" s="8" t="n"/>
    </row>
    <row r="2065">
      <c r="A2065" s="8" t="inlineStr">
        <is>
          <t>PGCV_0028_1984</t>
        </is>
      </c>
      <c r="B2065" s="8" t="inlineStr">
        <is>
          <t>MLAB177200</t>
        </is>
      </c>
      <c r="C2065" s="8" t="n"/>
      <c r="D2065" s="7" t="n">
        <v>28</v>
      </c>
      <c r="E2065" s="7" t="n">
        <v>1984</v>
      </c>
      <c r="F2065" s="7" t="inlineStr">
        <is>
          <t>Yes</t>
        </is>
      </c>
      <c r="G2065" s="8" t="n"/>
    </row>
    <row r="2066">
      <c r="A2066" s="8" t="inlineStr">
        <is>
          <t>PGCV_0028_1985</t>
        </is>
      </c>
      <c r="B2066" s="8" t="inlineStr">
        <is>
          <t>MLAB177201</t>
        </is>
      </c>
      <c r="C2066" s="8" t="n"/>
      <c r="D2066" s="7" t="n">
        <v>28</v>
      </c>
      <c r="E2066" s="7" t="n">
        <v>1985</v>
      </c>
      <c r="F2066" s="7" t="inlineStr">
        <is>
          <t>Yes</t>
        </is>
      </c>
      <c r="G2066" s="8" t="n"/>
    </row>
    <row r="2067">
      <c r="A2067" s="8" t="inlineStr">
        <is>
          <t>PGCV_0028_1986</t>
        </is>
      </c>
      <c r="B2067" s="8" t="inlineStr">
        <is>
          <t>MLAB177186</t>
        </is>
      </c>
      <c r="C2067" s="8" t="n"/>
      <c r="D2067" s="7" t="n">
        <v>28</v>
      </c>
      <c r="E2067" s="7" t="n">
        <v>1986</v>
      </c>
      <c r="F2067" s="7" t="inlineStr">
        <is>
          <t>Yes</t>
        </is>
      </c>
      <c r="G2067" s="8" t="n"/>
    </row>
    <row r="2068">
      <c r="A2068" s="8" t="inlineStr">
        <is>
          <t>PGCV_0028_1987</t>
        </is>
      </c>
      <c r="B2068" s="8" t="inlineStr">
        <is>
          <t>MLAB177235</t>
        </is>
      </c>
      <c r="C2068" s="8" t="n"/>
      <c r="D2068" s="7" t="n">
        <v>28</v>
      </c>
      <c r="E2068" s="7" t="n">
        <v>1987</v>
      </c>
      <c r="F2068" s="7" t="inlineStr">
        <is>
          <t>Yes</t>
        </is>
      </c>
      <c r="G2068" s="8" t="n"/>
    </row>
    <row r="2069">
      <c r="A2069" s="8" t="inlineStr">
        <is>
          <t>PGCV_0028_1988</t>
        </is>
      </c>
      <c r="B2069" s="8" t="inlineStr">
        <is>
          <t>MLAB177236</t>
        </is>
      </c>
      <c r="C2069" s="8" t="n"/>
      <c r="D2069" s="7" t="n">
        <v>28</v>
      </c>
      <c r="E2069" s="7" t="n">
        <v>1988</v>
      </c>
      <c r="F2069" s="7" t="inlineStr">
        <is>
          <t>Yes</t>
        </is>
      </c>
      <c r="G2069" s="8" t="n"/>
    </row>
    <row r="2070">
      <c r="A2070" s="8" t="inlineStr">
        <is>
          <t>PGCV_0028_1989</t>
        </is>
      </c>
      <c r="B2070" s="8" t="inlineStr">
        <is>
          <t>MLAB177240</t>
        </is>
      </c>
      <c r="C2070" s="8" t="n"/>
      <c r="D2070" s="7" t="n">
        <v>28</v>
      </c>
      <c r="E2070" s="7" t="n">
        <v>1989</v>
      </c>
      <c r="F2070" s="7" t="inlineStr">
        <is>
          <t>Yes</t>
        </is>
      </c>
      <c r="G2070" s="8" t="n"/>
    </row>
    <row r="2071">
      <c r="A2071" s="8" t="inlineStr">
        <is>
          <t>PGCV_0028_1990</t>
        </is>
      </c>
      <c r="B2071" s="8" t="inlineStr">
        <is>
          <t>MLAB177245</t>
        </is>
      </c>
      <c r="C2071" s="8" t="n"/>
      <c r="D2071" s="7" t="n">
        <v>28</v>
      </c>
      <c r="E2071" s="7" t="n">
        <v>1990</v>
      </c>
      <c r="F2071" s="7" t="inlineStr">
        <is>
          <t>Yes</t>
        </is>
      </c>
      <c r="G2071" s="8" t="n"/>
    </row>
    <row r="2072">
      <c r="A2072" s="8" t="inlineStr">
        <is>
          <t>PGCV_0028_1991</t>
        </is>
      </c>
      <c r="B2072" s="8" t="inlineStr">
        <is>
          <t>MLAB177249</t>
        </is>
      </c>
      <c r="C2072" s="8" t="n"/>
      <c r="D2072" s="7" t="n">
        <v>28</v>
      </c>
      <c r="E2072" s="7" t="n">
        <v>1991</v>
      </c>
      <c r="F2072" s="7" t="inlineStr">
        <is>
          <t>Yes</t>
        </is>
      </c>
      <c r="G2072" s="8" t="n"/>
    </row>
    <row r="2073">
      <c r="A2073" s="8" t="inlineStr">
        <is>
          <t>PGCV_0028_1992</t>
        </is>
      </c>
      <c r="B2073" s="8" t="inlineStr">
        <is>
          <t>MLAB177291</t>
        </is>
      </c>
      <c r="C2073" s="8" t="n"/>
      <c r="D2073" s="7" t="n">
        <v>28</v>
      </c>
      <c r="E2073" s="7" t="n">
        <v>1992</v>
      </c>
      <c r="F2073" s="7" t="inlineStr">
        <is>
          <t>Yes</t>
        </is>
      </c>
      <c r="G2073" s="8" t="n"/>
    </row>
    <row r="2074">
      <c r="A2074" s="8" t="inlineStr">
        <is>
          <t>PGCV_0028_1993</t>
        </is>
      </c>
      <c r="B2074" s="8" t="inlineStr">
        <is>
          <t>MLAB177299</t>
        </is>
      </c>
      <c r="C2074" s="8" t="n"/>
      <c r="D2074" s="7" t="n">
        <v>28</v>
      </c>
      <c r="E2074" s="7" t="n">
        <v>1993</v>
      </c>
      <c r="F2074" s="7" t="inlineStr">
        <is>
          <t>Yes</t>
        </is>
      </c>
      <c r="G2074" s="8" t="n"/>
    </row>
    <row r="2075">
      <c r="A2075" s="8" t="inlineStr">
        <is>
          <t>PGCV_0028_1994</t>
        </is>
      </c>
      <c r="B2075" s="8" t="inlineStr">
        <is>
          <t>MLAB177308</t>
        </is>
      </c>
      <c r="C2075" s="8" t="n"/>
      <c r="D2075" s="7" t="n">
        <v>28</v>
      </c>
      <c r="E2075" s="7" t="n">
        <v>1994</v>
      </c>
      <c r="F2075" s="7" t="inlineStr">
        <is>
          <t>Yes</t>
        </is>
      </c>
      <c r="G2075" s="8" t="n"/>
    </row>
    <row r="2076">
      <c r="A2076" s="8" t="inlineStr">
        <is>
          <t>PGCV_0028_1995</t>
        </is>
      </c>
      <c r="B2076" s="8" t="inlineStr">
        <is>
          <t>MLAB177332</t>
        </is>
      </c>
      <c r="C2076" s="8" t="n"/>
      <c r="D2076" s="7" t="n">
        <v>28</v>
      </c>
      <c r="E2076" s="7" t="n">
        <v>1995</v>
      </c>
      <c r="F2076" s="7" t="inlineStr">
        <is>
          <t>Yes</t>
        </is>
      </c>
      <c r="G2076" s="8" t="n"/>
    </row>
    <row r="2077">
      <c r="A2077" s="8" t="inlineStr">
        <is>
          <t>PGCV_0028_1996</t>
        </is>
      </c>
      <c r="B2077" s="8" t="inlineStr">
        <is>
          <t>MLAB177333</t>
        </is>
      </c>
      <c r="C2077" s="8" t="n"/>
      <c r="D2077" s="7" t="n">
        <v>28</v>
      </c>
      <c r="E2077" s="7" t="n">
        <v>1996</v>
      </c>
      <c r="F2077" s="7" t="inlineStr">
        <is>
          <t>Yes</t>
        </is>
      </c>
      <c r="G2077" s="8" t="n"/>
    </row>
    <row r="2078">
      <c r="A2078" s="8" t="inlineStr">
        <is>
          <t>PGCV_0028_1997</t>
        </is>
      </c>
      <c r="B2078" s="8" t="inlineStr">
        <is>
          <t>MLAB177334</t>
        </is>
      </c>
      <c r="C2078" s="8" t="n"/>
      <c r="D2078" s="7" t="n">
        <v>28</v>
      </c>
      <c r="E2078" s="7" t="n">
        <v>1997</v>
      </c>
      <c r="F2078" s="7" t="inlineStr">
        <is>
          <t>Yes</t>
        </is>
      </c>
      <c r="G2078" s="8" t="n"/>
    </row>
    <row r="2079">
      <c r="A2079" s="8" t="inlineStr">
        <is>
          <t>PGCV_0028_1998</t>
        </is>
      </c>
      <c r="B2079" s="8" t="inlineStr">
        <is>
          <t>MLAB177335</t>
        </is>
      </c>
      <c r="C2079" s="8" t="n"/>
      <c r="D2079" s="7" t="n">
        <v>28</v>
      </c>
      <c r="E2079" s="7" t="n">
        <v>1998</v>
      </c>
      <c r="F2079" s="7" t="inlineStr">
        <is>
          <t>Yes</t>
        </is>
      </c>
      <c r="G2079" s="8" t="n"/>
    </row>
    <row r="2080">
      <c r="A2080" s="8" t="inlineStr">
        <is>
          <t>PGCV_0028_1999</t>
        </is>
      </c>
      <c r="B2080" s="8" t="inlineStr">
        <is>
          <t>MLAB177338</t>
        </is>
      </c>
      <c r="C2080" s="8" t="n"/>
      <c r="D2080" s="7" t="n">
        <v>28</v>
      </c>
      <c r="E2080" s="7" t="n">
        <v>1999</v>
      </c>
      <c r="F2080" s="7" t="inlineStr">
        <is>
          <t>Yes</t>
        </is>
      </c>
      <c r="G2080" s="8" t="n"/>
    </row>
    <row r="2081">
      <c r="A2081" s="8" t="inlineStr">
        <is>
          <t>PGCV_0028_2000</t>
        </is>
      </c>
      <c r="B2081" s="8" t="inlineStr">
        <is>
          <t>MLAB177341</t>
        </is>
      </c>
      <c r="C2081" s="8" t="n"/>
      <c r="D2081" s="7" t="n">
        <v>28</v>
      </c>
      <c r="E2081" s="7" t="n">
        <v>2000</v>
      </c>
      <c r="F2081" s="7" t="inlineStr">
        <is>
          <t>Yes</t>
        </is>
      </c>
      <c r="G2081" s="8" t="n"/>
    </row>
    <row r="2082">
      <c r="A2082" s="8" t="inlineStr">
        <is>
          <t>PGCV_0028_2001</t>
        </is>
      </c>
      <c r="B2082" s="8" t="inlineStr">
        <is>
          <t>MLAB177342</t>
        </is>
      </c>
      <c r="C2082" s="8" t="n"/>
      <c r="D2082" s="7" t="n">
        <v>28</v>
      </c>
      <c r="E2082" s="7" t="n">
        <v>2001</v>
      </c>
      <c r="F2082" s="7" t="inlineStr">
        <is>
          <t>Yes</t>
        </is>
      </c>
      <c r="G2082" s="8" t="n"/>
    </row>
    <row r="2083">
      <c r="A2083" s="8" t="inlineStr">
        <is>
          <t>PGCV_0028_2002</t>
        </is>
      </c>
      <c r="B2083" s="8" t="inlineStr">
        <is>
          <t>MLAB177348</t>
        </is>
      </c>
      <c r="C2083" s="8" t="n"/>
      <c r="D2083" s="7" t="n">
        <v>28</v>
      </c>
      <c r="E2083" s="7" t="n">
        <v>2002</v>
      </c>
      <c r="F2083" s="7" t="inlineStr">
        <is>
          <t>Yes</t>
        </is>
      </c>
      <c r="G2083" s="8" t="n"/>
    </row>
    <row r="2084">
      <c r="A2084" s="8" t="inlineStr">
        <is>
          <t>PGCV_0028_2003</t>
        </is>
      </c>
      <c r="B2084" s="8" t="inlineStr">
        <is>
          <t>MLAB177352</t>
        </is>
      </c>
      <c r="C2084" s="8" t="n"/>
      <c r="D2084" s="7" t="n">
        <v>28</v>
      </c>
      <c r="E2084" s="7" t="n">
        <v>2003</v>
      </c>
      <c r="F2084" s="7" t="inlineStr">
        <is>
          <t>Yes</t>
        </is>
      </c>
      <c r="G2084" s="8" t="n"/>
    </row>
    <row r="2085">
      <c r="A2085" s="8" t="inlineStr">
        <is>
          <t>PGCV_0028_2004</t>
        </is>
      </c>
      <c r="B2085" s="8" t="inlineStr">
        <is>
          <t>MLAB177355</t>
        </is>
      </c>
      <c r="C2085" s="8" t="n"/>
      <c r="D2085" s="7" t="n">
        <v>28</v>
      </c>
      <c r="E2085" s="7" t="n">
        <v>2004</v>
      </c>
      <c r="F2085" s="7" t="inlineStr">
        <is>
          <t>Yes</t>
        </is>
      </c>
      <c r="G2085" s="8" t="n"/>
    </row>
    <row r="2086">
      <c r="A2086" s="8" t="inlineStr">
        <is>
          <t>PGCV_0028_2005</t>
        </is>
      </c>
      <c r="B2086" s="8" t="inlineStr">
        <is>
          <t>MLAB177356</t>
        </is>
      </c>
      <c r="C2086" s="8" t="n"/>
      <c r="D2086" s="7" t="n">
        <v>28</v>
      </c>
      <c r="E2086" s="7" t="n">
        <v>2005</v>
      </c>
      <c r="F2086" s="7" t="inlineStr">
        <is>
          <t>Yes</t>
        </is>
      </c>
      <c r="G2086" s="8" t="n"/>
    </row>
    <row r="2087">
      <c r="A2087" s="8" t="inlineStr">
        <is>
          <t>PGCV_0028_2006</t>
        </is>
      </c>
      <c r="B2087" s="8" t="inlineStr">
        <is>
          <t>MLAB177362</t>
        </is>
      </c>
      <c r="C2087" s="8" t="n"/>
      <c r="D2087" s="7" t="n">
        <v>28</v>
      </c>
      <c r="E2087" s="7" t="n">
        <v>2006</v>
      </c>
      <c r="F2087" s="7" t="inlineStr">
        <is>
          <t>Yes</t>
        </is>
      </c>
      <c r="G2087" s="8" t="n"/>
    </row>
    <row r="2088">
      <c r="A2088" s="8" t="inlineStr">
        <is>
          <t>PGCV_0028_2007</t>
        </is>
      </c>
      <c r="B2088" s="8" t="inlineStr">
        <is>
          <t>MLAB177365</t>
        </is>
      </c>
      <c r="C2088" s="8" t="n"/>
      <c r="D2088" s="7" t="n">
        <v>28</v>
      </c>
      <c r="E2088" s="7" t="n">
        <v>2007</v>
      </c>
      <c r="F2088" s="7" t="inlineStr">
        <is>
          <t>Yes</t>
        </is>
      </c>
      <c r="G2088" s="8" t="n"/>
    </row>
    <row r="2089">
      <c r="A2089" s="8" t="inlineStr">
        <is>
          <t>PGCV_0028_2008</t>
        </is>
      </c>
      <c r="B2089" s="8" t="inlineStr">
        <is>
          <t>MLAB177368</t>
        </is>
      </c>
      <c r="C2089" s="8" t="n"/>
      <c r="D2089" s="7" t="n">
        <v>28</v>
      </c>
      <c r="E2089" s="7" t="n">
        <v>2008</v>
      </c>
      <c r="F2089" s="7" t="inlineStr">
        <is>
          <t>Yes</t>
        </is>
      </c>
      <c r="G2089" s="8" t="n"/>
    </row>
    <row r="2090">
      <c r="A2090" s="8" t="inlineStr">
        <is>
          <t>PGCV_0028_2009</t>
        </is>
      </c>
      <c r="B2090" s="8" t="inlineStr">
        <is>
          <t>MLAB177435</t>
        </is>
      </c>
      <c r="C2090" s="8" t="n"/>
      <c r="D2090" s="7" t="n">
        <v>28</v>
      </c>
      <c r="E2090" s="7" t="n">
        <v>2009</v>
      </c>
      <c r="F2090" s="7" t="inlineStr">
        <is>
          <t>Yes</t>
        </is>
      </c>
      <c r="G2090" s="8" t="n"/>
    </row>
    <row r="2091">
      <c r="A2091" s="8" t="inlineStr">
        <is>
          <t>PGCV_0028_2010</t>
        </is>
      </c>
      <c r="B2091" s="8" t="inlineStr">
        <is>
          <t>MLAB177441</t>
        </is>
      </c>
      <c r="C2091" s="8" t="n"/>
      <c r="D2091" s="7" t="n">
        <v>28</v>
      </c>
      <c r="E2091" s="7" t="n">
        <v>2010</v>
      </c>
      <c r="F2091" s="7" t="inlineStr">
        <is>
          <t>Yes</t>
        </is>
      </c>
      <c r="G2091" s="8" t="n"/>
    </row>
    <row r="2092">
      <c r="A2092" s="8" t="inlineStr">
        <is>
          <t>PGCV_0028_2011</t>
        </is>
      </c>
      <c r="B2092" s="8" t="inlineStr">
        <is>
          <t>MLAB177452</t>
        </is>
      </c>
      <c r="C2092" s="8" t="n"/>
      <c r="D2092" s="7" t="n">
        <v>28</v>
      </c>
      <c r="E2092" s="7" t="n">
        <v>2011</v>
      </c>
      <c r="F2092" s="7" t="inlineStr">
        <is>
          <t>Yes</t>
        </is>
      </c>
      <c r="G2092" s="8" t="n"/>
    </row>
    <row r="2093">
      <c r="A2093" s="8" t="inlineStr">
        <is>
          <t>PGCV_0028_2012</t>
        </is>
      </c>
      <c r="B2093" s="8" t="inlineStr">
        <is>
          <t>MLAB177461</t>
        </is>
      </c>
      <c r="C2093" s="8" t="n"/>
      <c r="D2093" s="7" t="n">
        <v>28</v>
      </c>
      <c r="E2093" s="7" t="n">
        <v>2012</v>
      </c>
      <c r="F2093" s="7" t="inlineStr">
        <is>
          <t>Yes</t>
        </is>
      </c>
      <c r="G2093" s="8" t="n"/>
    </row>
    <row r="2094">
      <c r="A2094" s="8" t="inlineStr">
        <is>
          <t>PGCV_0028_2013</t>
        </is>
      </c>
      <c r="B2094" s="8" t="inlineStr">
        <is>
          <t>MLAB177477</t>
        </is>
      </c>
      <c r="C2094" s="8" t="n"/>
      <c r="D2094" s="7" t="n">
        <v>28</v>
      </c>
      <c r="E2094" s="7" t="n">
        <v>2013</v>
      </c>
      <c r="F2094" s="7" t="inlineStr">
        <is>
          <t>Yes</t>
        </is>
      </c>
      <c r="G2094" s="8" t="n"/>
    </row>
    <row r="2095">
      <c r="A2095" s="8" t="inlineStr">
        <is>
          <t>PGCV_0028_2014</t>
        </is>
      </c>
      <c r="B2095" s="8" t="inlineStr">
        <is>
          <t>MLAB177491</t>
        </is>
      </c>
      <c r="C2095" s="8" t="n"/>
      <c r="D2095" s="7" t="n">
        <v>28</v>
      </c>
      <c r="E2095" s="7" t="n">
        <v>2014</v>
      </c>
      <c r="F2095" s="7" t="inlineStr">
        <is>
          <t>Yes</t>
        </is>
      </c>
      <c r="G2095" s="8" t="n"/>
    </row>
    <row r="2096">
      <c r="A2096" s="8" t="inlineStr">
        <is>
          <t>PGCV_0028_2015</t>
        </is>
      </c>
      <c r="B2096" s="8" t="inlineStr">
        <is>
          <t>MLAB177497</t>
        </is>
      </c>
      <c r="C2096" s="8" t="n"/>
      <c r="D2096" s="7" t="n">
        <v>28</v>
      </c>
      <c r="E2096" s="7" t="n">
        <v>2015</v>
      </c>
      <c r="F2096" s="7" t="inlineStr">
        <is>
          <t>Yes</t>
        </is>
      </c>
      <c r="G2096" s="8" t="n"/>
    </row>
    <row r="2097">
      <c r="A2097" s="8" t="inlineStr">
        <is>
          <t>PGCV_0028_2016</t>
        </is>
      </c>
      <c r="B2097" s="8" t="inlineStr">
        <is>
          <t>MLAB177505</t>
        </is>
      </c>
      <c r="C2097" s="8" t="n"/>
      <c r="D2097" s="7" t="n">
        <v>28</v>
      </c>
      <c r="E2097" s="7" t="n">
        <v>2016</v>
      </c>
      <c r="F2097" s="7" t="inlineStr">
        <is>
          <t>Yes</t>
        </is>
      </c>
      <c r="G2097" s="8" t="n"/>
    </row>
    <row r="2098">
      <c r="A2098" s="8" t="inlineStr">
        <is>
          <t>PGCV_0028_2017</t>
        </is>
      </c>
      <c r="B2098" s="8" t="inlineStr">
        <is>
          <t>MLAB177519</t>
        </is>
      </c>
      <c r="C2098" s="8" t="n"/>
      <c r="D2098" s="7" t="n">
        <v>28</v>
      </c>
      <c r="E2098" s="7" t="n">
        <v>2017</v>
      </c>
      <c r="F2098" s="7" t="inlineStr">
        <is>
          <t>Yes</t>
        </is>
      </c>
      <c r="G2098" s="8" t="n"/>
    </row>
    <row r="2099">
      <c r="A2099" s="8" t="inlineStr">
        <is>
          <t>PGCV_0028_2018</t>
        </is>
      </c>
      <c r="B2099" s="8" t="inlineStr">
        <is>
          <t>COVID-SNL-22-75402</t>
        </is>
      </c>
      <c r="C2099" s="8" t="n"/>
      <c r="D2099" s="7" t="n">
        <v>28</v>
      </c>
      <c r="E2099" s="7" t="n">
        <v>2018</v>
      </c>
      <c r="F2099" s="7" t="inlineStr">
        <is>
          <t>Yes</t>
        </is>
      </c>
      <c r="G2099" s="8" t="n"/>
    </row>
    <row r="2100">
      <c r="A2100" s="8" t="inlineStr">
        <is>
          <t>PGCV_0028_2019</t>
        </is>
      </c>
      <c r="B2100" s="8" t="inlineStr">
        <is>
          <t>COVID-SNL-22-75408</t>
        </is>
      </c>
      <c r="C2100" s="8" t="n"/>
      <c r="D2100" s="7" t="n">
        <v>28</v>
      </c>
      <c r="E2100" s="7" t="n">
        <v>2019</v>
      </c>
      <c r="F2100" s="7" t="inlineStr">
        <is>
          <t>Yes</t>
        </is>
      </c>
      <c r="G2100" s="8" t="n"/>
    </row>
    <row r="2101">
      <c r="A2101" s="8" t="inlineStr">
        <is>
          <t>PGCV_0028_2020</t>
        </is>
      </c>
      <c r="B2101" s="8" t="inlineStr">
        <is>
          <t>COVID-SNL-22-75464</t>
        </is>
      </c>
      <c r="C2101" s="8" t="n"/>
      <c r="D2101" s="7" t="n">
        <v>28</v>
      </c>
      <c r="E2101" s="7" t="n">
        <v>2020</v>
      </c>
      <c r="F2101" s="7" t="inlineStr">
        <is>
          <t>Yes</t>
        </is>
      </c>
      <c r="G2101" s="8" t="n"/>
    </row>
    <row r="2102">
      <c r="A2102" s="8" t="inlineStr">
        <is>
          <t>PGCV_0028_2021</t>
        </is>
      </c>
      <c r="B2102" s="8" t="inlineStr">
        <is>
          <t>COVID-SNL-22-75569</t>
        </is>
      </c>
      <c r="C2102" s="8" t="n"/>
      <c r="D2102" s="7" t="n">
        <v>28</v>
      </c>
      <c r="E2102" s="7" t="n">
        <v>2021</v>
      </c>
      <c r="F2102" s="7" t="inlineStr">
        <is>
          <t>No</t>
        </is>
      </c>
      <c r="G2102" s="8" t="n"/>
    </row>
    <row r="2103">
      <c r="A2103" s="8" t="inlineStr">
        <is>
          <t>PGCV_0028_2022</t>
        </is>
      </c>
      <c r="B2103" s="8" t="inlineStr">
        <is>
          <t>COVID-SNL-22-75572</t>
        </is>
      </c>
      <c r="C2103" s="8" t="n"/>
      <c r="D2103" s="7" t="n">
        <v>28</v>
      </c>
      <c r="E2103" s="7" t="n">
        <v>2022</v>
      </c>
      <c r="F2103" s="7" t="inlineStr">
        <is>
          <t>Yes</t>
        </is>
      </c>
      <c r="G2103" s="8" t="n"/>
    </row>
    <row r="2104">
      <c r="A2104" s="8" t="inlineStr">
        <is>
          <t>PGCV_0028_2023</t>
        </is>
      </c>
      <c r="B2104" s="8" t="inlineStr">
        <is>
          <t>COVID-SNL-22-75574</t>
        </is>
      </c>
      <c r="C2104" s="8" t="n"/>
      <c r="D2104" s="7" t="n">
        <v>28</v>
      </c>
      <c r="E2104" s="7" t="n">
        <v>2023</v>
      </c>
      <c r="F2104" s="7" t="inlineStr">
        <is>
          <t>Yes</t>
        </is>
      </c>
      <c r="G2104" s="8" t="n"/>
    </row>
    <row r="2105">
      <c r="A2105" s="8" t="inlineStr">
        <is>
          <t>PGCV_0028_2024</t>
        </is>
      </c>
      <c r="B2105" s="8" t="inlineStr">
        <is>
          <t>COVID-SNL-22-75576</t>
        </is>
      </c>
      <c r="C2105" s="8" t="n"/>
      <c r="D2105" s="7" t="n">
        <v>28</v>
      </c>
      <c r="E2105" s="7" t="n">
        <v>2024</v>
      </c>
      <c r="F2105" s="7" t="inlineStr">
        <is>
          <t>Yes</t>
        </is>
      </c>
      <c r="G2105" s="8" t="n"/>
    </row>
    <row r="2106">
      <c r="A2106" s="8" t="inlineStr">
        <is>
          <t>PGCV_0028_2025</t>
        </is>
      </c>
      <c r="B2106" s="8" t="inlineStr">
        <is>
          <t>COVID-SNL-22-75674</t>
        </is>
      </c>
      <c r="C2106" s="8" t="n"/>
      <c r="D2106" s="7" t="n">
        <v>28</v>
      </c>
      <c r="E2106" s="7" t="n">
        <v>2025</v>
      </c>
      <c r="F2106" s="7" t="inlineStr">
        <is>
          <t>Yes</t>
        </is>
      </c>
      <c r="G2106" s="8" t="n"/>
    </row>
    <row r="2107">
      <c r="A2107" s="8" t="inlineStr">
        <is>
          <t>PGCV_0028_2026</t>
        </is>
      </c>
      <c r="B2107" s="8" t="inlineStr">
        <is>
          <t>COVID-SNL-22-75423</t>
        </is>
      </c>
      <c r="C2107" s="8" t="n"/>
      <c r="D2107" s="7" t="n">
        <v>28</v>
      </c>
      <c r="E2107" s="7" t="n">
        <v>2026</v>
      </c>
      <c r="F2107" s="7" t="inlineStr">
        <is>
          <t>Yes</t>
        </is>
      </c>
      <c r="G2107" s="8" t="n"/>
    </row>
    <row r="2108">
      <c r="A2108" s="8" t="inlineStr">
        <is>
          <t>PGCV_0028_2027</t>
        </is>
      </c>
      <c r="B2108" s="8" t="inlineStr">
        <is>
          <t>COVID-SNL-22-75472</t>
        </is>
      </c>
      <c r="C2108" s="8" t="n"/>
      <c r="D2108" s="7" t="n">
        <v>28</v>
      </c>
      <c r="E2108" s="7" t="n">
        <v>2027</v>
      </c>
      <c r="F2108" s="7" t="inlineStr">
        <is>
          <t>Yes</t>
        </is>
      </c>
      <c r="G2108" s="8" t="n"/>
    </row>
    <row r="2109">
      <c r="A2109" s="8" t="inlineStr">
        <is>
          <t>PGCV_0028_2028</t>
        </is>
      </c>
      <c r="B2109" s="8" t="inlineStr">
        <is>
          <t>COVID-SNL-22-75714</t>
        </is>
      </c>
      <c r="C2109" s="8" t="n"/>
      <c r="D2109" s="7" t="n">
        <v>28</v>
      </c>
      <c r="E2109" s="7" t="n">
        <v>2028</v>
      </c>
      <c r="F2109" s="7" t="inlineStr">
        <is>
          <t>Yes</t>
        </is>
      </c>
      <c r="G2109" s="8" t="n"/>
    </row>
    <row r="2110">
      <c r="A2110" s="8" t="inlineStr">
        <is>
          <t>PGCV_0028_2029</t>
        </is>
      </c>
      <c r="B2110" s="8" t="inlineStr">
        <is>
          <t>COVID-SNL-22-75715</t>
        </is>
      </c>
      <c r="C2110" s="8" t="n"/>
      <c r="D2110" s="7" t="n">
        <v>28</v>
      </c>
      <c r="E2110" s="7" t="n">
        <v>2029</v>
      </c>
      <c r="F2110" s="7" t="inlineStr">
        <is>
          <t>Yes</t>
        </is>
      </c>
      <c r="G2110" s="8" t="n"/>
    </row>
    <row r="2111">
      <c r="A2111" s="8" t="inlineStr">
        <is>
          <t>PGCV_0028_2030</t>
        </is>
      </c>
      <c r="B2111" s="8" t="inlineStr">
        <is>
          <t>COVID-SNL-22-75720</t>
        </is>
      </c>
      <c r="C2111" s="8" t="n"/>
      <c r="D2111" s="7" t="n">
        <v>28</v>
      </c>
      <c r="E2111" s="7" t="n">
        <v>2030</v>
      </c>
      <c r="F2111" s="7" t="inlineStr">
        <is>
          <t>Yes</t>
        </is>
      </c>
      <c r="G2111" s="8" t="n"/>
    </row>
    <row r="2112">
      <c r="A2112" s="8" t="inlineStr">
        <is>
          <t>PGCV_0028_2031</t>
        </is>
      </c>
      <c r="B2112" s="8" t="inlineStr">
        <is>
          <t>COVID-SNL-22-75763</t>
        </is>
      </c>
      <c r="C2112" s="8" t="n"/>
      <c r="D2112" s="7" t="n">
        <v>28</v>
      </c>
      <c r="E2112" s="7" t="n">
        <v>2031</v>
      </c>
      <c r="F2112" s="7" t="inlineStr">
        <is>
          <t>Yes</t>
        </is>
      </c>
      <c r="G2112" s="8" t="n"/>
    </row>
    <row r="2113">
      <c r="A2113" s="8" t="inlineStr">
        <is>
          <t>PGCV_0028_2032</t>
        </is>
      </c>
      <c r="B2113" s="8" t="inlineStr">
        <is>
          <t>COVID-SNL-22-75784</t>
        </is>
      </c>
      <c r="C2113" s="8" t="n"/>
      <c r="D2113" s="7" t="n">
        <v>28</v>
      </c>
      <c r="E2113" s="7" t="n">
        <v>2032</v>
      </c>
      <c r="F2113" s="7" t="inlineStr">
        <is>
          <t>Yes</t>
        </is>
      </c>
      <c r="G2113" s="8" t="n"/>
    </row>
    <row r="2114">
      <c r="A2114" s="8" t="inlineStr">
        <is>
          <t>PGCV_0028_2033</t>
        </is>
      </c>
      <c r="B2114" s="8" t="inlineStr">
        <is>
          <t>COVID-SNL-22-75786</t>
        </is>
      </c>
      <c r="C2114" s="8" t="n"/>
      <c r="D2114" s="7" t="n">
        <v>28</v>
      </c>
      <c r="E2114" s="7" t="n">
        <v>2033</v>
      </c>
      <c r="F2114" s="7" t="inlineStr">
        <is>
          <t>Yes</t>
        </is>
      </c>
      <c r="G2114" s="8" t="n"/>
    </row>
    <row r="2115">
      <c r="A2115" s="8" t="inlineStr">
        <is>
          <t>PGCV_0028_2034</t>
        </is>
      </c>
      <c r="B2115" s="8" t="inlineStr">
        <is>
          <t>COVID-SNL-22-75859</t>
        </is>
      </c>
      <c r="C2115" s="8" t="n"/>
      <c r="D2115" s="7" t="n">
        <v>28</v>
      </c>
      <c r="E2115" s="7" t="n">
        <v>2034</v>
      </c>
      <c r="F2115" s="7" t="inlineStr">
        <is>
          <t>Yes</t>
        </is>
      </c>
      <c r="G2115" s="8" t="n"/>
    </row>
    <row r="2116">
      <c r="A2116" s="8" t="inlineStr">
        <is>
          <t>PGCV_0028_2035</t>
        </is>
      </c>
      <c r="B2116" s="8" t="inlineStr">
        <is>
          <t>COVID-SNL-22-75918</t>
        </is>
      </c>
      <c r="C2116" s="8" t="n"/>
      <c r="D2116" s="7" t="n">
        <v>28</v>
      </c>
      <c r="E2116" s="7" t="n">
        <v>2035</v>
      </c>
      <c r="F2116" s="7" t="inlineStr">
        <is>
          <t>Yes</t>
        </is>
      </c>
      <c r="G2116" s="8" t="n"/>
    </row>
    <row r="2117">
      <c r="A2117" s="8" t="inlineStr">
        <is>
          <t>PGCV_0028_2036</t>
        </is>
      </c>
      <c r="B2117" s="8" t="inlineStr">
        <is>
          <t>COVID-SNL-22-75919</t>
        </is>
      </c>
      <c r="C2117" s="8" t="n"/>
      <c r="D2117" s="7" t="n">
        <v>28</v>
      </c>
      <c r="E2117" s="7" t="n">
        <v>2036</v>
      </c>
      <c r="F2117" s="7" t="inlineStr">
        <is>
          <t>Yes</t>
        </is>
      </c>
      <c r="G2117" s="8" t="n"/>
    </row>
    <row r="2118">
      <c r="A2118" s="8" t="inlineStr">
        <is>
          <t>PGCV_0028_2037</t>
        </is>
      </c>
      <c r="B2118" s="8" t="inlineStr">
        <is>
          <t>COVID-SNL-22-75946</t>
        </is>
      </c>
      <c r="C2118" s="8" t="n"/>
      <c r="D2118" s="7" t="n">
        <v>28</v>
      </c>
      <c r="E2118" s="7" t="n">
        <v>2037</v>
      </c>
      <c r="F2118" s="7" t="inlineStr">
        <is>
          <t>Yes</t>
        </is>
      </c>
      <c r="G2118" s="8" t="n"/>
    </row>
    <row r="2119">
      <c r="A2119" s="8" t="inlineStr">
        <is>
          <t>PGCV_0028_2038</t>
        </is>
      </c>
      <c r="B2119" s="8" t="inlineStr">
        <is>
          <t>COVID-SNL-22-75965</t>
        </is>
      </c>
      <c r="C2119" s="8" t="n"/>
      <c r="D2119" s="7" t="n">
        <v>28</v>
      </c>
      <c r="E2119" s="7" t="n">
        <v>2038</v>
      </c>
      <c r="F2119" s="7" t="inlineStr">
        <is>
          <t>Yes</t>
        </is>
      </c>
      <c r="G2119" s="8" t="n"/>
    </row>
    <row r="2120">
      <c r="A2120" s="8" t="inlineStr">
        <is>
          <t>PGCV_0028_2039</t>
        </is>
      </c>
      <c r="B2120" s="8" t="inlineStr">
        <is>
          <t>COVID-SNL-22-75988</t>
        </is>
      </c>
      <c r="C2120" s="8" t="n"/>
      <c r="D2120" s="7" t="n">
        <v>28</v>
      </c>
      <c r="E2120" s="7" t="n">
        <v>2039</v>
      </c>
      <c r="F2120" s="7" t="inlineStr">
        <is>
          <t>Yes</t>
        </is>
      </c>
      <c r="G2120" s="8" t="n"/>
    </row>
    <row r="2121">
      <c r="A2121" s="8" t="inlineStr">
        <is>
          <t>PGCV_0028_2040</t>
        </is>
      </c>
      <c r="B2121" s="8" t="inlineStr">
        <is>
          <t>COVID-SNL-22-76016</t>
        </is>
      </c>
      <c r="C2121" s="8" t="n"/>
      <c r="D2121" s="7" t="n">
        <v>28</v>
      </c>
      <c r="E2121" s="7" t="n">
        <v>2040</v>
      </c>
      <c r="F2121" s="7" t="inlineStr">
        <is>
          <t>Yes</t>
        </is>
      </c>
      <c r="G2121" s="8" t="n"/>
    </row>
    <row r="2122">
      <c r="A2122" s="8" t="inlineStr">
        <is>
          <t>PGCV_0028_2041</t>
        </is>
      </c>
      <c r="B2122" s="8" t="inlineStr">
        <is>
          <t>COVID-SNL-22-76017</t>
        </is>
      </c>
      <c r="C2122" s="8" t="n"/>
      <c r="D2122" s="7" t="n">
        <v>28</v>
      </c>
      <c r="E2122" s="7" t="n">
        <v>2041</v>
      </c>
      <c r="F2122" s="7" t="inlineStr">
        <is>
          <t>Yes</t>
        </is>
      </c>
      <c r="G2122" s="8" t="n"/>
    </row>
    <row r="2123">
      <c r="A2123" s="8" t="inlineStr">
        <is>
          <t>PGCV_0028_2042</t>
        </is>
      </c>
      <c r="B2123" s="8" t="inlineStr">
        <is>
          <t>COVID-SNL-22-76020</t>
        </is>
      </c>
      <c r="C2123" s="8" t="n"/>
      <c r="D2123" s="7" t="n">
        <v>28</v>
      </c>
      <c r="E2123" s="7" t="n">
        <v>2042</v>
      </c>
      <c r="F2123" s="7" t="inlineStr">
        <is>
          <t>Yes</t>
        </is>
      </c>
      <c r="G2123" s="8" t="n"/>
    </row>
    <row r="2124">
      <c r="A2124" s="8" t="inlineStr">
        <is>
          <t>PGCV_0028_2043</t>
        </is>
      </c>
      <c r="B2124" s="8" t="inlineStr">
        <is>
          <t>COVID-SNL-22-76021</t>
        </is>
      </c>
      <c r="C2124" s="8" t="n"/>
      <c r="D2124" s="7" t="n">
        <v>28</v>
      </c>
      <c r="E2124" s="7" t="n">
        <v>2043</v>
      </c>
      <c r="F2124" s="7" t="inlineStr">
        <is>
          <t>Yes</t>
        </is>
      </c>
      <c r="G2124" s="8" t="n"/>
    </row>
    <row r="2125">
      <c r="A2125" s="8" t="inlineStr">
        <is>
          <t>PGCV_0028_2044</t>
        </is>
      </c>
      <c r="B2125" s="8" t="inlineStr">
        <is>
          <t>COVID-SNL-22-76023</t>
        </is>
      </c>
      <c r="C2125" s="8" t="n"/>
      <c r="D2125" s="7" t="n">
        <v>28</v>
      </c>
      <c r="E2125" s="7" t="n">
        <v>2044</v>
      </c>
      <c r="F2125" s="7" t="inlineStr">
        <is>
          <t>Yes</t>
        </is>
      </c>
      <c r="G2125" s="8" t="n"/>
    </row>
    <row r="2126">
      <c r="A2126" s="8" t="inlineStr">
        <is>
          <t>PGCV_0028_2045</t>
        </is>
      </c>
      <c r="B2126" s="8" t="inlineStr">
        <is>
          <t>COVID-SNL-22-76025</t>
        </is>
      </c>
      <c r="C2126" s="8" t="n"/>
      <c r="D2126" s="7" t="n">
        <v>28</v>
      </c>
      <c r="E2126" s="7" t="n">
        <v>2045</v>
      </c>
      <c r="F2126" s="7" t="inlineStr">
        <is>
          <t>Yes</t>
        </is>
      </c>
      <c r="G2126" s="8" t="n"/>
    </row>
    <row r="2127">
      <c r="A2127" s="8" t="inlineStr">
        <is>
          <t>PGCV_0028_2046</t>
        </is>
      </c>
      <c r="B2127" s="8" t="inlineStr">
        <is>
          <t>COVID-SNL-22-76031</t>
        </is>
      </c>
      <c r="C2127" s="8" t="n"/>
      <c r="D2127" s="7" t="n">
        <v>28</v>
      </c>
      <c r="E2127" s="7" t="n">
        <v>2046</v>
      </c>
      <c r="F2127" s="7" t="inlineStr">
        <is>
          <t>Yes</t>
        </is>
      </c>
      <c r="G2127" s="8" t="n"/>
    </row>
    <row r="2128">
      <c r="A2128" s="8" t="inlineStr">
        <is>
          <t>PGCV_0028_2047</t>
        </is>
      </c>
      <c r="B2128" s="8" t="inlineStr">
        <is>
          <t>COVID-SNL-22-76043</t>
        </is>
      </c>
      <c r="C2128" s="8" t="n"/>
      <c r="D2128" s="7" t="n">
        <v>28</v>
      </c>
      <c r="E2128" s="7" t="n">
        <v>2047</v>
      </c>
      <c r="F2128" s="7" t="inlineStr">
        <is>
          <t>Yes</t>
        </is>
      </c>
      <c r="G2128" s="8" t="n"/>
    </row>
    <row r="2129">
      <c r="A2129" s="8" t="inlineStr">
        <is>
          <t>PGCV_0028_2048</t>
        </is>
      </c>
      <c r="B2129" s="8" t="inlineStr">
        <is>
          <t>COVID-SNL-22-76049</t>
        </is>
      </c>
      <c r="C2129" s="8" t="n"/>
      <c r="D2129" s="7" t="n">
        <v>28</v>
      </c>
      <c r="E2129" s="7" t="n">
        <v>2048</v>
      </c>
      <c r="F2129" s="7" t="inlineStr">
        <is>
          <t>Yes</t>
        </is>
      </c>
      <c r="G2129" s="8" t="n"/>
    </row>
    <row r="2130">
      <c r="A2130" s="8" t="inlineStr">
        <is>
          <t>PGCV_0028_2049</t>
        </is>
      </c>
      <c r="B2130" s="8" t="inlineStr">
        <is>
          <t>COVID-SNL-22-76064</t>
        </is>
      </c>
      <c r="C2130" s="8" t="n"/>
      <c r="D2130" s="7" t="n">
        <v>28</v>
      </c>
      <c r="E2130" s="7" t="n">
        <v>2049</v>
      </c>
      <c r="F2130" s="7" t="inlineStr">
        <is>
          <t>Yes</t>
        </is>
      </c>
      <c r="G2130" s="8" t="n"/>
    </row>
    <row r="2131">
      <c r="A2131" s="8" t="inlineStr">
        <is>
          <t>PGCV_0028_2050</t>
        </is>
      </c>
      <c r="B2131" s="8" t="inlineStr">
        <is>
          <t>COVID-SNL-22-76133</t>
        </is>
      </c>
      <c r="C2131" s="8" t="n"/>
      <c r="D2131" s="7" t="n">
        <v>28</v>
      </c>
      <c r="E2131" s="7" t="n">
        <v>2050</v>
      </c>
      <c r="F2131" s="7" t="inlineStr">
        <is>
          <t>Yes</t>
        </is>
      </c>
      <c r="G2131" s="8" t="n"/>
    </row>
    <row r="2132">
      <c r="A2132" s="8" t="inlineStr">
        <is>
          <t>PGCV_0028_2051</t>
        </is>
      </c>
      <c r="B2132" s="8" t="inlineStr">
        <is>
          <t>COVID-SNL-22-76068</t>
        </is>
      </c>
      <c r="C2132" s="8" t="n"/>
      <c r="D2132" s="7" t="n">
        <v>28</v>
      </c>
      <c r="E2132" s="7" t="n">
        <v>2051</v>
      </c>
      <c r="F2132" s="7" t="inlineStr">
        <is>
          <t>Yes</t>
        </is>
      </c>
      <c r="G2132" s="8" t="n"/>
    </row>
    <row r="2133">
      <c r="A2133" s="8" t="inlineStr">
        <is>
          <t>PGCV_0028_2052</t>
        </is>
      </c>
      <c r="B2133" s="8" t="inlineStr">
        <is>
          <t>COVID-SNL-22-76069</t>
        </is>
      </c>
      <c r="C2133" s="8" t="n"/>
      <c r="D2133" s="7" t="n">
        <v>28</v>
      </c>
      <c r="E2133" s="7" t="n">
        <v>2052</v>
      </c>
      <c r="F2133" s="7" t="inlineStr">
        <is>
          <t>Yes</t>
        </is>
      </c>
      <c r="G2133" s="8" t="n"/>
    </row>
    <row r="2134">
      <c r="A2134" s="8" t="inlineStr">
        <is>
          <t>PGCV_0028_2053</t>
        </is>
      </c>
      <c r="B2134" s="8" t="inlineStr">
        <is>
          <t>COVID-SNL-22-76082</t>
        </is>
      </c>
      <c r="C2134" s="8" t="n"/>
      <c r="D2134" s="7" t="n">
        <v>28</v>
      </c>
      <c r="E2134" s="7" t="n">
        <v>2053</v>
      </c>
      <c r="F2134" s="7" t="inlineStr">
        <is>
          <t>Yes</t>
        </is>
      </c>
      <c r="G2134" s="8" t="n"/>
    </row>
    <row r="2135">
      <c r="A2135" s="8" t="inlineStr">
        <is>
          <t>PGCV_0028_2054</t>
        </is>
      </c>
      <c r="B2135" s="8" t="inlineStr">
        <is>
          <t>COVID-SNL-22-76142</t>
        </is>
      </c>
      <c r="C2135" s="8" t="n"/>
      <c r="D2135" s="7" t="n">
        <v>28</v>
      </c>
      <c r="E2135" s="7" t="n">
        <v>2054</v>
      </c>
      <c r="F2135" s="7" t="inlineStr">
        <is>
          <t>Yes</t>
        </is>
      </c>
      <c r="G2135" s="8" t="n"/>
    </row>
    <row r="2136">
      <c r="A2136" s="8" t="inlineStr">
        <is>
          <t>PGCV_0028_2055</t>
        </is>
      </c>
      <c r="B2136" s="8" t="inlineStr">
        <is>
          <t>COVID-SNL-22-76152</t>
        </is>
      </c>
      <c r="C2136" s="8" t="n"/>
      <c r="D2136" s="7" t="n">
        <v>28</v>
      </c>
      <c r="E2136" s="7" t="n">
        <v>2055</v>
      </c>
      <c r="F2136" s="7" t="inlineStr">
        <is>
          <t>Yes</t>
        </is>
      </c>
      <c r="G2136" s="8" t="n"/>
    </row>
    <row r="2137">
      <c r="A2137" s="8" t="inlineStr">
        <is>
          <t>PGCV_0028_2056</t>
        </is>
      </c>
      <c r="B2137" s="8" t="inlineStr">
        <is>
          <t>COVID-SNL-22-76218</t>
        </is>
      </c>
      <c r="C2137" s="8" t="n"/>
      <c r="D2137" s="7" t="n">
        <v>28</v>
      </c>
      <c r="E2137" s="7" t="n">
        <v>2056</v>
      </c>
      <c r="F2137" s="7" t="inlineStr">
        <is>
          <t>Yes</t>
        </is>
      </c>
      <c r="G2137" s="8" t="n"/>
    </row>
    <row r="2138">
      <c r="A2138" s="8" t="inlineStr">
        <is>
          <t>PGCV_0028_2057</t>
        </is>
      </c>
      <c r="B2138" s="8" t="inlineStr">
        <is>
          <t>COVID-SNL-22-76219</t>
        </is>
      </c>
      <c r="C2138" s="8" t="n"/>
      <c r="D2138" s="7" t="n">
        <v>28</v>
      </c>
      <c r="E2138" s="7" t="n">
        <v>2057</v>
      </c>
      <c r="F2138" s="7" t="inlineStr">
        <is>
          <t>Yes</t>
        </is>
      </c>
      <c r="G2138" s="8" t="n"/>
    </row>
    <row r="2139">
      <c r="A2139" s="8" t="inlineStr">
        <is>
          <t>PGCV_0028_2058</t>
        </is>
      </c>
      <c r="B2139" s="8" t="inlineStr">
        <is>
          <t>COVID-SNL-22-76226</t>
        </is>
      </c>
      <c r="C2139" s="8" t="n"/>
      <c r="D2139" s="7" t="n">
        <v>28</v>
      </c>
      <c r="E2139" s="7" t="n">
        <v>2058</v>
      </c>
      <c r="F2139" s="7" t="inlineStr">
        <is>
          <t>Yes</t>
        </is>
      </c>
      <c r="G2139" s="8" t="n"/>
    </row>
    <row r="2140">
      <c r="A2140" s="8" t="inlineStr">
        <is>
          <t>PGCV_0028_2059</t>
        </is>
      </c>
      <c r="B2140" s="8" t="inlineStr">
        <is>
          <t>COVID-SNL-22-76244</t>
        </is>
      </c>
      <c r="C2140" s="8" t="n"/>
      <c r="D2140" s="7" t="n">
        <v>28</v>
      </c>
      <c r="E2140" s="7" t="n">
        <v>2059</v>
      </c>
      <c r="F2140" s="7" t="inlineStr">
        <is>
          <t>Yes</t>
        </is>
      </c>
      <c r="G2140" s="8" t="n"/>
    </row>
    <row r="2141">
      <c r="A2141" s="8" t="inlineStr">
        <is>
          <t>PGCV_0028_2060</t>
        </is>
      </c>
      <c r="B2141" s="8" t="inlineStr">
        <is>
          <t>COVID-SNL-22-76246</t>
        </is>
      </c>
      <c r="C2141" s="8" t="n"/>
      <c r="D2141" s="7" t="n">
        <v>28</v>
      </c>
      <c r="E2141" s="7" t="n">
        <v>2060</v>
      </c>
      <c r="F2141" s="7" t="inlineStr">
        <is>
          <t>Yes</t>
        </is>
      </c>
      <c r="G2141" s="8" t="n"/>
    </row>
    <row r="2142">
      <c r="A2142" s="8" t="inlineStr">
        <is>
          <t>PGCV_0028_2061</t>
        </is>
      </c>
      <c r="B2142" s="8" t="inlineStr">
        <is>
          <t>COVID-SNL-22-76251</t>
        </is>
      </c>
      <c r="C2142" s="8" t="n"/>
      <c r="D2142" s="7" t="n">
        <v>28</v>
      </c>
      <c r="E2142" s="7" t="n">
        <v>2061</v>
      </c>
      <c r="F2142" s="7" t="inlineStr">
        <is>
          <t>Yes</t>
        </is>
      </c>
      <c r="G2142" s="8" t="n"/>
    </row>
    <row r="2143">
      <c r="A2143" s="8" t="inlineStr">
        <is>
          <t>PGCV_0028_2062</t>
        </is>
      </c>
      <c r="B2143" s="8" t="inlineStr">
        <is>
          <t>COVID-SNL-22-76254</t>
        </is>
      </c>
      <c r="C2143" s="8" t="n"/>
      <c r="D2143" s="7" t="n">
        <v>28</v>
      </c>
      <c r="E2143" s="7" t="n">
        <v>2062</v>
      </c>
      <c r="F2143" s="7" t="inlineStr">
        <is>
          <t>Yes</t>
        </is>
      </c>
      <c r="G2143" s="8" t="n"/>
    </row>
    <row r="2144">
      <c r="A2144" s="8" t="inlineStr">
        <is>
          <t>PGCV_0028_2063</t>
        </is>
      </c>
      <c r="B2144" s="8" t="inlineStr">
        <is>
          <t>COVID-SNL-22-76267</t>
        </is>
      </c>
      <c r="C2144" s="8" t="n"/>
      <c r="D2144" s="7" t="n">
        <v>28</v>
      </c>
      <c r="E2144" s="7" t="n">
        <v>2063</v>
      </c>
      <c r="F2144" s="7" t="inlineStr">
        <is>
          <t>Yes</t>
        </is>
      </c>
      <c r="G2144" s="8" t="n"/>
    </row>
    <row r="2145">
      <c r="A2145" s="8" t="inlineStr">
        <is>
          <t>PGCV_0028_2064</t>
        </is>
      </c>
      <c r="B2145" s="8" t="inlineStr">
        <is>
          <t>COVID-SNL-22-76270</t>
        </is>
      </c>
      <c r="C2145" s="8" t="n"/>
      <c r="D2145" s="7" t="n">
        <v>28</v>
      </c>
      <c r="E2145" s="7" t="n">
        <v>2064</v>
      </c>
      <c r="F2145" s="7" t="inlineStr">
        <is>
          <t>Yes</t>
        </is>
      </c>
      <c r="G2145" s="8" t="n"/>
    </row>
    <row r="2146">
      <c r="A2146" s="8" t="inlineStr">
        <is>
          <t>PGCV_0028_2065</t>
        </is>
      </c>
      <c r="B2146" s="8" t="inlineStr">
        <is>
          <t>COVID-SNL-22-76272</t>
        </is>
      </c>
      <c r="C2146" s="8" t="n"/>
      <c r="D2146" s="7" t="n">
        <v>28</v>
      </c>
      <c r="E2146" s="7" t="n">
        <v>2065</v>
      </c>
      <c r="F2146" s="7" t="inlineStr">
        <is>
          <t>Yes</t>
        </is>
      </c>
      <c r="G2146" s="8" t="n"/>
    </row>
    <row r="2147">
      <c r="A2147" s="8" t="inlineStr">
        <is>
          <t>PGCV_0028_2066</t>
        </is>
      </c>
      <c r="B2147" s="8" t="inlineStr">
        <is>
          <t>COVID-SNL-22-76362</t>
        </is>
      </c>
      <c r="C2147" s="8" t="n"/>
      <c r="D2147" s="7" t="n">
        <v>28</v>
      </c>
      <c r="E2147" s="7" t="n">
        <v>2066</v>
      </c>
      <c r="F2147" s="7" t="inlineStr">
        <is>
          <t>Yes</t>
        </is>
      </c>
      <c r="G2147" s="8" t="n"/>
    </row>
    <row r="2148">
      <c r="A2148" s="8" t="inlineStr">
        <is>
          <t>PGCV_0028_2067</t>
        </is>
      </c>
      <c r="B2148" s="8" t="inlineStr">
        <is>
          <t>COVID-SNL-22-76375</t>
        </is>
      </c>
      <c r="C2148" s="8" t="n"/>
      <c r="D2148" s="7" t="n">
        <v>28</v>
      </c>
      <c r="E2148" s="7" t="n">
        <v>2067</v>
      </c>
      <c r="F2148" s="7" t="inlineStr">
        <is>
          <t>Yes</t>
        </is>
      </c>
      <c r="G2148" s="8" t="n"/>
    </row>
    <row r="2149">
      <c r="A2149" s="8" t="inlineStr">
        <is>
          <t>PGCV_0028_2068</t>
        </is>
      </c>
      <c r="B2149" s="8" t="inlineStr">
        <is>
          <t>COVID-SNL-22-76389</t>
        </is>
      </c>
      <c r="C2149" s="8" t="n"/>
      <c r="D2149" s="7" t="n">
        <v>28</v>
      </c>
      <c r="E2149" s="7" t="n">
        <v>2068</v>
      </c>
      <c r="F2149" s="7" t="inlineStr">
        <is>
          <t>Yes</t>
        </is>
      </c>
      <c r="G2149" s="8" t="n"/>
    </row>
    <row r="2150">
      <c r="A2150" s="8" t="inlineStr">
        <is>
          <t>PGCV_0028_2069</t>
        </is>
      </c>
      <c r="B2150" s="8" t="inlineStr">
        <is>
          <t>COVID-SNL-22-76403</t>
        </is>
      </c>
      <c r="C2150" s="8" t="n"/>
      <c r="D2150" s="7" t="n">
        <v>28</v>
      </c>
      <c r="E2150" s="7" t="n">
        <v>2069</v>
      </c>
      <c r="F2150" s="7" t="inlineStr">
        <is>
          <t>Yes</t>
        </is>
      </c>
      <c r="G2150" s="8" t="n"/>
    </row>
    <row r="2151">
      <c r="A2151" s="8" t="inlineStr">
        <is>
          <t>PGCV_0028_2070</t>
        </is>
      </c>
      <c r="B2151" s="8" t="inlineStr">
        <is>
          <t>COVID-SNL-22-76407</t>
        </is>
      </c>
      <c r="C2151" s="8" t="n"/>
      <c r="D2151" s="7" t="n">
        <v>28</v>
      </c>
      <c r="E2151" s="7" t="n">
        <v>2070</v>
      </c>
      <c r="F2151" s="7" t="inlineStr">
        <is>
          <t>Yes</t>
        </is>
      </c>
      <c r="G2151" s="8" t="n"/>
    </row>
    <row r="2152">
      <c r="A2152" s="8" t="inlineStr">
        <is>
          <t>PGCV_0028_2071</t>
        </is>
      </c>
      <c r="B2152" s="8" t="inlineStr">
        <is>
          <t>COVID-SNL-22-76497</t>
        </is>
      </c>
      <c r="C2152" s="8" t="n"/>
      <c r="D2152" s="7" t="n">
        <v>28</v>
      </c>
      <c r="E2152" s="7" t="n">
        <v>2071</v>
      </c>
      <c r="F2152" s="7" t="inlineStr">
        <is>
          <t>Yes</t>
        </is>
      </c>
      <c r="G2152" s="8" t="n"/>
    </row>
    <row r="2153">
      <c r="A2153" s="8" t="inlineStr">
        <is>
          <t>PGCV_0028_2072</t>
        </is>
      </c>
      <c r="B2153" s="8" t="inlineStr">
        <is>
          <t>COVID-SNL-22-76420</t>
        </is>
      </c>
      <c r="C2153" s="8" t="n"/>
      <c r="D2153" s="7" t="n">
        <v>28</v>
      </c>
      <c r="E2153" s="7" t="n">
        <v>2072</v>
      </c>
      <c r="F2153" s="7" t="inlineStr">
        <is>
          <t>Yes</t>
        </is>
      </c>
      <c r="G2153" s="8" t="n"/>
    </row>
    <row r="2154">
      <c r="A2154" s="8" t="inlineStr">
        <is>
          <t>PGCV_0028_2073</t>
        </is>
      </c>
      <c r="B2154" s="8" t="inlineStr">
        <is>
          <t>COVID-SNL-22-76442</t>
        </is>
      </c>
      <c r="C2154" s="8" t="n"/>
      <c r="D2154" s="7" t="n">
        <v>28</v>
      </c>
      <c r="E2154" s="7" t="n">
        <v>2073</v>
      </c>
      <c r="F2154" s="7" t="inlineStr">
        <is>
          <t>Yes</t>
        </is>
      </c>
      <c r="G2154" s="8" t="n"/>
    </row>
    <row r="2155">
      <c r="A2155" s="8" t="inlineStr">
        <is>
          <t>PGCV_0028_2074</t>
        </is>
      </c>
      <c r="B2155" s="8" t="inlineStr">
        <is>
          <t>COVID-SNL-22-76445</t>
        </is>
      </c>
      <c r="C2155" s="8" t="n"/>
      <c r="D2155" s="7" t="n">
        <v>28</v>
      </c>
      <c r="E2155" s="7" t="n">
        <v>2074</v>
      </c>
      <c r="F2155" s="7" t="inlineStr">
        <is>
          <t>Yes</t>
        </is>
      </c>
      <c r="G2155" s="8" t="n"/>
    </row>
    <row r="2156">
      <c r="A2156" s="8" t="inlineStr">
        <is>
          <t>PGCV_0028_2075</t>
        </is>
      </c>
      <c r="B2156" s="8" t="inlineStr">
        <is>
          <t>COVID-SNL-22-76450</t>
        </is>
      </c>
      <c r="C2156" s="8" t="n"/>
      <c r="D2156" s="7" t="n">
        <v>28</v>
      </c>
      <c r="E2156" s="7" t="n">
        <v>2075</v>
      </c>
      <c r="F2156" s="7" t="inlineStr">
        <is>
          <t>Yes</t>
        </is>
      </c>
      <c r="G2156" s="8" t="n"/>
    </row>
    <row r="2157">
      <c r="A2157" s="8" t="inlineStr">
        <is>
          <t>PGCV_0028_2076</t>
        </is>
      </c>
      <c r="B2157" s="8" t="inlineStr">
        <is>
          <t>COVID-SNL-22-76451</t>
        </is>
      </c>
      <c r="C2157" s="8" t="n"/>
      <c r="D2157" s="7" t="n">
        <v>28</v>
      </c>
      <c r="E2157" s="7" t="n">
        <v>2076</v>
      </c>
      <c r="F2157" s="7" t="inlineStr">
        <is>
          <t>Yes</t>
        </is>
      </c>
      <c r="G2157" s="8" t="n"/>
    </row>
    <row r="2158">
      <c r="A2158" s="8" t="inlineStr">
        <is>
          <t>PGCV_0028_2077</t>
        </is>
      </c>
      <c r="B2158" s="8" t="inlineStr">
        <is>
          <t>COVID-SNL-22-76537</t>
        </is>
      </c>
      <c r="C2158" s="8" t="n"/>
      <c r="D2158" s="7" t="n">
        <v>28</v>
      </c>
      <c r="E2158" s="7" t="n">
        <v>2077</v>
      </c>
      <c r="F2158" s="7" t="inlineStr">
        <is>
          <t>Yes</t>
        </is>
      </c>
      <c r="G2158" s="8" t="n"/>
    </row>
    <row r="2159">
      <c r="A2159" s="8" t="inlineStr">
        <is>
          <t>PGCV_0028_2078</t>
        </is>
      </c>
      <c r="B2159" s="8" t="inlineStr">
        <is>
          <t>COVID-SNL-22-76607</t>
        </is>
      </c>
      <c r="C2159" s="8" t="n"/>
      <c r="D2159" s="7" t="n">
        <v>28</v>
      </c>
      <c r="E2159" s="7" t="n">
        <v>2078</v>
      </c>
      <c r="F2159" s="7" t="inlineStr">
        <is>
          <t>Yes</t>
        </is>
      </c>
      <c r="G2159" s="8" t="n"/>
    </row>
    <row r="2160">
      <c r="A2160" s="8" t="inlineStr">
        <is>
          <t>PGCV_0028_2079</t>
        </is>
      </c>
      <c r="B2160" s="8" t="inlineStr">
        <is>
          <t>COVID-SNL-22-76633</t>
        </is>
      </c>
      <c r="C2160" s="8" t="n"/>
      <c r="D2160" s="7" t="n">
        <v>28</v>
      </c>
      <c r="E2160" s="7" t="n">
        <v>2079</v>
      </c>
      <c r="F2160" s="7" t="inlineStr">
        <is>
          <t>Yes</t>
        </is>
      </c>
      <c r="G2160" s="8" t="n"/>
    </row>
    <row r="2161">
      <c r="A2161" s="8" t="inlineStr">
        <is>
          <t>PGCV_0028_2080</t>
        </is>
      </c>
      <c r="B2161" s="8" t="inlineStr">
        <is>
          <t>COVID-SNL-22-76643</t>
        </is>
      </c>
      <c r="C2161" s="8" t="n"/>
      <c r="D2161" s="7" t="n">
        <v>28</v>
      </c>
      <c r="E2161" s="7" t="n">
        <v>2080</v>
      </c>
      <c r="F2161" s="7" t="inlineStr">
        <is>
          <t>Yes</t>
        </is>
      </c>
      <c r="G2161" s="8" t="n"/>
    </row>
    <row r="2162">
      <c r="A2162" s="8" t="inlineStr">
        <is>
          <t>PGCV_0028_2081</t>
        </is>
      </c>
      <c r="B2162" s="8" t="inlineStr">
        <is>
          <t>COVID-SNL-22-76545</t>
        </is>
      </c>
      <c r="C2162" s="8" t="n"/>
      <c r="D2162" s="7" t="n">
        <v>28</v>
      </c>
      <c r="E2162" s="7" t="n">
        <v>2081</v>
      </c>
      <c r="F2162" s="7" t="inlineStr">
        <is>
          <t>Yes</t>
        </is>
      </c>
      <c r="G2162" s="8" t="n"/>
    </row>
    <row r="2163">
      <c r="A2163" s="8" t="inlineStr">
        <is>
          <t>PGCV_0028_2082</t>
        </is>
      </c>
      <c r="B2163" s="8" t="inlineStr">
        <is>
          <t>COVID-SNL-22-76549</t>
        </is>
      </c>
      <c r="C2163" s="8" t="n"/>
      <c r="D2163" s="7" t="n">
        <v>28</v>
      </c>
      <c r="E2163" s="7" t="n">
        <v>2082</v>
      </c>
      <c r="F2163" s="7" t="inlineStr">
        <is>
          <t>Yes</t>
        </is>
      </c>
      <c r="G2163" s="8" t="n"/>
    </row>
    <row r="2164">
      <c r="A2164" s="8" t="inlineStr">
        <is>
          <t>PGCV_0028_2083</t>
        </is>
      </c>
      <c r="B2164" s="8" t="inlineStr">
        <is>
          <t>COVID-SNL-22-76552</t>
        </is>
      </c>
      <c r="C2164" s="8" t="n"/>
      <c r="D2164" s="7" t="n">
        <v>28</v>
      </c>
      <c r="E2164" s="7" t="n">
        <v>2083</v>
      </c>
      <c r="F2164" s="7" t="inlineStr">
        <is>
          <t>Yes</t>
        </is>
      </c>
      <c r="G2164" s="8" t="n"/>
    </row>
    <row r="2165">
      <c r="A2165" s="8" t="inlineStr">
        <is>
          <t>PGCV_0028_2084</t>
        </is>
      </c>
      <c r="B2165" s="8" t="inlineStr">
        <is>
          <t>COVID-SNL-22-76555</t>
        </is>
      </c>
      <c r="C2165" s="8" t="n"/>
      <c r="D2165" s="7" t="n">
        <v>28</v>
      </c>
      <c r="E2165" s="7" t="n">
        <v>2084</v>
      </c>
      <c r="F2165" s="7" t="inlineStr">
        <is>
          <t>Yes</t>
        </is>
      </c>
      <c r="G2165" s="8" t="n"/>
    </row>
    <row r="2166">
      <c r="A2166" s="8" t="inlineStr">
        <is>
          <t>PGCV_0028_2085</t>
        </is>
      </c>
      <c r="B2166" s="8" t="inlineStr">
        <is>
          <t>COVID-SNL-22-76557</t>
        </is>
      </c>
      <c r="C2166" s="8" t="n"/>
      <c r="D2166" s="7" t="n">
        <v>28</v>
      </c>
      <c r="E2166" s="7" t="n">
        <v>2085</v>
      </c>
      <c r="F2166" s="7" t="inlineStr">
        <is>
          <t>Yes</t>
        </is>
      </c>
      <c r="G2166" s="8" t="n"/>
    </row>
    <row r="2167">
      <c r="A2167" s="8" t="inlineStr">
        <is>
          <t>PGCV_0028_2086</t>
        </is>
      </c>
      <c r="B2167" s="8" t="inlineStr">
        <is>
          <t>COVID-SNL-22-76671</t>
        </is>
      </c>
      <c r="C2167" s="8" t="n"/>
      <c r="D2167" s="7" t="n">
        <v>28</v>
      </c>
      <c r="E2167" s="7" t="n">
        <v>2086</v>
      </c>
      <c r="F2167" s="7" t="inlineStr">
        <is>
          <t>Yes</t>
        </is>
      </c>
      <c r="G2167" s="8" t="n"/>
    </row>
    <row r="2168">
      <c r="A2168" s="8" t="inlineStr">
        <is>
          <t>PGCV_0028_2087</t>
        </is>
      </c>
      <c r="B2168" s="8" t="inlineStr">
        <is>
          <t>COVID-SNL-22-76687</t>
        </is>
      </c>
      <c r="C2168" s="8" t="n"/>
      <c r="D2168" s="7" t="n">
        <v>28</v>
      </c>
      <c r="E2168" s="7" t="n">
        <v>2087</v>
      </c>
      <c r="F2168" s="7" t="inlineStr">
        <is>
          <t>Yes</t>
        </is>
      </c>
      <c r="G2168" s="8" t="n"/>
    </row>
    <row r="2169">
      <c r="A2169" s="8" t="inlineStr">
        <is>
          <t>PGCV_0028_2088</t>
        </is>
      </c>
      <c r="B2169" s="8" t="inlineStr">
        <is>
          <t>COVID-SNL-22-76688</t>
        </is>
      </c>
      <c r="C2169" s="8" t="n"/>
      <c r="D2169" s="7" t="n">
        <v>28</v>
      </c>
      <c r="E2169" s="7" t="n">
        <v>2088</v>
      </c>
      <c r="F2169" s="7" t="inlineStr">
        <is>
          <t>Yes</t>
        </is>
      </c>
      <c r="G2169" s="8" t="n"/>
    </row>
    <row r="2170">
      <c r="A2170" s="8" t="inlineStr">
        <is>
          <t>PGCV_0028_2089</t>
        </is>
      </c>
      <c r="B2170" s="8" t="inlineStr">
        <is>
          <t>COVID-SNL-22-76695</t>
        </is>
      </c>
      <c r="C2170" s="8" t="n"/>
      <c r="D2170" s="7" t="n">
        <v>28</v>
      </c>
      <c r="E2170" s="7" t="n">
        <v>2089</v>
      </c>
      <c r="F2170" s="7" t="inlineStr">
        <is>
          <t>Yes</t>
        </is>
      </c>
      <c r="G2170" s="8" t="n"/>
    </row>
    <row r="2171">
      <c r="A2171" s="8" t="inlineStr">
        <is>
          <t>PGCV_0028_2090</t>
        </is>
      </c>
      <c r="B2171" s="8" t="inlineStr">
        <is>
          <t>COVID-SNL-22-76707</t>
        </is>
      </c>
      <c r="C2171" s="8" t="n"/>
      <c r="D2171" s="7" t="n">
        <v>28</v>
      </c>
      <c r="E2171" s="7" t="n">
        <v>2090</v>
      </c>
      <c r="F2171" s="7" t="inlineStr">
        <is>
          <t>Yes</t>
        </is>
      </c>
      <c r="G2171" s="8" t="n"/>
    </row>
    <row r="2172">
      <c r="A2172" s="8" t="inlineStr">
        <is>
          <t>PGCV_0028_2091</t>
        </is>
      </c>
      <c r="B2172" s="8" t="inlineStr">
        <is>
          <t>COVID-SNL-22-76709</t>
        </is>
      </c>
      <c r="C2172" s="8" t="n"/>
      <c r="D2172" s="7" t="n">
        <v>28</v>
      </c>
      <c r="E2172" s="7" t="n">
        <v>2091</v>
      </c>
      <c r="F2172" s="7" t="inlineStr">
        <is>
          <t>Yes</t>
        </is>
      </c>
      <c r="G2172" s="8" t="n"/>
    </row>
    <row r="2173">
      <c r="A2173" s="8" t="inlineStr">
        <is>
          <t>PGCV_0028_2092</t>
        </is>
      </c>
      <c r="B2173" s="8" t="inlineStr">
        <is>
          <t>COVID-SNL-22-76775</t>
        </is>
      </c>
      <c r="C2173" s="8" t="n"/>
      <c r="D2173" s="7" t="n">
        <v>28</v>
      </c>
      <c r="E2173" s="7" t="n">
        <v>2092</v>
      </c>
      <c r="F2173" s="7" t="inlineStr">
        <is>
          <t>Yes</t>
        </is>
      </c>
      <c r="G2173" s="8" t="n"/>
    </row>
    <row r="2174">
      <c r="A2174" s="8" t="inlineStr">
        <is>
          <t>PGCV_0028_2093</t>
        </is>
      </c>
      <c r="B2174" s="8" t="inlineStr">
        <is>
          <t>COVID-SNL-22-76797</t>
        </is>
      </c>
      <c r="C2174" s="8" t="n"/>
      <c r="D2174" s="7" t="n">
        <v>28</v>
      </c>
      <c r="E2174" s="7" t="n">
        <v>2093</v>
      </c>
      <c r="F2174" s="7" t="inlineStr">
        <is>
          <t>Yes</t>
        </is>
      </c>
      <c r="G2174" s="8" t="n"/>
    </row>
    <row r="2175">
      <c r="A2175" s="8" t="inlineStr">
        <is>
          <t>PGCV_0028_2094</t>
        </is>
      </c>
      <c r="B2175" s="8" t="inlineStr">
        <is>
          <t>COVID-SNL-22-76802</t>
        </is>
      </c>
      <c r="C2175" s="8" t="n"/>
      <c r="D2175" s="7" t="n">
        <v>28</v>
      </c>
      <c r="E2175" s="7" t="n">
        <v>2094</v>
      </c>
      <c r="F2175" s="7" t="inlineStr">
        <is>
          <t>Yes</t>
        </is>
      </c>
      <c r="G2175" s="8" t="n"/>
    </row>
    <row r="2176">
      <c r="A2176" s="8" t="inlineStr">
        <is>
          <t>PGCV_0028_2095</t>
        </is>
      </c>
      <c r="B2176" s="8" t="inlineStr">
        <is>
          <t>COVID-SNL-22-76814</t>
        </is>
      </c>
      <c r="C2176" s="8" t="n"/>
      <c r="D2176" s="7" t="n">
        <v>28</v>
      </c>
      <c r="E2176" s="7" t="n">
        <v>2095</v>
      </c>
      <c r="F2176" s="7" t="inlineStr">
        <is>
          <t>Yes</t>
        </is>
      </c>
      <c r="G2176" s="8" t="n"/>
    </row>
    <row r="2177">
      <c r="A2177" s="8" t="inlineStr">
        <is>
          <t>PGCV_0028_2096</t>
        </is>
      </c>
      <c r="B2177" s="8" t="inlineStr">
        <is>
          <t>COVID-SNL-22-76817</t>
        </is>
      </c>
      <c r="C2177" s="8" t="n"/>
      <c r="D2177" s="7" t="n">
        <v>28</v>
      </c>
      <c r="E2177" s="7" t="n">
        <v>2096</v>
      </c>
      <c r="F2177" s="7" t="inlineStr">
        <is>
          <t>Yes</t>
        </is>
      </c>
      <c r="G2177" s="8" t="n"/>
    </row>
    <row r="2178">
      <c r="A2178" s="8" t="inlineStr">
        <is>
          <t>PGCV_0028_2097</t>
        </is>
      </c>
      <c r="B2178" s="8" t="inlineStr">
        <is>
          <t>COVID-SNL-22-76849</t>
        </is>
      </c>
      <c r="C2178" s="8" t="n"/>
      <c r="D2178" s="7" t="n">
        <v>28</v>
      </c>
      <c r="E2178" s="7" t="n">
        <v>2097</v>
      </c>
      <c r="F2178" s="7" t="inlineStr">
        <is>
          <t>Yes</t>
        </is>
      </c>
      <c r="G2178" s="8" t="n"/>
    </row>
    <row r="2179">
      <c r="A2179" s="8" t="inlineStr">
        <is>
          <t>PGCV_0028_2098</t>
        </is>
      </c>
      <c r="B2179" s="8" t="inlineStr">
        <is>
          <t>COVID-SNL-22-76859</t>
        </is>
      </c>
      <c r="C2179" s="8" t="n"/>
      <c r="D2179" s="7" t="n">
        <v>28</v>
      </c>
      <c r="E2179" s="7" t="n">
        <v>2098</v>
      </c>
      <c r="F2179" s="7" t="inlineStr">
        <is>
          <t>Yes</t>
        </is>
      </c>
      <c r="G2179" s="8" t="n"/>
    </row>
    <row r="2180">
      <c r="A2180" s="8" t="inlineStr">
        <is>
          <t>PGCV_0028_2099</t>
        </is>
      </c>
      <c r="B2180" s="8" t="inlineStr">
        <is>
          <t>COVID-SNL-22-76889</t>
        </is>
      </c>
      <c r="C2180" s="8" t="n"/>
      <c r="D2180" s="7" t="n">
        <v>28</v>
      </c>
      <c r="E2180" s="7" t="n">
        <v>2099</v>
      </c>
      <c r="F2180" s="7" t="inlineStr">
        <is>
          <t>Yes</t>
        </is>
      </c>
      <c r="G2180" s="8" t="n"/>
    </row>
    <row r="2181">
      <c r="A2181" s="8" t="inlineStr">
        <is>
          <t>PGCV_0028_2100</t>
        </is>
      </c>
      <c r="B2181" s="8" t="inlineStr">
        <is>
          <t>COVID-SNL-22-76899</t>
        </is>
      </c>
      <c r="C2181" s="8" t="n"/>
      <c r="D2181" s="7" t="n">
        <v>28</v>
      </c>
      <c r="E2181" s="7" t="n">
        <v>2100</v>
      </c>
      <c r="F2181" s="7" t="inlineStr">
        <is>
          <t>Yes</t>
        </is>
      </c>
      <c r="G2181" s="8" t="n"/>
    </row>
    <row r="2182">
      <c r="A2182" s="8" t="inlineStr">
        <is>
          <t>PGCV_0028_2101</t>
        </is>
      </c>
      <c r="B2182" s="8" t="inlineStr">
        <is>
          <t>COVID-SNL-22-76900</t>
        </is>
      </c>
      <c r="C2182" s="8" t="n"/>
      <c r="D2182" s="7" t="n">
        <v>28</v>
      </c>
      <c r="E2182" s="7" t="n">
        <v>2101</v>
      </c>
      <c r="F2182" s="7" t="inlineStr">
        <is>
          <t>Yes</t>
        </is>
      </c>
      <c r="G2182" s="8" t="n"/>
    </row>
    <row r="2183">
      <c r="A2183" s="8" t="inlineStr">
        <is>
          <t>PGCV_0028_2102</t>
        </is>
      </c>
      <c r="B2183" s="8" t="inlineStr">
        <is>
          <t>COVID-SNL-22-76911</t>
        </is>
      </c>
      <c r="C2183" s="8" t="n"/>
      <c r="D2183" s="7" t="n">
        <v>28</v>
      </c>
      <c r="E2183" s="7" t="n">
        <v>2102</v>
      </c>
      <c r="F2183" s="7" t="inlineStr">
        <is>
          <t>Yes</t>
        </is>
      </c>
      <c r="G2183" s="8" t="n"/>
    </row>
    <row r="2184">
      <c r="A2184" s="8" t="inlineStr">
        <is>
          <t>PGCV_0028_2103</t>
        </is>
      </c>
      <c r="B2184" s="8" t="inlineStr">
        <is>
          <t>COVID-SNL-22-76917</t>
        </is>
      </c>
      <c r="C2184" s="8" t="n"/>
      <c r="D2184" s="7" t="n">
        <v>28</v>
      </c>
      <c r="E2184" s="7" t="n">
        <v>2103</v>
      </c>
      <c r="F2184" s="7" t="inlineStr">
        <is>
          <t>Yes</t>
        </is>
      </c>
      <c r="G2184" s="8" t="n"/>
    </row>
    <row r="2185">
      <c r="A2185" s="8" t="inlineStr">
        <is>
          <t>PGCV_0028_2104</t>
        </is>
      </c>
      <c r="B2185" s="8" t="inlineStr">
        <is>
          <t>COVID-SNL-22-76947</t>
        </is>
      </c>
      <c r="C2185" s="8" t="n"/>
      <c r="D2185" s="7" t="n">
        <v>28</v>
      </c>
      <c r="E2185" s="7" t="n">
        <v>2104</v>
      </c>
      <c r="F2185" s="7" t="inlineStr">
        <is>
          <t>Yes</t>
        </is>
      </c>
      <c r="G2185" s="8" t="n"/>
    </row>
    <row r="2186">
      <c r="A2186" s="8" t="inlineStr">
        <is>
          <t>PGCV_0028_2105</t>
        </is>
      </c>
      <c r="B2186" s="8" t="inlineStr">
        <is>
          <t>COVID-SNL-22-76961</t>
        </is>
      </c>
      <c r="C2186" s="8" t="n"/>
      <c r="D2186" s="7" t="n">
        <v>28</v>
      </c>
      <c r="E2186" s="7" t="n">
        <v>2105</v>
      </c>
      <c r="F2186" s="7" t="inlineStr">
        <is>
          <t>Yes</t>
        </is>
      </c>
      <c r="G2186" s="8" t="n"/>
    </row>
    <row r="2187">
      <c r="A2187" s="8" t="inlineStr">
        <is>
          <t>PGCV_0028_2106</t>
        </is>
      </c>
      <c r="B2187" s="8" t="inlineStr">
        <is>
          <t>COVID-SNL-22-76962</t>
        </is>
      </c>
      <c r="C2187" s="8" t="n"/>
      <c r="D2187" s="7" t="n">
        <v>28</v>
      </c>
      <c r="E2187" s="7" t="n">
        <v>2106</v>
      </c>
      <c r="F2187" s="7" t="inlineStr">
        <is>
          <t>Yes</t>
        </is>
      </c>
      <c r="G2187" s="8" t="n"/>
    </row>
    <row r="2188">
      <c r="A2188" s="8" t="inlineStr">
        <is>
          <t>PGCV_0028_2107</t>
        </is>
      </c>
      <c r="B2188" s="8" t="inlineStr">
        <is>
          <t>COVID-SNL-22-76976</t>
        </is>
      </c>
      <c r="C2188" s="8" t="n"/>
      <c r="D2188" s="7" t="n">
        <v>28</v>
      </c>
      <c r="E2188" s="7" t="n">
        <v>2107</v>
      </c>
      <c r="F2188" s="7" t="inlineStr">
        <is>
          <t>Yes</t>
        </is>
      </c>
      <c r="G2188" s="8" t="n"/>
    </row>
    <row r="2189">
      <c r="A2189" s="8" t="inlineStr">
        <is>
          <t>PGCV_0028_2108</t>
        </is>
      </c>
      <c r="B2189" s="8" t="inlineStr">
        <is>
          <t>COVID-SNL-22-77770</t>
        </is>
      </c>
      <c r="C2189" s="8" t="n"/>
      <c r="D2189" s="7" t="n">
        <v>28</v>
      </c>
      <c r="E2189" s="7" t="n">
        <v>2108</v>
      </c>
      <c r="F2189" s="7" t="inlineStr">
        <is>
          <t>Yes</t>
        </is>
      </c>
      <c r="G2189" s="8" t="n"/>
    </row>
    <row r="2190">
      <c r="A2190" s="8" t="inlineStr">
        <is>
          <t>PGCV_0028_2109</t>
        </is>
      </c>
      <c r="B2190" s="8" t="inlineStr">
        <is>
          <t>COVID-SNL-22-77854</t>
        </is>
      </c>
      <c r="C2190" s="8" t="n"/>
      <c r="D2190" s="7" t="n">
        <v>28</v>
      </c>
      <c r="E2190" s="7" t="n">
        <v>2109</v>
      </c>
      <c r="F2190" s="7" t="inlineStr">
        <is>
          <t>Yes</t>
        </is>
      </c>
      <c r="G2190" s="8" t="n"/>
    </row>
    <row r="2191">
      <c r="A2191" s="8" t="inlineStr">
        <is>
          <t>PGCV_0028_2110</t>
        </is>
      </c>
      <c r="B2191" s="8" t="inlineStr">
        <is>
          <t>COVID-SNL-22-77855</t>
        </is>
      </c>
      <c r="C2191" s="8" t="n"/>
      <c r="D2191" s="7" t="n">
        <v>28</v>
      </c>
      <c r="E2191" s="7" t="n">
        <v>2110</v>
      </c>
      <c r="F2191" s="7" t="inlineStr">
        <is>
          <t>Yes</t>
        </is>
      </c>
      <c r="G2191" s="8" t="n"/>
    </row>
    <row r="2192">
      <c r="A2192" s="8" t="inlineStr">
        <is>
          <t>PGCV_0028_2111</t>
        </is>
      </c>
      <c r="B2192" s="8" t="inlineStr">
        <is>
          <t>COVID-SNL-22-77875</t>
        </is>
      </c>
      <c r="C2192" s="8" t="n"/>
      <c r="D2192" s="7" t="n">
        <v>28</v>
      </c>
      <c r="E2192" s="7" t="n">
        <v>2111</v>
      </c>
      <c r="F2192" s="7" t="inlineStr">
        <is>
          <t>Yes</t>
        </is>
      </c>
      <c r="G2192" s="8" t="n"/>
    </row>
    <row r="2193">
      <c r="A2193" s="8" t="inlineStr">
        <is>
          <t>PGCV_0028_2112</t>
        </is>
      </c>
      <c r="B2193" s="8" t="inlineStr">
        <is>
          <t>COVID-SNL-22-77911</t>
        </is>
      </c>
      <c r="C2193" s="8" t="n"/>
      <c r="D2193" s="7" t="n">
        <v>28</v>
      </c>
      <c r="E2193" s="7" t="n">
        <v>2112</v>
      </c>
      <c r="F2193" s="7" t="inlineStr">
        <is>
          <t>Yes</t>
        </is>
      </c>
      <c r="G2193" s="8" t="n"/>
    </row>
    <row r="2194">
      <c r="A2194" s="8" t="inlineStr">
        <is>
          <t>PGCV_0028_2113</t>
        </is>
      </c>
      <c r="B2194" s="8" t="inlineStr">
        <is>
          <t>COVID-SNL-22-77801</t>
        </is>
      </c>
      <c r="C2194" s="8" t="n"/>
      <c r="D2194" s="7" t="n">
        <v>28</v>
      </c>
      <c r="E2194" s="7" t="n">
        <v>2113</v>
      </c>
      <c r="F2194" s="7" t="inlineStr">
        <is>
          <t>Yes</t>
        </is>
      </c>
      <c r="G2194" s="8" t="n"/>
    </row>
    <row r="2195">
      <c r="A2195" s="8" t="inlineStr">
        <is>
          <t>PGCV_0028_2114</t>
        </is>
      </c>
      <c r="B2195" s="8" t="inlineStr">
        <is>
          <t>COVID-SNL-22-77802</t>
        </is>
      </c>
      <c r="C2195" s="8" t="n"/>
      <c r="D2195" s="7" t="n">
        <v>28</v>
      </c>
      <c r="E2195" s="7" t="n">
        <v>2114</v>
      </c>
      <c r="F2195" s="7" t="inlineStr">
        <is>
          <t>Yes</t>
        </is>
      </c>
      <c r="G2195" s="8" t="n"/>
    </row>
    <row r="2196">
      <c r="A2196" s="8" t="inlineStr">
        <is>
          <t>PGCV_0028_2115</t>
        </is>
      </c>
      <c r="B2196" s="8" t="inlineStr">
        <is>
          <t>COVID-SNL-22-77817</t>
        </is>
      </c>
      <c r="C2196" s="8" t="n"/>
      <c r="D2196" s="7" t="n">
        <v>28</v>
      </c>
      <c r="E2196" s="7" t="n">
        <v>2115</v>
      </c>
      <c r="F2196" s="7" t="inlineStr">
        <is>
          <t>Yes</t>
        </is>
      </c>
      <c r="G2196" s="8" t="n"/>
    </row>
    <row r="2197">
      <c r="A2197" s="8" t="inlineStr">
        <is>
          <t>PGCV_0028_2116</t>
        </is>
      </c>
      <c r="B2197" s="8" t="inlineStr">
        <is>
          <t>COVID-SNL-22-77834</t>
        </is>
      </c>
      <c r="C2197" s="8" t="n"/>
      <c r="D2197" s="7" t="n">
        <v>28</v>
      </c>
      <c r="E2197" s="7" t="n">
        <v>2116</v>
      </c>
      <c r="F2197" s="7" t="inlineStr">
        <is>
          <t>Yes</t>
        </is>
      </c>
      <c r="G2197" s="8" t="n"/>
    </row>
    <row r="2198">
      <c r="A2198" s="8" t="inlineStr">
        <is>
          <t>PGCV_0028_2117</t>
        </is>
      </c>
      <c r="B2198" s="8" t="inlineStr">
        <is>
          <t>COVID-SNL-22-77837</t>
        </is>
      </c>
      <c r="C2198" s="8" t="n"/>
      <c r="D2198" s="7" t="n">
        <v>28</v>
      </c>
      <c r="E2198" s="7" t="n">
        <v>2117</v>
      </c>
      <c r="F2198" s="7" t="inlineStr">
        <is>
          <t>Yes</t>
        </is>
      </c>
      <c r="G2198" s="8" t="n"/>
    </row>
    <row r="2199">
      <c r="A2199" s="8" t="inlineStr">
        <is>
          <t>PGCV_0028_2118</t>
        </is>
      </c>
      <c r="B2199" s="8" t="inlineStr">
        <is>
          <t>COVID-SNL-22-77930</t>
        </is>
      </c>
      <c r="C2199" s="8" t="n"/>
      <c r="D2199" s="7" t="n">
        <v>28</v>
      </c>
      <c r="E2199" s="7" t="n">
        <v>2118</v>
      </c>
      <c r="F2199" s="7" t="inlineStr">
        <is>
          <t>Yes</t>
        </is>
      </c>
      <c r="G2199" s="8" t="n"/>
    </row>
    <row r="2200">
      <c r="A2200" s="8" t="inlineStr">
        <is>
          <t>PGCV_0028_2119</t>
        </is>
      </c>
      <c r="B2200" s="8" t="inlineStr">
        <is>
          <t>COVID-SNL-22-77940</t>
        </is>
      </c>
      <c r="C2200" s="8" t="n"/>
      <c r="D2200" s="7" t="n">
        <v>28</v>
      </c>
      <c r="E2200" s="7" t="n">
        <v>2119</v>
      </c>
      <c r="F2200" s="7" t="inlineStr">
        <is>
          <t>Yes</t>
        </is>
      </c>
      <c r="G2200" s="8" t="n"/>
    </row>
    <row r="2201">
      <c r="A2201" s="8" t="inlineStr">
        <is>
          <t>PGCV_0028_2120</t>
        </is>
      </c>
      <c r="B2201" s="8" t="inlineStr">
        <is>
          <t>COVID-SNL-22-77947</t>
        </is>
      </c>
      <c r="C2201" s="8" t="n"/>
      <c r="D2201" s="7" t="n">
        <v>28</v>
      </c>
      <c r="E2201" s="7" t="n">
        <v>2120</v>
      </c>
      <c r="F2201" s="7" t="inlineStr">
        <is>
          <t>Yes</t>
        </is>
      </c>
      <c r="G2201" s="8" t="n"/>
    </row>
    <row r="2202">
      <c r="A2202" s="8" t="inlineStr">
        <is>
          <t>PGCV_0028_2121</t>
        </is>
      </c>
      <c r="B2202" s="8" t="inlineStr">
        <is>
          <t>COVID-SNL-22-77954</t>
        </is>
      </c>
      <c r="C2202" s="8" t="n"/>
      <c r="D2202" s="7" t="n">
        <v>28</v>
      </c>
      <c r="E2202" s="7" t="n">
        <v>2121</v>
      </c>
      <c r="F2202" s="7" t="inlineStr">
        <is>
          <t>Yes</t>
        </is>
      </c>
      <c r="G2202" s="8" t="n"/>
    </row>
    <row r="2203">
      <c r="A2203" s="8" t="inlineStr">
        <is>
          <t>PGCV_0028_2122</t>
        </is>
      </c>
      <c r="B2203" s="8" t="inlineStr">
        <is>
          <t>COVID-SNL-22-77975</t>
        </is>
      </c>
      <c r="C2203" s="8" t="n"/>
      <c r="D2203" s="7" t="n">
        <v>28</v>
      </c>
      <c r="E2203" s="7" t="n">
        <v>2122</v>
      </c>
      <c r="F2203" s="7" t="inlineStr">
        <is>
          <t>Yes</t>
        </is>
      </c>
      <c r="G2203" s="8" t="n"/>
    </row>
    <row r="2204">
      <c r="A2204" s="8" t="inlineStr">
        <is>
          <t>PGCV_0028_2123</t>
        </is>
      </c>
      <c r="B2204" s="8" t="inlineStr">
        <is>
          <t>COVID-SNL-22-78015</t>
        </is>
      </c>
      <c r="C2204" s="8" t="n"/>
      <c r="D2204" s="7" t="n">
        <v>28</v>
      </c>
      <c r="E2204" s="7" t="n">
        <v>2123</v>
      </c>
      <c r="F2204" s="7" t="inlineStr">
        <is>
          <t>Yes</t>
        </is>
      </c>
      <c r="G2204" s="8" t="n"/>
    </row>
    <row r="2205">
      <c r="A2205" s="8" t="inlineStr">
        <is>
          <t>PGCV_0028_2124</t>
        </is>
      </c>
      <c r="B2205" s="8" t="inlineStr">
        <is>
          <t>COVID-SNL-22-78025</t>
        </is>
      </c>
      <c r="C2205" s="8" t="n"/>
      <c r="D2205" s="7" t="n">
        <v>28</v>
      </c>
      <c r="E2205" s="7" t="n">
        <v>2124</v>
      </c>
      <c r="F2205" s="7" t="inlineStr">
        <is>
          <t>Yes</t>
        </is>
      </c>
      <c r="G2205" s="8" t="n"/>
    </row>
    <row r="2206">
      <c r="A2206" s="8" t="inlineStr">
        <is>
          <t>PGCV_0028_2125</t>
        </is>
      </c>
      <c r="B2206" s="8" t="inlineStr">
        <is>
          <t>COVID-SNL-22-78033</t>
        </is>
      </c>
      <c r="C2206" s="8" t="n"/>
      <c r="D2206" s="7" t="n">
        <v>28</v>
      </c>
      <c r="E2206" s="7" t="n">
        <v>2125</v>
      </c>
      <c r="F2206" s="7" t="inlineStr">
        <is>
          <t>No</t>
        </is>
      </c>
      <c r="G2206" s="8" t="n"/>
    </row>
    <row r="2207">
      <c r="A2207" s="8" t="inlineStr">
        <is>
          <t>PGCV_0028_2126</t>
        </is>
      </c>
      <c r="B2207" s="8" t="inlineStr">
        <is>
          <t>COVID-SNL-22-78043</t>
        </is>
      </c>
      <c r="C2207" s="8" t="n"/>
      <c r="D2207" s="7" t="n">
        <v>28</v>
      </c>
      <c r="E2207" s="7" t="n">
        <v>2126</v>
      </c>
      <c r="F2207" s="7" t="inlineStr">
        <is>
          <t>Yes</t>
        </is>
      </c>
      <c r="G2207" s="8" t="n"/>
    </row>
    <row r="2208">
      <c r="A2208" s="8" t="inlineStr">
        <is>
          <t>PGCV_0028_2127</t>
        </is>
      </c>
      <c r="B2208" s="8" t="inlineStr">
        <is>
          <t>COVID-SNL-22-78046</t>
        </is>
      </c>
      <c r="C2208" s="8" t="n"/>
      <c r="D2208" s="7" t="n">
        <v>28</v>
      </c>
      <c r="E2208" s="7" t="n">
        <v>2127</v>
      </c>
      <c r="F2208" s="7" t="inlineStr">
        <is>
          <t>Yes</t>
        </is>
      </c>
      <c r="G2208" s="8" t="n"/>
    </row>
    <row r="2209">
      <c r="A2209" s="8" t="inlineStr">
        <is>
          <t>PGCV_0028_2128</t>
        </is>
      </c>
      <c r="B2209" s="8" t="inlineStr">
        <is>
          <t>COVID-SNL-22-78052</t>
        </is>
      </c>
      <c r="C2209" s="8" t="n"/>
      <c r="D2209" s="7" t="n">
        <v>28</v>
      </c>
      <c r="E2209" s="7" t="n">
        <v>2128</v>
      </c>
      <c r="F2209" s="7" t="inlineStr">
        <is>
          <t>Yes</t>
        </is>
      </c>
      <c r="G2209" s="8" t="n"/>
    </row>
    <row r="2210">
      <c r="A2210" s="8" t="inlineStr">
        <is>
          <t>PGCV_0028_2129</t>
        </is>
      </c>
      <c r="B2210" s="8" t="inlineStr">
        <is>
          <t>COVID-SNL-22-78053</t>
        </is>
      </c>
      <c r="C2210" s="8" t="n"/>
      <c r="D2210" s="7" t="n">
        <v>28</v>
      </c>
      <c r="E2210" s="7" t="n">
        <v>2129</v>
      </c>
      <c r="F2210" s="7" t="inlineStr">
        <is>
          <t>Yes</t>
        </is>
      </c>
      <c r="G2210" s="8" t="n"/>
    </row>
    <row r="2211">
      <c r="A2211" s="8" t="inlineStr">
        <is>
          <t>PGCV_0028_2130</t>
        </is>
      </c>
      <c r="B2211" s="8" t="inlineStr">
        <is>
          <t>COVID-SNL-22-78065</t>
        </is>
      </c>
      <c r="C2211" s="8" t="n"/>
      <c r="D2211" s="7" t="n">
        <v>28</v>
      </c>
      <c r="E2211" s="7" t="n">
        <v>2130</v>
      </c>
      <c r="F2211" s="7" t="inlineStr">
        <is>
          <t>Yes</t>
        </is>
      </c>
      <c r="G2211" s="8" t="n"/>
    </row>
    <row r="2212">
      <c r="A2212" s="8" t="inlineStr">
        <is>
          <t>PGCV_0028_2131</t>
        </is>
      </c>
      <c r="B2212" s="8" t="inlineStr">
        <is>
          <t>COVID-SNL-22-78066</t>
        </is>
      </c>
      <c r="C2212" s="8" t="n"/>
      <c r="D2212" s="7" t="n">
        <v>28</v>
      </c>
      <c r="E2212" s="7" t="n">
        <v>2131</v>
      </c>
      <c r="F2212" s="7" t="inlineStr">
        <is>
          <t>Yes</t>
        </is>
      </c>
      <c r="G2212" s="8" t="n"/>
    </row>
    <row r="2213">
      <c r="A2213" s="8" t="inlineStr">
        <is>
          <t>PGCV_0028_2132</t>
        </is>
      </c>
      <c r="B2213" s="8" t="inlineStr">
        <is>
          <t>COVID-SNL-22-78068</t>
        </is>
      </c>
      <c r="C2213" s="8" t="n"/>
      <c r="D2213" s="7" t="n">
        <v>28</v>
      </c>
      <c r="E2213" s="7" t="n">
        <v>2132</v>
      </c>
      <c r="F2213" s="7" t="inlineStr">
        <is>
          <t>Yes</t>
        </is>
      </c>
      <c r="G2213" s="8" t="n"/>
    </row>
    <row r="2214">
      <c r="A2214" s="8" t="inlineStr">
        <is>
          <t>PGCV_0028_2133</t>
        </is>
      </c>
      <c r="B2214" s="8" t="inlineStr">
        <is>
          <t>COVID-SNL-22-78070</t>
        </is>
      </c>
      <c r="C2214" s="8" t="n"/>
      <c r="D2214" s="7" t="n">
        <v>28</v>
      </c>
      <c r="E2214" s="7" t="n">
        <v>2133</v>
      </c>
      <c r="F2214" s="7" t="inlineStr">
        <is>
          <t>Yes</t>
        </is>
      </c>
      <c r="G2214" s="8" t="n"/>
    </row>
    <row r="2215">
      <c r="A2215" s="8" t="inlineStr">
        <is>
          <t>PGCV_0028_2134</t>
        </is>
      </c>
      <c r="B2215" s="8" t="inlineStr">
        <is>
          <t>COVID-SNL-22-78078</t>
        </is>
      </c>
      <c r="C2215" s="8" t="n"/>
      <c r="D2215" s="7" t="n">
        <v>28</v>
      </c>
      <c r="E2215" s="7" t="n">
        <v>2134</v>
      </c>
      <c r="F2215" s="7" t="inlineStr">
        <is>
          <t>Yes</t>
        </is>
      </c>
      <c r="G2215" s="8" t="n"/>
    </row>
    <row r="2216">
      <c r="A2216" s="8" t="inlineStr">
        <is>
          <t>PGCV_0028_2135</t>
        </is>
      </c>
      <c r="B2216" s="8" t="inlineStr">
        <is>
          <t>COVID-SNL-22-78161</t>
        </is>
      </c>
      <c r="C2216" s="8" t="n"/>
      <c r="D2216" s="7" t="n">
        <v>28</v>
      </c>
      <c r="E2216" s="7" t="n">
        <v>2135</v>
      </c>
      <c r="F2216" s="7" t="inlineStr">
        <is>
          <t>Yes</t>
        </is>
      </c>
      <c r="G2216" s="8" t="n"/>
    </row>
    <row r="2217">
      <c r="A2217" s="8" t="inlineStr">
        <is>
          <t>PGCV_0028_2136</t>
        </is>
      </c>
      <c r="B2217" s="8" t="inlineStr">
        <is>
          <t>COVID-SNL-22-78176</t>
        </is>
      </c>
      <c r="C2217" s="8" t="n"/>
      <c r="D2217" s="7" t="n">
        <v>28</v>
      </c>
      <c r="E2217" s="7" t="n">
        <v>2136</v>
      </c>
      <c r="F2217" s="7" t="inlineStr">
        <is>
          <t>Yes</t>
        </is>
      </c>
      <c r="G2217" s="8" t="n"/>
    </row>
    <row r="2218">
      <c r="A2218" s="8" t="inlineStr">
        <is>
          <t>PGCV_0028_2137</t>
        </is>
      </c>
      <c r="B2218" s="8" t="inlineStr">
        <is>
          <t>COVID-SNL-22-77119</t>
        </is>
      </c>
      <c r="C2218" s="8" t="n"/>
      <c r="D2218" s="7" t="n">
        <v>28</v>
      </c>
      <c r="E2218" s="7" t="n">
        <v>2137</v>
      </c>
      <c r="F2218" s="7" t="inlineStr">
        <is>
          <t>Yes</t>
        </is>
      </c>
      <c r="G2218" s="8" t="n"/>
    </row>
    <row r="2219">
      <c r="A2219" s="8" t="inlineStr">
        <is>
          <t>PGCV_0028_2138</t>
        </is>
      </c>
      <c r="B2219" s="8" t="inlineStr">
        <is>
          <t>COVID-SNL-22-77123</t>
        </is>
      </c>
      <c r="C2219" s="8" t="n"/>
      <c r="D2219" s="7" t="n">
        <v>28</v>
      </c>
      <c r="E2219" s="7" t="n">
        <v>2138</v>
      </c>
      <c r="F2219" s="7" t="inlineStr">
        <is>
          <t>No</t>
        </is>
      </c>
      <c r="G2219" s="8" t="n"/>
    </row>
    <row r="2220">
      <c r="A2220" s="8" t="inlineStr">
        <is>
          <t>PGCV_0028_2139</t>
        </is>
      </c>
      <c r="B2220" s="8" t="inlineStr">
        <is>
          <t>COVID-SNL-22-77145</t>
        </is>
      </c>
      <c r="C2220" s="8" t="n"/>
      <c r="D2220" s="7" t="n">
        <v>28</v>
      </c>
      <c r="E2220" s="7" t="n">
        <v>2139</v>
      </c>
      <c r="F2220" s="7" t="inlineStr">
        <is>
          <t>Yes</t>
        </is>
      </c>
      <c r="G2220" s="8" t="n"/>
    </row>
    <row r="2221">
      <c r="A2221" s="8" t="inlineStr">
        <is>
          <t>PGCV_0028_2140</t>
        </is>
      </c>
      <c r="B2221" s="8" t="inlineStr">
        <is>
          <t>COVID-SNL-22-77001</t>
        </is>
      </c>
      <c r="C2221" s="8" t="n"/>
      <c r="D2221" s="7" t="n">
        <v>28</v>
      </c>
      <c r="E2221" s="7" t="n">
        <v>2140</v>
      </c>
      <c r="F2221" s="7" t="inlineStr">
        <is>
          <t>Yes</t>
        </is>
      </c>
      <c r="G2221" s="8" t="n"/>
    </row>
    <row r="2222">
      <c r="A2222" s="8" t="inlineStr">
        <is>
          <t>PGCV_0028_2141</t>
        </is>
      </c>
      <c r="B2222" s="8" t="inlineStr">
        <is>
          <t>COVID-SNL-22-77007</t>
        </is>
      </c>
      <c r="C2222" s="8" t="n"/>
      <c r="D2222" s="7" t="n">
        <v>28</v>
      </c>
      <c r="E2222" s="7" t="n">
        <v>2141</v>
      </c>
      <c r="F2222" s="7" t="inlineStr">
        <is>
          <t>Yes</t>
        </is>
      </c>
      <c r="G2222" s="8" t="n"/>
    </row>
    <row r="2223">
      <c r="A2223" s="8" t="inlineStr">
        <is>
          <t>PGCV_0028_2142</t>
        </is>
      </c>
      <c r="B2223" s="8" t="inlineStr">
        <is>
          <t>COVID-SNL-22-77033</t>
        </is>
      </c>
      <c r="C2223" s="8" t="n"/>
      <c r="D2223" s="7" t="n">
        <v>28</v>
      </c>
      <c r="E2223" s="7" t="n">
        <v>2142</v>
      </c>
      <c r="F2223" s="7" t="inlineStr">
        <is>
          <t>Yes</t>
        </is>
      </c>
      <c r="G2223" s="8" t="n"/>
    </row>
    <row r="2224">
      <c r="A2224" s="8" t="inlineStr">
        <is>
          <t>PGCV_0028_2143</t>
        </is>
      </c>
      <c r="B2224" s="8" t="inlineStr">
        <is>
          <t>COVID-SNL-22-77053</t>
        </is>
      </c>
      <c r="C2224" s="8" t="n"/>
      <c r="D2224" s="7" t="n">
        <v>28</v>
      </c>
      <c r="E2224" s="7" t="n">
        <v>2143</v>
      </c>
      <c r="F2224" s="7" t="inlineStr">
        <is>
          <t>Yes</t>
        </is>
      </c>
      <c r="G2224" s="8" t="n"/>
    </row>
    <row r="2225">
      <c r="A2225" s="8" t="inlineStr">
        <is>
          <t>PGCV_0028_2144</t>
        </is>
      </c>
      <c r="B2225" s="8" t="inlineStr">
        <is>
          <t>COVID-SNL-22-77054</t>
        </is>
      </c>
      <c r="C2225" s="8" t="n"/>
      <c r="D2225" s="7" t="n">
        <v>28</v>
      </c>
      <c r="E2225" s="7" t="n">
        <v>2144</v>
      </c>
      <c r="F2225" s="7" t="inlineStr">
        <is>
          <t>Yes</t>
        </is>
      </c>
      <c r="G2225" s="8" t="n"/>
    </row>
    <row r="2226">
      <c r="A2226" s="8" t="inlineStr">
        <is>
          <t>PGCV_0028_2145</t>
        </is>
      </c>
      <c r="B2226" s="8" t="inlineStr">
        <is>
          <t>COVID-SNL-22-77055</t>
        </is>
      </c>
      <c r="C2226" s="8" t="n"/>
      <c r="D2226" s="7" t="n">
        <v>28</v>
      </c>
      <c r="E2226" s="7" t="n">
        <v>2145</v>
      </c>
      <c r="F2226" s="7" t="inlineStr">
        <is>
          <t>Yes</t>
        </is>
      </c>
      <c r="G2226" s="8" t="n"/>
    </row>
    <row r="2227">
      <c r="A2227" s="8" t="inlineStr">
        <is>
          <t>PGCV_0028_2146</t>
        </is>
      </c>
      <c r="B2227" s="8" t="inlineStr">
        <is>
          <t>COVID-SNL-22-77059</t>
        </is>
      </c>
      <c r="C2227" s="8" t="n"/>
      <c r="D2227" s="7" t="n">
        <v>28</v>
      </c>
      <c r="E2227" s="7" t="n">
        <v>2146</v>
      </c>
      <c r="F2227" s="7" t="inlineStr">
        <is>
          <t>Yes</t>
        </is>
      </c>
      <c r="G2227" s="8" t="n"/>
    </row>
    <row r="2228">
      <c r="A2228" s="8" t="inlineStr">
        <is>
          <t>PGCV_0028_2147</t>
        </is>
      </c>
      <c r="B2228" s="8" t="inlineStr">
        <is>
          <t>COVID-SNL-22-77060</t>
        </is>
      </c>
      <c r="C2228" s="8" t="n"/>
      <c r="D2228" s="7" t="n">
        <v>28</v>
      </c>
      <c r="E2228" s="7" t="n">
        <v>2147</v>
      </c>
      <c r="F2228" s="7" t="inlineStr">
        <is>
          <t>Yes</t>
        </is>
      </c>
      <c r="G2228" s="8" t="n"/>
    </row>
    <row r="2229">
      <c r="A2229" s="8" t="inlineStr">
        <is>
          <t>PGCV_0028_2148</t>
        </is>
      </c>
      <c r="B2229" s="8" t="inlineStr">
        <is>
          <t>COVID-SNL-22-77069</t>
        </is>
      </c>
      <c r="C2229" s="8" t="n"/>
      <c r="D2229" s="7" t="n">
        <v>28</v>
      </c>
      <c r="E2229" s="7" t="n">
        <v>2148</v>
      </c>
      <c r="F2229" s="7" t="inlineStr">
        <is>
          <t>Yes</t>
        </is>
      </c>
      <c r="G2229" s="8" t="n"/>
    </row>
    <row r="2230">
      <c r="A2230" s="8" t="inlineStr">
        <is>
          <t>PGCV_0028_2149</t>
        </is>
      </c>
      <c r="B2230" s="8" t="inlineStr">
        <is>
          <t>COVID-SNL-22-77070</t>
        </is>
      </c>
      <c r="C2230" s="8" t="n"/>
      <c r="D2230" s="7" t="n">
        <v>28</v>
      </c>
      <c r="E2230" s="7" t="n">
        <v>2149</v>
      </c>
      <c r="F2230" s="7" t="inlineStr">
        <is>
          <t>Yes</t>
        </is>
      </c>
      <c r="G2230" s="8" t="n"/>
    </row>
    <row r="2231">
      <c r="A2231" s="8" t="inlineStr">
        <is>
          <t>PGCV_0028_2150</t>
        </is>
      </c>
      <c r="B2231" s="8" t="inlineStr">
        <is>
          <t>COVID-SNL-22-77107</t>
        </is>
      </c>
      <c r="C2231" s="8" t="n"/>
      <c r="D2231" s="7" t="n">
        <v>28</v>
      </c>
      <c r="E2231" s="7" t="n">
        <v>2150</v>
      </c>
      <c r="F2231" s="7" t="inlineStr">
        <is>
          <t>Yes</t>
        </is>
      </c>
      <c r="G2231" s="8" t="n"/>
    </row>
    <row r="2232">
      <c r="A2232" s="8" t="inlineStr">
        <is>
          <t>PGCV_0028_2151</t>
        </is>
      </c>
      <c r="B2232" s="8" t="inlineStr">
        <is>
          <t>COVID-SNL-22-77177</t>
        </is>
      </c>
      <c r="C2232" s="8" t="n"/>
      <c r="D2232" s="7" t="n">
        <v>28</v>
      </c>
      <c r="E2232" s="7" t="n">
        <v>2151</v>
      </c>
      <c r="F2232" s="7" t="inlineStr">
        <is>
          <t>No</t>
        </is>
      </c>
      <c r="G2232" s="8" t="n"/>
    </row>
    <row r="2233">
      <c r="A2233" s="8" t="inlineStr">
        <is>
          <t>PGCV_0028_2152</t>
        </is>
      </c>
      <c r="B2233" s="8" t="inlineStr">
        <is>
          <t>COVID-SNL-22-77213</t>
        </is>
      </c>
      <c r="C2233" s="8" t="n"/>
      <c r="D2233" s="7" t="n">
        <v>28</v>
      </c>
      <c r="E2233" s="7" t="n">
        <v>2152</v>
      </c>
      <c r="F2233" s="7" t="inlineStr">
        <is>
          <t>Yes</t>
        </is>
      </c>
      <c r="G2233" s="8" t="n"/>
    </row>
    <row r="2234">
      <c r="A2234" s="8" t="inlineStr">
        <is>
          <t>PGCV_0028_2153</t>
        </is>
      </c>
      <c r="B2234" s="8" t="inlineStr">
        <is>
          <t>COVID-SNL-22-77222</t>
        </is>
      </c>
      <c r="C2234" s="8" t="n"/>
      <c r="D2234" s="7" t="n">
        <v>28</v>
      </c>
      <c r="E2234" s="7" t="n">
        <v>2153</v>
      </c>
      <c r="F2234" s="7" t="inlineStr">
        <is>
          <t>Yes</t>
        </is>
      </c>
      <c r="G2234" s="8" t="n"/>
    </row>
    <row r="2235">
      <c r="A2235" s="8" t="inlineStr">
        <is>
          <t>PGCV_0028_2154</t>
        </is>
      </c>
      <c r="B2235" s="8" t="inlineStr">
        <is>
          <t>COVID-SNL-22-77223</t>
        </is>
      </c>
      <c r="C2235" s="8" t="n"/>
      <c r="D2235" s="7" t="n">
        <v>28</v>
      </c>
      <c r="E2235" s="7" t="n">
        <v>2154</v>
      </c>
      <c r="F2235" s="7" t="inlineStr">
        <is>
          <t>Yes</t>
        </is>
      </c>
      <c r="G2235" s="8" t="n"/>
    </row>
    <row r="2236">
      <c r="A2236" s="8" t="inlineStr">
        <is>
          <t>PGCV_0028_2155</t>
        </is>
      </c>
      <c r="B2236" s="8" t="inlineStr">
        <is>
          <t>COVID-SNL-22-77335</t>
        </is>
      </c>
      <c r="C2236" s="8" t="n"/>
      <c r="D2236" s="7" t="n">
        <v>28</v>
      </c>
      <c r="E2236" s="7" t="n">
        <v>2155</v>
      </c>
      <c r="F2236" s="7" t="inlineStr">
        <is>
          <t>Yes</t>
        </is>
      </c>
      <c r="G2236" s="8" t="n"/>
    </row>
    <row r="2237">
      <c r="A2237" s="8" t="inlineStr">
        <is>
          <t>PGCV_0028_2156</t>
        </is>
      </c>
      <c r="B2237" s="8" t="inlineStr">
        <is>
          <t>COVID-SNL-22-77239</t>
        </is>
      </c>
      <c r="C2237" s="8" t="n"/>
      <c r="D2237" s="7" t="n">
        <v>28</v>
      </c>
      <c r="E2237" s="7" t="n">
        <v>2156</v>
      </c>
      <c r="F2237" s="7" t="inlineStr">
        <is>
          <t>Yes</t>
        </is>
      </c>
      <c r="G2237" s="8" t="n"/>
    </row>
    <row r="2238">
      <c r="A2238" s="8" t="inlineStr">
        <is>
          <t>PGCV_0028_2157</t>
        </is>
      </c>
      <c r="B2238" s="8" t="inlineStr">
        <is>
          <t>COVID-SNL-22-77341</t>
        </is>
      </c>
      <c r="C2238" s="8" t="n"/>
      <c r="D2238" s="7" t="n">
        <v>28</v>
      </c>
      <c r="E2238" s="7" t="n">
        <v>2157</v>
      </c>
      <c r="F2238" s="7" t="inlineStr">
        <is>
          <t>Yes</t>
        </is>
      </c>
      <c r="G2238" s="8" t="n"/>
    </row>
    <row r="2239">
      <c r="A2239" s="8" t="inlineStr">
        <is>
          <t>PGCV_0028_2158</t>
        </is>
      </c>
      <c r="B2239" s="8" t="inlineStr">
        <is>
          <t>COVID-SNL-22-77374</t>
        </is>
      </c>
      <c r="C2239" s="8" t="n"/>
      <c r="D2239" s="7" t="n">
        <v>28</v>
      </c>
      <c r="E2239" s="7" t="n">
        <v>2158</v>
      </c>
      <c r="F2239" s="7" t="inlineStr">
        <is>
          <t>Yes</t>
        </is>
      </c>
      <c r="G2239" s="8" t="n"/>
    </row>
    <row r="2240">
      <c r="A2240" s="8" t="inlineStr">
        <is>
          <t>PGCV_0028_2159</t>
        </is>
      </c>
      <c r="B2240" s="8" t="inlineStr">
        <is>
          <t>COVID-SNL-22-77396</t>
        </is>
      </c>
      <c r="C2240" s="8" t="n"/>
      <c r="D2240" s="7" t="n">
        <v>28</v>
      </c>
      <c r="E2240" s="7" t="n">
        <v>2159</v>
      </c>
      <c r="F2240" s="7" t="inlineStr">
        <is>
          <t>Yes</t>
        </is>
      </c>
      <c r="G2240" s="8" t="n"/>
    </row>
    <row r="2241">
      <c r="A2241" s="8" t="inlineStr">
        <is>
          <t>PGCV_0028_2160</t>
        </is>
      </c>
      <c r="B2241" s="8" t="inlineStr">
        <is>
          <t>COVID-SNL-22-77407</t>
        </is>
      </c>
      <c r="C2241" s="8" t="n"/>
      <c r="D2241" s="7" t="n">
        <v>28</v>
      </c>
      <c r="E2241" s="7" t="n">
        <v>2160</v>
      </c>
      <c r="F2241" s="7" t="inlineStr">
        <is>
          <t>Yes</t>
        </is>
      </c>
      <c r="G2241" s="8" t="n"/>
    </row>
    <row r="2242">
      <c r="A2242" s="8" t="inlineStr">
        <is>
          <t>PGCV_0028_2161</t>
        </is>
      </c>
      <c r="B2242" s="8" t="inlineStr">
        <is>
          <t>COVID-SNL-22-77370</t>
        </is>
      </c>
      <c r="C2242" s="8" t="n"/>
      <c r="D2242" s="7" t="n">
        <v>28</v>
      </c>
      <c r="E2242" s="7" t="n">
        <v>2161</v>
      </c>
      <c r="F2242" s="7" t="inlineStr">
        <is>
          <t>Yes</t>
        </is>
      </c>
      <c r="G2242" s="8" t="n"/>
    </row>
    <row r="2243">
      <c r="A2243" s="8" t="inlineStr">
        <is>
          <t>PGCV_0028_2162</t>
        </is>
      </c>
      <c r="B2243" s="8" t="inlineStr">
        <is>
          <t>COVID-SNL-22-77426</t>
        </is>
      </c>
      <c r="C2243" s="8" t="n"/>
      <c r="D2243" s="7" t="n">
        <v>28</v>
      </c>
      <c r="E2243" s="7" t="n">
        <v>2162</v>
      </c>
      <c r="F2243" s="7" t="inlineStr">
        <is>
          <t>Yes</t>
        </is>
      </c>
      <c r="G2243" s="8" t="n"/>
    </row>
    <row r="2244">
      <c r="A2244" s="8" t="inlineStr">
        <is>
          <t>PGCV_0028_2163</t>
        </is>
      </c>
      <c r="B2244" s="8" t="inlineStr">
        <is>
          <t>COVID-SNL-22-77430</t>
        </is>
      </c>
      <c r="C2244" s="8" t="n"/>
      <c r="D2244" s="7" t="n">
        <v>28</v>
      </c>
      <c r="E2244" s="7" t="n">
        <v>2163</v>
      </c>
      <c r="F2244" s="7" t="inlineStr">
        <is>
          <t>Yes</t>
        </is>
      </c>
      <c r="G2244" s="8" t="n"/>
    </row>
    <row r="2245">
      <c r="A2245" s="8" t="inlineStr">
        <is>
          <t>PGCV_0028_2164</t>
        </is>
      </c>
      <c r="B2245" s="8" t="inlineStr">
        <is>
          <t>COVID-SNL-22-77472</t>
        </is>
      </c>
      <c r="C2245" s="8" t="n"/>
      <c r="D2245" s="7" t="n">
        <v>28</v>
      </c>
      <c r="E2245" s="7" t="n">
        <v>2164</v>
      </c>
      <c r="F2245" s="7" t="inlineStr">
        <is>
          <t>Yes</t>
        </is>
      </c>
      <c r="G2245" s="8" t="n"/>
    </row>
    <row r="2246">
      <c r="A2246" s="8" t="inlineStr">
        <is>
          <t>PGCV_0028_2165</t>
        </is>
      </c>
      <c r="B2246" s="8" t="inlineStr">
        <is>
          <t>COVID-SNL-22-77474</t>
        </is>
      </c>
      <c r="C2246" s="8" t="n"/>
      <c r="D2246" s="7" t="n">
        <v>28</v>
      </c>
      <c r="E2246" s="7" t="n">
        <v>2165</v>
      </c>
      <c r="F2246" s="7" t="inlineStr">
        <is>
          <t>Yes</t>
        </is>
      </c>
      <c r="G2246" s="8" t="n"/>
    </row>
    <row r="2247">
      <c r="A2247" s="8" t="inlineStr">
        <is>
          <t>PGCV_0028_2166</t>
        </is>
      </c>
      <c r="B2247" s="8" t="inlineStr">
        <is>
          <t>COVID-SNL-22-77476</t>
        </is>
      </c>
      <c r="C2247" s="8" t="n"/>
      <c r="D2247" s="7" t="n">
        <v>28</v>
      </c>
      <c r="E2247" s="7" t="n">
        <v>2166</v>
      </c>
      <c r="F2247" s="7" t="inlineStr">
        <is>
          <t>Yes</t>
        </is>
      </c>
      <c r="G2247" s="8" t="n"/>
    </row>
    <row r="2248">
      <c r="A2248" s="8" t="inlineStr">
        <is>
          <t>PGCV_0028_2167</t>
        </is>
      </c>
      <c r="B2248" s="8" t="inlineStr">
        <is>
          <t>COVID-SNL-22-77483</t>
        </is>
      </c>
      <c r="C2248" s="8" t="n"/>
      <c r="D2248" s="7" t="n">
        <v>28</v>
      </c>
      <c r="E2248" s="7" t="n">
        <v>2167</v>
      </c>
      <c r="F2248" s="7" t="inlineStr">
        <is>
          <t>Yes</t>
        </is>
      </c>
      <c r="G2248" s="8" t="n"/>
    </row>
    <row r="2249">
      <c r="A2249" s="8" t="inlineStr">
        <is>
          <t>PGCV_0028_2168</t>
        </is>
      </c>
      <c r="B2249" s="8" t="inlineStr">
        <is>
          <t>COVID-SNL-22-77488</t>
        </is>
      </c>
      <c r="C2249" s="8" t="n"/>
      <c r="D2249" s="7" t="n">
        <v>28</v>
      </c>
      <c r="E2249" s="7" t="n">
        <v>2168</v>
      </c>
      <c r="F2249" s="7" t="inlineStr">
        <is>
          <t>Yes</t>
        </is>
      </c>
      <c r="G2249" s="8" t="n"/>
    </row>
    <row r="2250">
      <c r="A2250" s="8" t="inlineStr">
        <is>
          <t>PGCV_0028_2169</t>
        </is>
      </c>
      <c r="B2250" s="8" t="inlineStr">
        <is>
          <t>COVID-SNL-22-77487</t>
        </is>
      </c>
      <c r="C2250" s="8" t="n"/>
      <c r="D2250" s="7" t="n">
        <v>28</v>
      </c>
      <c r="E2250" s="7" t="n">
        <v>2169</v>
      </c>
      <c r="F2250" s="7" t="inlineStr">
        <is>
          <t>Yes</t>
        </is>
      </c>
      <c r="G2250" s="8" t="n"/>
    </row>
    <row r="2251">
      <c r="A2251" s="8" t="inlineStr">
        <is>
          <t>PGCV_0028_2170</t>
        </is>
      </c>
      <c r="B2251" s="8" t="inlineStr">
        <is>
          <t>COVID-SNL-22-77527</t>
        </is>
      </c>
      <c r="C2251" s="8" t="n"/>
      <c r="D2251" s="7" t="n">
        <v>28</v>
      </c>
      <c r="E2251" s="7" t="n">
        <v>2170</v>
      </c>
      <c r="F2251" s="7" t="inlineStr">
        <is>
          <t>Yes</t>
        </is>
      </c>
      <c r="G2251" s="8" t="n"/>
    </row>
    <row r="2252">
      <c r="A2252" s="8" t="inlineStr">
        <is>
          <t>PGCV_0028_2171</t>
        </is>
      </c>
      <c r="B2252" s="8" t="inlineStr">
        <is>
          <t>COVID-SNL-22-77547</t>
        </is>
      </c>
      <c r="C2252" s="8" t="n"/>
      <c r="D2252" s="7" t="n">
        <v>28</v>
      </c>
      <c r="E2252" s="7" t="n">
        <v>2171</v>
      </c>
      <c r="F2252" s="7" t="inlineStr">
        <is>
          <t>Yes</t>
        </is>
      </c>
      <c r="G2252" s="8" t="n"/>
    </row>
    <row r="2253">
      <c r="A2253" s="8" t="inlineStr">
        <is>
          <t>PGCV_0028_2172</t>
        </is>
      </c>
      <c r="B2253" s="8" t="inlineStr">
        <is>
          <t>COVID-SNL-22-77535</t>
        </is>
      </c>
      <c r="C2253" s="8" t="n"/>
      <c r="D2253" s="7" t="n">
        <v>28</v>
      </c>
      <c r="E2253" s="7" t="n">
        <v>2172</v>
      </c>
      <c r="F2253" s="7" t="inlineStr">
        <is>
          <t>Yes</t>
        </is>
      </c>
      <c r="G2253" s="8" t="n"/>
    </row>
    <row r="2254">
      <c r="A2254" s="8" t="inlineStr">
        <is>
          <t>PGCV_0028_2173</t>
        </is>
      </c>
      <c r="B2254" s="8" t="inlineStr">
        <is>
          <t>COVID-SNL-22-77534</t>
        </is>
      </c>
      <c r="C2254" s="8" t="n"/>
      <c r="D2254" s="7" t="n">
        <v>28</v>
      </c>
      <c r="E2254" s="7" t="n">
        <v>2173</v>
      </c>
      <c r="F2254" s="7" t="inlineStr">
        <is>
          <t>Yes</t>
        </is>
      </c>
      <c r="G2254" s="8" t="n"/>
    </row>
    <row r="2255">
      <c r="A2255" s="8" t="inlineStr">
        <is>
          <t>PGCV_0028_2174</t>
        </is>
      </c>
      <c r="B2255" s="8" t="inlineStr">
        <is>
          <t>COVID-SNL-22-77533</t>
        </is>
      </c>
      <c r="C2255" s="8" t="n"/>
      <c r="D2255" s="7" t="n">
        <v>28</v>
      </c>
      <c r="E2255" s="7" t="n">
        <v>2174</v>
      </c>
      <c r="F2255" s="7" t="inlineStr">
        <is>
          <t>Yes</t>
        </is>
      </c>
      <c r="G2255" s="8" t="n"/>
    </row>
    <row r="2256">
      <c r="A2256" s="8" t="inlineStr">
        <is>
          <t>PGCV_0028_2175</t>
        </is>
      </c>
      <c r="B2256" s="8" t="inlineStr">
        <is>
          <t>COVID-SNL-22-77570</t>
        </is>
      </c>
      <c r="C2256" s="8" t="n"/>
      <c r="D2256" s="7" t="n">
        <v>28</v>
      </c>
      <c r="E2256" s="7" t="n">
        <v>2175</v>
      </c>
      <c r="F2256" s="7" t="inlineStr">
        <is>
          <t>Yes</t>
        </is>
      </c>
      <c r="G2256" s="8" t="n"/>
    </row>
    <row r="2257">
      <c r="A2257" s="8" t="inlineStr">
        <is>
          <t>PGCV_0028_2176</t>
        </is>
      </c>
      <c r="B2257" s="8" t="inlineStr">
        <is>
          <t>COVID-SNL-22-77565</t>
        </is>
      </c>
      <c r="C2257" s="8" t="n"/>
      <c r="D2257" s="7" t="n">
        <v>28</v>
      </c>
      <c r="E2257" s="7" t="n">
        <v>2176</v>
      </c>
      <c r="F2257" s="7" t="inlineStr">
        <is>
          <t>Yes</t>
        </is>
      </c>
      <c r="G2257" s="8" t="n"/>
    </row>
    <row r="2258">
      <c r="A2258" s="8" t="inlineStr">
        <is>
          <t>PGCV_0028_2177</t>
        </is>
      </c>
      <c r="B2258" s="8" t="inlineStr">
        <is>
          <t>COVID-SNL-22-77559</t>
        </is>
      </c>
      <c r="C2258" s="8" t="n"/>
      <c r="D2258" s="7" t="n">
        <v>28</v>
      </c>
      <c r="E2258" s="7" t="n">
        <v>2177</v>
      </c>
      <c r="F2258" s="7" t="inlineStr">
        <is>
          <t>Yes</t>
        </is>
      </c>
      <c r="G2258" s="8" t="n"/>
    </row>
    <row r="2259">
      <c r="A2259" s="8" t="inlineStr">
        <is>
          <t>PGCV_0028_2178</t>
        </is>
      </c>
      <c r="B2259" s="8" t="inlineStr">
        <is>
          <t>COVID-SNL-22-77554</t>
        </is>
      </c>
      <c r="C2259" s="8" t="n"/>
      <c r="D2259" s="7" t="n">
        <v>28</v>
      </c>
      <c r="E2259" s="7" t="n">
        <v>2178</v>
      </c>
      <c r="F2259" s="7" t="inlineStr">
        <is>
          <t>Yes</t>
        </is>
      </c>
      <c r="G2259" s="8" t="n"/>
    </row>
    <row r="2260">
      <c r="A2260" s="8" t="inlineStr">
        <is>
          <t>PGCV_0028_2179</t>
        </is>
      </c>
      <c r="B2260" s="8" t="inlineStr">
        <is>
          <t>COVID-SNL-22-77580</t>
        </is>
      </c>
      <c r="C2260" s="8" t="n"/>
      <c r="D2260" s="7" t="n">
        <v>28</v>
      </c>
      <c r="E2260" s="7" t="n">
        <v>2179</v>
      </c>
      <c r="F2260" s="7" t="inlineStr">
        <is>
          <t>Yes</t>
        </is>
      </c>
      <c r="G2260" s="8" t="n"/>
    </row>
    <row r="2261">
      <c r="A2261" s="8" t="inlineStr">
        <is>
          <t>PGCV_0028_2180</t>
        </is>
      </c>
      <c r="B2261" s="8" t="inlineStr">
        <is>
          <t>COVID-SNL-22-77599</t>
        </is>
      </c>
      <c r="C2261" s="8" t="n"/>
      <c r="D2261" s="7" t="n">
        <v>28</v>
      </c>
      <c r="E2261" s="7" t="n">
        <v>2180</v>
      </c>
      <c r="F2261" s="7" t="inlineStr">
        <is>
          <t>Yes</t>
        </is>
      </c>
      <c r="G2261" s="8" t="n"/>
    </row>
    <row r="2262">
      <c r="A2262" s="8" t="inlineStr">
        <is>
          <t>PGCV_0028_2181</t>
        </is>
      </c>
      <c r="B2262" s="8" t="inlineStr">
        <is>
          <t>COVID-SNL-22-77610</t>
        </is>
      </c>
      <c r="C2262" s="8" t="n"/>
      <c r="D2262" s="7" t="n">
        <v>28</v>
      </c>
      <c r="E2262" s="7" t="n">
        <v>2181</v>
      </c>
      <c r="F2262" s="7" t="inlineStr">
        <is>
          <t>Yes</t>
        </is>
      </c>
      <c r="G2262" s="8" t="n"/>
    </row>
    <row r="2263">
      <c r="A2263" s="8" t="inlineStr">
        <is>
          <t>PGCV_0028_2182</t>
        </is>
      </c>
      <c r="B2263" s="8" t="inlineStr">
        <is>
          <t>COVID-SNL-22-77614</t>
        </is>
      </c>
      <c r="C2263" s="8" t="n"/>
      <c r="D2263" s="7" t="n">
        <v>28</v>
      </c>
      <c r="E2263" s="7" t="n">
        <v>2182</v>
      </c>
      <c r="F2263" s="7" t="inlineStr">
        <is>
          <t>Yes</t>
        </is>
      </c>
      <c r="G2263" s="8" t="n"/>
    </row>
    <row r="2264">
      <c r="A2264" s="8" t="inlineStr">
        <is>
          <t>PGCV_0028_2183</t>
        </is>
      </c>
      <c r="B2264" s="8" t="inlineStr">
        <is>
          <t>COVID-SNL-22-77659</t>
        </is>
      </c>
      <c r="C2264" s="8" t="n"/>
      <c r="D2264" s="7" t="n">
        <v>28</v>
      </c>
      <c r="E2264" s="7" t="n">
        <v>2183</v>
      </c>
      <c r="F2264" s="7" t="inlineStr">
        <is>
          <t>Yes</t>
        </is>
      </c>
      <c r="G2264" s="8" t="n"/>
    </row>
    <row r="2265">
      <c r="A2265" s="8" t="inlineStr">
        <is>
          <t>PGCV_0028_2184</t>
        </is>
      </c>
      <c r="B2265" s="8" t="inlineStr">
        <is>
          <t>COVID-SNL-22-77673</t>
        </is>
      </c>
      <c r="C2265" s="8" t="n"/>
      <c r="D2265" s="7" t="n">
        <v>28</v>
      </c>
      <c r="E2265" s="7" t="n">
        <v>2184</v>
      </c>
      <c r="F2265" s="7" t="inlineStr">
        <is>
          <t>Yes</t>
        </is>
      </c>
      <c r="G2265" s="8" t="n"/>
    </row>
    <row r="2266">
      <c r="A2266" s="8" t="inlineStr">
        <is>
          <t>PGCV_0028_2185</t>
        </is>
      </c>
      <c r="B2266" s="8" t="inlineStr">
        <is>
          <t>COVID-SNL-22-77681</t>
        </is>
      </c>
      <c r="C2266" s="8" t="n"/>
      <c r="D2266" s="7" t="n">
        <v>28</v>
      </c>
      <c r="E2266" s="7" t="n">
        <v>2185</v>
      </c>
      <c r="F2266" s="7" t="inlineStr">
        <is>
          <t>Yes</t>
        </is>
      </c>
      <c r="G2266" s="8" t="n"/>
    </row>
    <row r="2267">
      <c r="A2267" s="8" t="inlineStr">
        <is>
          <t>PGCV_0028_2186</t>
        </is>
      </c>
      <c r="B2267" s="8" t="inlineStr">
        <is>
          <t>COVID-SNL-22-77692</t>
        </is>
      </c>
      <c r="C2267" s="8" t="n"/>
      <c r="D2267" s="7" t="n">
        <v>28</v>
      </c>
      <c r="E2267" s="7" t="n">
        <v>2186</v>
      </c>
      <c r="F2267" s="7" t="inlineStr">
        <is>
          <t>Yes</t>
        </is>
      </c>
      <c r="G2267" s="8" t="n"/>
    </row>
    <row r="2268">
      <c r="A2268" s="8" t="inlineStr">
        <is>
          <t>PGCV_0028_2187</t>
        </is>
      </c>
      <c r="B2268" s="8" t="inlineStr">
        <is>
          <t>COVID-SNL-22-77646</t>
        </is>
      </c>
      <c r="C2268" s="8" t="n"/>
      <c r="D2268" s="7" t="n">
        <v>28</v>
      </c>
      <c r="E2268" s="7" t="n">
        <v>2187</v>
      </c>
      <c r="F2268" s="7" t="inlineStr">
        <is>
          <t>Yes</t>
        </is>
      </c>
      <c r="G2268" s="8" t="n"/>
    </row>
    <row r="2269">
      <c r="A2269" s="8" t="inlineStr">
        <is>
          <t>PGCV_0028_2188</t>
        </is>
      </c>
      <c r="B2269" s="8" t="inlineStr">
        <is>
          <t>COVID-SNL-22-77647</t>
        </is>
      </c>
      <c r="C2269" s="8" t="n"/>
      <c r="D2269" s="7" t="n">
        <v>28</v>
      </c>
      <c r="E2269" s="7" t="n">
        <v>2188</v>
      </c>
      <c r="F2269" s="7" t="inlineStr">
        <is>
          <t>Yes</t>
        </is>
      </c>
      <c r="G2269" s="8" t="n"/>
    </row>
    <row r="2270">
      <c r="A2270" s="8" t="inlineStr">
        <is>
          <t>PGCV_0028_2189</t>
        </is>
      </c>
      <c r="B2270" s="8" t="inlineStr">
        <is>
          <t>COVID-SNL-22-77649</t>
        </is>
      </c>
      <c r="C2270" s="8" t="n"/>
      <c r="D2270" s="7" t="n">
        <v>28</v>
      </c>
      <c r="E2270" s="7" t="n">
        <v>2189</v>
      </c>
      <c r="F2270" s="7" t="inlineStr">
        <is>
          <t>Yes</t>
        </is>
      </c>
      <c r="G2270" s="8" t="n"/>
    </row>
    <row r="2271">
      <c r="A2271" s="8" t="inlineStr">
        <is>
          <t>PGCV_0028_2190</t>
        </is>
      </c>
      <c r="B2271" s="8" t="inlineStr">
        <is>
          <t>COVID-SNL-22-77709</t>
        </is>
      </c>
      <c r="C2271" s="8" t="n"/>
      <c r="D2271" s="7" t="n">
        <v>28</v>
      </c>
      <c r="E2271" s="7" t="n">
        <v>2190</v>
      </c>
      <c r="F2271" s="7" t="inlineStr">
        <is>
          <t>Yes</t>
        </is>
      </c>
      <c r="G2271" s="8" t="n"/>
    </row>
    <row r="2272">
      <c r="A2272" s="8" t="inlineStr">
        <is>
          <t>PGCV_0028_2191</t>
        </is>
      </c>
      <c r="B2272" s="8" t="inlineStr">
        <is>
          <t>COVID-SNL-22-78259</t>
        </is>
      </c>
      <c r="C2272" s="8" t="n"/>
      <c r="D2272" s="7" t="n">
        <v>28</v>
      </c>
      <c r="E2272" s="7" t="n">
        <v>2191</v>
      </c>
      <c r="F2272" s="7" t="inlineStr">
        <is>
          <t>Yes</t>
        </is>
      </c>
      <c r="G2272" s="8" t="n"/>
    </row>
    <row r="2273">
      <c r="A2273" s="8" t="inlineStr">
        <is>
          <t>PGCV_0028_2192</t>
        </is>
      </c>
      <c r="B2273" s="8" t="inlineStr">
        <is>
          <t>COVID-SNL-22-78279</t>
        </is>
      </c>
      <c r="C2273" s="8" t="n"/>
      <c r="D2273" s="7" t="n">
        <v>28</v>
      </c>
      <c r="E2273" s="7" t="n">
        <v>2192</v>
      </c>
      <c r="F2273" s="7" t="inlineStr">
        <is>
          <t>Yes</t>
        </is>
      </c>
      <c r="G2273" s="8" t="n"/>
    </row>
    <row r="2274">
      <c r="A2274" s="8" t="inlineStr">
        <is>
          <t>PGCV_0028_2193</t>
        </is>
      </c>
      <c r="B2274" s="8" t="inlineStr">
        <is>
          <t>COVID-SNL-22-78230</t>
        </is>
      </c>
      <c r="C2274" s="8" t="n"/>
      <c r="D2274" s="7" t="n">
        <v>28</v>
      </c>
      <c r="E2274" s="7" t="n">
        <v>2193</v>
      </c>
      <c r="F2274" s="7" t="inlineStr">
        <is>
          <t>Yes</t>
        </is>
      </c>
      <c r="G2274" s="8" t="n"/>
    </row>
    <row r="2275">
      <c r="A2275" s="8" t="inlineStr">
        <is>
          <t>PGCV_0028_2194</t>
        </is>
      </c>
      <c r="B2275" s="8" t="inlineStr">
        <is>
          <t>COVID-SNL-22-78252</t>
        </is>
      </c>
      <c r="C2275" s="8" t="n"/>
      <c r="D2275" s="7" t="n">
        <v>28</v>
      </c>
      <c r="E2275" s="7" t="n">
        <v>2194</v>
      </c>
      <c r="F2275" s="7" t="inlineStr">
        <is>
          <t>Yes</t>
        </is>
      </c>
      <c r="G2275" s="8" t="n"/>
    </row>
    <row r="2276">
      <c r="A2276" s="8" t="inlineStr">
        <is>
          <t>PGCV_0028_2195</t>
        </is>
      </c>
      <c r="B2276" s="8" t="inlineStr">
        <is>
          <t>COVID-SNL-22-78307</t>
        </is>
      </c>
      <c r="C2276" s="8" t="n"/>
      <c r="D2276" s="7" t="n">
        <v>28</v>
      </c>
      <c r="E2276" s="7" t="n">
        <v>2195</v>
      </c>
      <c r="F2276" s="7" t="inlineStr">
        <is>
          <t>Yes</t>
        </is>
      </c>
      <c r="G2276" s="8" t="n"/>
    </row>
    <row r="2277">
      <c r="A2277" s="8" t="inlineStr">
        <is>
          <t>PGCV_0028_2196</t>
        </is>
      </c>
      <c r="B2277" s="8" t="inlineStr">
        <is>
          <t>COVID-SNL-22-78317</t>
        </is>
      </c>
      <c r="C2277" s="8" t="n"/>
      <c r="D2277" s="7" t="n">
        <v>28</v>
      </c>
      <c r="E2277" s="7" t="n">
        <v>2196</v>
      </c>
      <c r="F2277" s="7" t="inlineStr">
        <is>
          <t>Yes</t>
        </is>
      </c>
      <c r="G2277" s="8" t="n"/>
    </row>
    <row r="2278">
      <c r="A2278" s="8" t="inlineStr">
        <is>
          <t>PGCV_0028_2197</t>
        </is>
      </c>
      <c r="B2278" s="8" t="inlineStr">
        <is>
          <t>COVID-SNL-22-78327</t>
        </is>
      </c>
      <c r="C2278" s="8" t="n"/>
      <c r="D2278" s="7" t="n">
        <v>28</v>
      </c>
      <c r="E2278" s="7" t="n">
        <v>2197</v>
      </c>
      <c r="F2278" s="7" t="inlineStr">
        <is>
          <t>Yes</t>
        </is>
      </c>
      <c r="G2278" s="8" t="n"/>
    </row>
    <row r="2279">
      <c r="A2279" s="8" t="inlineStr">
        <is>
          <t>PGCV_0028_2198</t>
        </is>
      </c>
      <c r="B2279" s="8" t="inlineStr">
        <is>
          <t>COVID-SNL-22-78358</t>
        </is>
      </c>
      <c r="C2279" s="8" t="n"/>
      <c r="D2279" s="7" t="n">
        <v>28</v>
      </c>
      <c r="E2279" s="7" t="n">
        <v>2198</v>
      </c>
      <c r="F2279" s="7" t="inlineStr">
        <is>
          <t>Yes</t>
        </is>
      </c>
      <c r="G2279" s="8" t="n"/>
    </row>
    <row r="2280">
      <c r="A2280" s="8" t="inlineStr">
        <is>
          <t>PGCV_0028_2199</t>
        </is>
      </c>
      <c r="B2280" s="8" t="inlineStr">
        <is>
          <t>COVID-SNL-22-78397</t>
        </is>
      </c>
      <c r="C2280" s="8" t="n"/>
      <c r="D2280" s="7" t="n">
        <v>28</v>
      </c>
      <c r="E2280" s="7" t="n">
        <v>2199</v>
      </c>
      <c r="F2280" s="7" t="inlineStr">
        <is>
          <t>Yes</t>
        </is>
      </c>
      <c r="G2280" s="8" t="n"/>
    </row>
    <row r="2281">
      <c r="A2281" s="8" t="inlineStr">
        <is>
          <t>PGCV_0028_2200</t>
        </is>
      </c>
      <c r="B2281" s="8" t="inlineStr">
        <is>
          <t>COVID-SNL-22-78399</t>
        </is>
      </c>
      <c r="C2281" s="8" t="n"/>
      <c r="D2281" s="7" t="n">
        <v>28</v>
      </c>
      <c r="E2281" s="7" t="n">
        <v>2200</v>
      </c>
      <c r="F2281" s="7" t="inlineStr">
        <is>
          <t>Yes</t>
        </is>
      </c>
      <c r="G2281" s="8" t="n"/>
    </row>
    <row r="2282">
      <c r="A2282" s="8" t="inlineStr">
        <is>
          <t>PGCV_0028_2201</t>
        </is>
      </c>
      <c r="B2282" s="8" t="inlineStr">
        <is>
          <t>COVID-SNL-22-78400</t>
        </is>
      </c>
      <c r="C2282" s="8" t="n"/>
      <c r="D2282" s="7" t="n">
        <v>28</v>
      </c>
      <c r="E2282" s="7" t="n">
        <v>2201</v>
      </c>
      <c r="F2282" s="7" t="inlineStr">
        <is>
          <t>Yes</t>
        </is>
      </c>
      <c r="G2282" s="8" t="n"/>
    </row>
    <row r="2283">
      <c r="A2283" s="8" t="inlineStr">
        <is>
          <t>PGCV_0028_2202</t>
        </is>
      </c>
      <c r="B2283" s="8" t="inlineStr">
        <is>
          <t>COVID-SNL-22-78405</t>
        </is>
      </c>
      <c r="C2283" s="8" t="n"/>
      <c r="D2283" s="7" t="n">
        <v>28</v>
      </c>
      <c r="E2283" s="7" t="n">
        <v>2202</v>
      </c>
      <c r="F2283" s="7" t="inlineStr">
        <is>
          <t>Yes</t>
        </is>
      </c>
      <c r="G2283" s="8" t="n"/>
    </row>
    <row r="2284">
      <c r="A2284" s="8" t="inlineStr">
        <is>
          <t>PGCV_0028_2203</t>
        </is>
      </c>
      <c r="B2284" s="8" t="inlineStr">
        <is>
          <t>COVID-SNL-22-78496</t>
        </is>
      </c>
      <c r="C2284" s="8" t="n"/>
      <c r="D2284" s="7" t="n">
        <v>28</v>
      </c>
      <c r="E2284" s="7" t="n">
        <v>2203</v>
      </c>
      <c r="F2284" s="7" t="inlineStr">
        <is>
          <t>Yes</t>
        </is>
      </c>
      <c r="G2284" s="8" t="n"/>
    </row>
    <row r="2285">
      <c r="A2285" s="8" t="inlineStr">
        <is>
          <t>PGCV_0028_2204</t>
        </is>
      </c>
      <c r="B2285" s="8" t="inlineStr">
        <is>
          <t>COVID-SNL-22-78502</t>
        </is>
      </c>
      <c r="C2285" s="8" t="n"/>
      <c r="D2285" s="7" t="n">
        <v>28</v>
      </c>
      <c r="E2285" s="7" t="n">
        <v>2204</v>
      </c>
      <c r="F2285" s="7" t="inlineStr">
        <is>
          <t>Yes</t>
        </is>
      </c>
      <c r="G2285" s="8" t="n"/>
    </row>
    <row r="2286">
      <c r="A2286" s="8" t="inlineStr">
        <is>
          <t>PGCV_0028_2205</t>
        </is>
      </c>
      <c r="B2286" s="8" t="inlineStr">
        <is>
          <t>COVID-SNL-22-78512</t>
        </is>
      </c>
      <c r="C2286" s="8" t="n"/>
      <c r="D2286" s="7" t="n">
        <v>28</v>
      </c>
      <c r="E2286" s="7" t="n">
        <v>2205</v>
      </c>
      <c r="F2286" s="7" t="inlineStr">
        <is>
          <t>Yes</t>
        </is>
      </c>
      <c r="G2286" s="8" t="n"/>
    </row>
    <row r="2287">
      <c r="A2287" s="8" t="inlineStr">
        <is>
          <t>PGCV_0028_2206</t>
        </is>
      </c>
      <c r="B2287" s="8" t="inlineStr">
        <is>
          <t>COVID-SNL-22-78514</t>
        </is>
      </c>
      <c r="C2287" s="8" t="n"/>
      <c r="D2287" s="7" t="n">
        <v>28</v>
      </c>
      <c r="E2287" s="7" t="n">
        <v>2206</v>
      </c>
      <c r="F2287" s="7" t="inlineStr">
        <is>
          <t>Yes</t>
        </is>
      </c>
      <c r="G2287" s="8" t="n"/>
    </row>
    <row r="2288">
      <c r="A2288" s="8" t="inlineStr">
        <is>
          <t>PGCV_0028_2207</t>
        </is>
      </c>
      <c r="B2288" s="8" t="inlineStr">
        <is>
          <t>COVID-SNL-22-78516</t>
        </is>
      </c>
      <c r="C2288" s="8" t="n"/>
      <c r="D2288" s="7" t="n">
        <v>28</v>
      </c>
      <c r="E2288" s="7" t="n">
        <v>2207</v>
      </c>
      <c r="F2288" s="7" t="inlineStr">
        <is>
          <t>Yes</t>
        </is>
      </c>
      <c r="G2288" s="8" t="n"/>
    </row>
    <row r="2289">
      <c r="A2289" s="8" t="inlineStr">
        <is>
          <t>PGCV_0028_2208</t>
        </is>
      </c>
      <c r="B2289" s="8" t="inlineStr">
        <is>
          <t>COVID-SNL-22-78523</t>
        </is>
      </c>
      <c r="C2289" s="8" t="n"/>
      <c r="D2289" s="7" t="n">
        <v>28</v>
      </c>
      <c r="E2289" s="7" t="n">
        <v>2208</v>
      </c>
      <c r="F2289" s="7" t="inlineStr">
        <is>
          <t>Yes</t>
        </is>
      </c>
      <c r="G2289" s="8" t="n"/>
    </row>
    <row r="2290">
      <c r="A2290" s="8" t="inlineStr">
        <is>
          <t>PGCV_0028_2209</t>
        </is>
      </c>
      <c r="B2290" s="8" t="inlineStr">
        <is>
          <t>COVID-SNL-22-78366</t>
        </is>
      </c>
      <c r="C2290" s="8" t="n"/>
      <c r="D2290" s="7" t="n">
        <v>28</v>
      </c>
      <c r="E2290" s="7" t="n">
        <v>2209</v>
      </c>
      <c r="F2290" s="7" t="inlineStr">
        <is>
          <t>Yes</t>
        </is>
      </c>
      <c r="G2290" s="8" t="n"/>
    </row>
    <row r="2291">
      <c r="A2291" s="8" t="inlineStr">
        <is>
          <t>PGCV_0028_2210</t>
        </is>
      </c>
      <c r="B2291" s="8" t="inlineStr">
        <is>
          <t>COVID-SNL-22-78372</t>
        </is>
      </c>
      <c r="C2291" s="8" t="n"/>
      <c r="D2291" s="7" t="n">
        <v>28</v>
      </c>
      <c r="E2291" s="7" t="n">
        <v>2210</v>
      </c>
      <c r="F2291" s="7" t="inlineStr">
        <is>
          <t>Yes</t>
        </is>
      </c>
      <c r="G2291" s="8" t="n"/>
    </row>
    <row r="2292">
      <c r="A2292" s="8" t="inlineStr">
        <is>
          <t>PGCV_0028_2211</t>
        </is>
      </c>
      <c r="B2292" s="8" t="inlineStr">
        <is>
          <t>COVID-SNL-22-78438</t>
        </is>
      </c>
      <c r="C2292" s="8" t="n"/>
      <c r="D2292" s="7" t="n">
        <v>28</v>
      </c>
      <c r="E2292" s="7" t="n">
        <v>2211</v>
      </c>
      <c r="F2292" s="7" t="inlineStr">
        <is>
          <t>Yes</t>
        </is>
      </c>
      <c r="G2292" s="8" t="n"/>
    </row>
    <row r="2293">
      <c r="A2293" s="8" t="inlineStr">
        <is>
          <t>PGCV_0028_2212</t>
        </is>
      </c>
      <c r="B2293" s="8" t="inlineStr">
        <is>
          <t>COVID-SNL-22-78448</t>
        </is>
      </c>
      <c r="C2293" s="8" t="n"/>
      <c r="D2293" s="7" t="n">
        <v>28</v>
      </c>
      <c r="E2293" s="7" t="n">
        <v>2212</v>
      </c>
      <c r="F2293" s="7" t="inlineStr">
        <is>
          <t>Yes</t>
        </is>
      </c>
      <c r="G2293" s="8" t="n"/>
    </row>
    <row r="2294">
      <c r="A2294" s="8" t="inlineStr">
        <is>
          <t>PGCV_0028_2213</t>
        </is>
      </c>
      <c r="B2294" s="8" t="inlineStr">
        <is>
          <t>COVID-SNL-22-78456</t>
        </is>
      </c>
      <c r="C2294" s="8" t="n"/>
      <c r="D2294" s="7" t="n">
        <v>28</v>
      </c>
      <c r="E2294" s="7" t="n">
        <v>2213</v>
      </c>
      <c r="F2294" s="7" t="inlineStr">
        <is>
          <t>Yes</t>
        </is>
      </c>
      <c r="G2294" s="8" t="n"/>
    </row>
    <row r="2295">
      <c r="A2295" s="8" t="inlineStr">
        <is>
          <t>PGCV_0028_2214</t>
        </is>
      </c>
      <c r="B2295" s="8" t="inlineStr">
        <is>
          <t>COVID-SNL-22-78460</t>
        </is>
      </c>
      <c r="C2295" s="8" t="n"/>
      <c r="D2295" s="7" t="n">
        <v>28</v>
      </c>
      <c r="E2295" s="7" t="n">
        <v>2214</v>
      </c>
      <c r="F2295" s="7" t="inlineStr">
        <is>
          <t>Yes</t>
        </is>
      </c>
      <c r="G2295" s="8" t="n"/>
    </row>
    <row r="2296">
      <c r="A2296" s="8" t="inlineStr">
        <is>
          <t>PGCV_0028_2215</t>
        </is>
      </c>
      <c r="B2296" s="8" t="inlineStr">
        <is>
          <t>COVID-SNL-22-78464</t>
        </is>
      </c>
      <c r="C2296" s="8" t="n"/>
      <c r="D2296" s="7" t="n">
        <v>28</v>
      </c>
      <c r="E2296" s="7" t="n">
        <v>2215</v>
      </c>
      <c r="F2296" s="7" t="inlineStr">
        <is>
          <t>Yes</t>
        </is>
      </c>
      <c r="G2296" s="8" t="n"/>
    </row>
    <row r="2297">
      <c r="A2297" s="8" t="inlineStr">
        <is>
          <t>PGCV_0028_2216</t>
        </is>
      </c>
      <c r="B2297" s="8" t="inlineStr">
        <is>
          <t>COVID-SNL-22-78466</t>
        </is>
      </c>
      <c r="C2297" s="8" t="n"/>
      <c r="D2297" s="7" t="n">
        <v>28</v>
      </c>
      <c r="E2297" s="7" t="n">
        <v>2216</v>
      </c>
      <c r="F2297" s="7" t="inlineStr">
        <is>
          <t>Yes</t>
        </is>
      </c>
      <c r="G2297" s="8" t="n"/>
    </row>
    <row r="2298">
      <c r="A2298" s="8" t="inlineStr">
        <is>
          <t>PGCV_0028_2217</t>
        </is>
      </c>
      <c r="B2298" s="8" t="inlineStr">
        <is>
          <t>COVID-SNL-22-78494</t>
        </is>
      </c>
      <c r="C2298" s="8" t="n"/>
      <c r="D2298" s="7" t="n">
        <v>28</v>
      </c>
      <c r="E2298" s="7" t="n">
        <v>2217</v>
      </c>
      <c r="F2298" s="7" t="inlineStr">
        <is>
          <t>Yes</t>
        </is>
      </c>
      <c r="G2298" s="8" t="n"/>
    </row>
    <row r="2299">
      <c r="A2299" s="8" t="inlineStr">
        <is>
          <t>PGCV_0028_2218</t>
        </is>
      </c>
      <c r="B2299" s="8" t="inlineStr">
        <is>
          <t>22-39884</t>
        </is>
      </c>
      <c r="C2299" s="8" t="n"/>
      <c r="D2299" s="7" t="n">
        <v>28</v>
      </c>
      <c r="E2299" s="7" t="n">
        <v>2218</v>
      </c>
      <c r="F2299" s="7" t="inlineStr">
        <is>
          <t>Yes</t>
        </is>
      </c>
      <c r="G2299" s="8" t="n"/>
    </row>
    <row r="2300">
      <c r="A2300" s="8" t="inlineStr">
        <is>
          <t>PGCV_0028_2219</t>
        </is>
      </c>
      <c r="B2300" s="8" t="inlineStr">
        <is>
          <t>22-39930</t>
        </is>
      </c>
      <c r="C2300" s="8" t="n"/>
      <c r="D2300" s="7" t="n">
        <v>28</v>
      </c>
      <c r="E2300" s="7" t="n">
        <v>2219</v>
      </c>
      <c r="F2300" s="7" t="inlineStr">
        <is>
          <t>Yes</t>
        </is>
      </c>
      <c r="G2300" s="8" t="n"/>
    </row>
    <row r="2301">
      <c r="A2301" s="8" t="inlineStr">
        <is>
          <t>PGCV_0028_2220</t>
        </is>
      </c>
      <c r="B2301" s="8" t="inlineStr">
        <is>
          <t>22-39933</t>
        </is>
      </c>
      <c r="C2301" s="8" t="n"/>
      <c r="D2301" s="7" t="n">
        <v>28</v>
      </c>
      <c r="E2301" s="7" t="n">
        <v>2220</v>
      </c>
      <c r="F2301" s="7" t="inlineStr">
        <is>
          <t>Yes</t>
        </is>
      </c>
      <c r="G2301" s="8" t="n"/>
    </row>
    <row r="2302">
      <c r="A2302" s="8" t="inlineStr">
        <is>
          <t>PGCV_0028_2221</t>
        </is>
      </c>
      <c r="B2302" s="8" t="inlineStr">
        <is>
          <t>22-39934</t>
        </is>
      </c>
      <c r="C2302" s="8" t="n"/>
      <c r="D2302" s="7" t="n">
        <v>28</v>
      </c>
      <c r="E2302" s="7" t="n">
        <v>2221</v>
      </c>
      <c r="F2302" s="7" t="inlineStr">
        <is>
          <t>Yes</t>
        </is>
      </c>
      <c r="G2302" s="8" t="n"/>
    </row>
    <row r="2303">
      <c r="A2303" s="8" t="inlineStr">
        <is>
          <t>PGCV_0028_2222</t>
        </is>
      </c>
      <c r="B2303" s="8" t="inlineStr">
        <is>
          <t>22-39936</t>
        </is>
      </c>
      <c r="C2303" s="8" t="n"/>
      <c r="D2303" s="7" t="n">
        <v>28</v>
      </c>
      <c r="E2303" s="7" t="n">
        <v>2222</v>
      </c>
      <c r="F2303" s="7" t="inlineStr">
        <is>
          <t>Yes</t>
        </is>
      </c>
      <c r="G2303" s="8" t="n"/>
    </row>
    <row r="2304">
      <c r="A2304" s="8" t="inlineStr">
        <is>
          <t>PGCV_0028_2223</t>
        </is>
      </c>
      <c r="B2304" s="8" t="inlineStr">
        <is>
          <t>22-39944</t>
        </is>
      </c>
      <c r="C2304" s="8" t="n"/>
      <c r="D2304" s="7" t="n">
        <v>28</v>
      </c>
      <c r="E2304" s="7" t="n">
        <v>2223</v>
      </c>
      <c r="F2304" s="7" t="inlineStr">
        <is>
          <t>Yes</t>
        </is>
      </c>
      <c r="G2304" s="8" t="n"/>
    </row>
    <row r="2305">
      <c r="A2305" s="8" t="inlineStr">
        <is>
          <t>PGCV_0028_2224</t>
        </is>
      </c>
      <c r="B2305" s="8" t="inlineStr">
        <is>
          <t>22-39951</t>
        </is>
      </c>
      <c r="C2305" s="8" t="n"/>
      <c r="D2305" s="7" t="n">
        <v>28</v>
      </c>
      <c r="E2305" s="7" t="n">
        <v>2224</v>
      </c>
      <c r="F2305" s="7" t="inlineStr">
        <is>
          <t>Yes</t>
        </is>
      </c>
      <c r="G2305" s="8" t="n"/>
    </row>
    <row r="2306">
      <c r="A2306" s="8" t="inlineStr">
        <is>
          <t>PGCV_0028_2225</t>
        </is>
      </c>
      <c r="B2306" s="8" t="inlineStr">
        <is>
          <t>22-39957</t>
        </is>
      </c>
      <c r="C2306" s="8" t="n"/>
      <c r="D2306" s="7" t="n">
        <v>28</v>
      </c>
      <c r="E2306" s="7" t="n">
        <v>2225</v>
      </c>
      <c r="F2306" s="7" t="inlineStr">
        <is>
          <t>Yes</t>
        </is>
      </c>
      <c r="G2306" s="8" t="n"/>
    </row>
    <row r="2307">
      <c r="A2307" s="8" t="inlineStr">
        <is>
          <t>PGCV_0028_2226</t>
        </is>
      </c>
      <c r="B2307" s="8" t="inlineStr">
        <is>
          <t>22-40008</t>
        </is>
      </c>
      <c r="C2307" s="8" t="n"/>
      <c r="D2307" s="7" t="n">
        <v>28</v>
      </c>
      <c r="E2307" s="7" t="n">
        <v>2226</v>
      </c>
      <c r="F2307" s="7" t="inlineStr">
        <is>
          <t>Yes</t>
        </is>
      </c>
      <c r="G2307" s="8" t="n"/>
    </row>
    <row r="2308">
      <c r="A2308" s="8" t="inlineStr">
        <is>
          <t>PGCV_0028_2227</t>
        </is>
      </c>
      <c r="B2308" s="8" t="inlineStr">
        <is>
          <t>22-40032</t>
        </is>
      </c>
      <c r="C2308" s="8" t="n"/>
      <c r="D2308" s="7" t="n">
        <v>28</v>
      </c>
      <c r="E2308" s="7" t="n">
        <v>2227</v>
      </c>
      <c r="F2308" s="7" t="inlineStr">
        <is>
          <t>Yes</t>
        </is>
      </c>
      <c r="G2308" s="8" t="n"/>
    </row>
    <row r="2309">
      <c r="A2309" s="8" t="inlineStr">
        <is>
          <t>PGCV_0028_2228</t>
        </is>
      </c>
      <c r="B2309" s="8" t="inlineStr">
        <is>
          <t>22-40034</t>
        </is>
      </c>
      <c r="C2309" s="8" t="n"/>
      <c r="D2309" s="7" t="n">
        <v>28</v>
      </c>
      <c r="E2309" s="7" t="n">
        <v>2228</v>
      </c>
      <c r="F2309" s="7" t="inlineStr">
        <is>
          <t>Yes</t>
        </is>
      </c>
      <c r="G2309" s="8" t="n"/>
    </row>
    <row r="2310">
      <c r="A2310" s="8" t="inlineStr">
        <is>
          <t>PGCV_0028_2229</t>
        </is>
      </c>
      <c r="B2310" s="8" t="inlineStr">
        <is>
          <t>22-40036</t>
        </is>
      </c>
      <c r="C2310" s="8" t="n"/>
      <c r="D2310" s="7" t="n">
        <v>28</v>
      </c>
      <c r="E2310" s="7" t="n">
        <v>2229</v>
      </c>
      <c r="F2310" s="7" t="inlineStr">
        <is>
          <t>Yes</t>
        </is>
      </c>
      <c r="G2310" s="8" t="n"/>
    </row>
    <row r="2311">
      <c r="A2311" s="8" t="inlineStr">
        <is>
          <t>PGCV_0028_2230</t>
        </is>
      </c>
      <c r="B2311" s="8" t="inlineStr">
        <is>
          <t>22-40037</t>
        </is>
      </c>
      <c r="C2311" s="8" t="n"/>
      <c r="D2311" s="7" t="n">
        <v>28</v>
      </c>
      <c r="E2311" s="7" t="n">
        <v>2230</v>
      </c>
      <c r="F2311" s="7" t="inlineStr">
        <is>
          <t>Yes</t>
        </is>
      </c>
      <c r="G2311" s="8" t="n"/>
    </row>
    <row r="2312">
      <c r="A2312" s="8" t="inlineStr">
        <is>
          <t>PGCV_0028_2231</t>
        </is>
      </c>
      <c r="B2312" s="8" t="inlineStr">
        <is>
          <t>22-40039</t>
        </is>
      </c>
      <c r="C2312" s="8" t="n"/>
      <c r="D2312" s="7" t="n">
        <v>28</v>
      </c>
      <c r="E2312" s="7" t="n">
        <v>2231</v>
      </c>
      <c r="F2312" s="7" t="inlineStr">
        <is>
          <t>Yes</t>
        </is>
      </c>
      <c r="G2312" s="8" t="n"/>
    </row>
    <row r="2313">
      <c r="A2313" s="8" t="inlineStr">
        <is>
          <t>PGCV_0028_2232</t>
        </is>
      </c>
      <c r="B2313" s="8" t="inlineStr">
        <is>
          <t>22-40040</t>
        </is>
      </c>
      <c r="C2313" s="8" t="n"/>
      <c r="D2313" s="7" t="n">
        <v>28</v>
      </c>
      <c r="E2313" s="7" t="n">
        <v>2232</v>
      </c>
      <c r="F2313" s="7" t="inlineStr">
        <is>
          <t>Yes</t>
        </is>
      </c>
      <c r="G2313" s="8" t="n"/>
    </row>
    <row r="2314">
      <c r="A2314" s="8" t="inlineStr">
        <is>
          <t>PGCV_0028_2233</t>
        </is>
      </c>
      <c r="B2314" s="8" t="inlineStr">
        <is>
          <t>22-40041</t>
        </is>
      </c>
      <c r="C2314" s="8" t="n"/>
      <c r="D2314" s="7" t="n">
        <v>28</v>
      </c>
      <c r="E2314" s="7" t="n">
        <v>2233</v>
      </c>
      <c r="F2314" s="7" t="inlineStr">
        <is>
          <t>Yes</t>
        </is>
      </c>
      <c r="G2314" s="8" t="n"/>
    </row>
    <row r="2315">
      <c r="A2315" s="8" t="inlineStr">
        <is>
          <t>PGCV_0028_2234</t>
        </is>
      </c>
      <c r="B2315" s="8" t="inlineStr">
        <is>
          <t>22-40157</t>
        </is>
      </c>
      <c r="C2315" s="8" t="n"/>
      <c r="D2315" s="7" t="n">
        <v>28</v>
      </c>
      <c r="E2315" s="7" t="n">
        <v>2234</v>
      </c>
      <c r="F2315" s="7" t="inlineStr">
        <is>
          <t>Yes</t>
        </is>
      </c>
      <c r="G2315" s="8" t="n"/>
    </row>
    <row r="2316">
      <c r="A2316" s="8" t="inlineStr">
        <is>
          <t>PGCV_0028_2235</t>
        </is>
      </c>
      <c r="B2316" s="8" t="inlineStr">
        <is>
          <t>22-40160</t>
        </is>
      </c>
      <c r="C2316" s="8" t="n"/>
      <c r="D2316" s="7" t="n">
        <v>28</v>
      </c>
      <c r="E2316" s="7" t="n">
        <v>2235</v>
      </c>
      <c r="F2316" s="7" t="inlineStr">
        <is>
          <t>Yes</t>
        </is>
      </c>
      <c r="G2316" s="8" t="n"/>
    </row>
    <row r="2317">
      <c r="A2317" s="8" t="inlineStr">
        <is>
          <t>PGCV_0028_2236</t>
        </is>
      </c>
      <c r="B2317" s="8" t="inlineStr">
        <is>
          <t>22-40171</t>
        </is>
      </c>
      <c r="C2317" s="8" t="n"/>
      <c r="D2317" s="7" t="n">
        <v>28</v>
      </c>
      <c r="E2317" s="7" t="n">
        <v>2236</v>
      </c>
      <c r="F2317" s="7" t="inlineStr">
        <is>
          <t>Yes</t>
        </is>
      </c>
      <c r="G2317" s="8" t="n"/>
    </row>
    <row r="2318">
      <c r="A2318" s="8" t="inlineStr">
        <is>
          <t>PGCV_0028_2237</t>
        </is>
      </c>
      <c r="B2318" s="8" t="inlineStr">
        <is>
          <t>22-40173</t>
        </is>
      </c>
      <c r="C2318" s="8" t="n"/>
      <c r="D2318" s="7" t="n">
        <v>28</v>
      </c>
      <c r="E2318" s="7" t="n">
        <v>2237</v>
      </c>
      <c r="F2318" s="7" t="inlineStr">
        <is>
          <t>Yes</t>
        </is>
      </c>
      <c r="G2318" s="8" t="n"/>
    </row>
    <row r="2319">
      <c r="A2319" s="8" t="inlineStr">
        <is>
          <t>PGCV_0028_2238</t>
        </is>
      </c>
      <c r="B2319" s="8" t="inlineStr">
        <is>
          <t>22-40180</t>
        </is>
      </c>
      <c r="C2319" s="8" t="n"/>
      <c r="D2319" s="7" t="n">
        <v>28</v>
      </c>
      <c r="E2319" s="7" t="n">
        <v>2238</v>
      </c>
      <c r="F2319" s="7" t="inlineStr">
        <is>
          <t>Yes</t>
        </is>
      </c>
      <c r="G2319" s="8" t="n"/>
    </row>
    <row r="2320">
      <c r="A2320" s="8" t="inlineStr">
        <is>
          <t>PGCV_0028_2239</t>
        </is>
      </c>
      <c r="B2320" s="8" t="inlineStr">
        <is>
          <t>22-40226</t>
        </is>
      </c>
      <c r="C2320" s="8" t="n"/>
      <c r="D2320" s="7" t="n">
        <v>28</v>
      </c>
      <c r="E2320" s="7" t="n">
        <v>2239</v>
      </c>
      <c r="F2320" s="7" t="inlineStr">
        <is>
          <t>Yes</t>
        </is>
      </c>
      <c r="G2320" s="8" t="n"/>
    </row>
    <row r="2321">
      <c r="A2321" s="8" t="inlineStr">
        <is>
          <t>PGCV_0028_2240</t>
        </is>
      </c>
      <c r="B2321" s="8" t="inlineStr">
        <is>
          <t>22-40237</t>
        </is>
      </c>
      <c r="C2321" s="8" t="n"/>
      <c r="D2321" s="7" t="n">
        <v>28</v>
      </c>
      <c r="E2321" s="7" t="n">
        <v>2240</v>
      </c>
      <c r="F2321" s="7" t="inlineStr">
        <is>
          <t>Yes</t>
        </is>
      </c>
      <c r="G2321" s="8" t="n"/>
    </row>
    <row r="2322">
      <c r="A2322" s="8" t="inlineStr">
        <is>
          <t>PGCV_0028_2241</t>
        </is>
      </c>
      <c r="B2322" s="8" t="inlineStr">
        <is>
          <t>22-40240</t>
        </is>
      </c>
      <c r="C2322" s="8" t="n"/>
      <c r="D2322" s="7" t="n">
        <v>28</v>
      </c>
      <c r="E2322" s="7" t="n">
        <v>2241</v>
      </c>
      <c r="F2322" s="7" t="inlineStr">
        <is>
          <t>Yes</t>
        </is>
      </c>
      <c r="G2322" s="8" t="n"/>
    </row>
    <row r="2323">
      <c r="A2323" s="8" t="inlineStr">
        <is>
          <t>PGCV_0028_2242</t>
        </is>
      </c>
      <c r="B2323" s="8" t="inlineStr">
        <is>
          <t>22-40272</t>
        </is>
      </c>
      <c r="C2323" s="8" t="n"/>
      <c r="D2323" s="7" t="n">
        <v>28</v>
      </c>
      <c r="E2323" s="7" t="n">
        <v>2242</v>
      </c>
      <c r="F2323" s="7" t="inlineStr">
        <is>
          <t>Yes</t>
        </is>
      </c>
      <c r="G2323" s="8" t="n"/>
    </row>
    <row r="2324">
      <c r="A2324" s="8" t="inlineStr">
        <is>
          <t>PGCV_0028_2243</t>
        </is>
      </c>
      <c r="B2324" s="8" t="inlineStr">
        <is>
          <t>22-40297</t>
        </is>
      </c>
      <c r="C2324" s="8" t="n"/>
      <c r="D2324" s="7" t="n">
        <v>28</v>
      </c>
      <c r="E2324" s="7" t="n">
        <v>2243</v>
      </c>
      <c r="F2324" s="7" t="inlineStr">
        <is>
          <t>Yes</t>
        </is>
      </c>
      <c r="G2324" s="8" t="n"/>
    </row>
    <row r="2325">
      <c r="A2325" s="8" t="inlineStr">
        <is>
          <t>PGCV_0028_2244</t>
        </is>
      </c>
      <c r="B2325" s="8" t="inlineStr">
        <is>
          <t>22-40325</t>
        </is>
      </c>
      <c r="C2325" s="8" t="n"/>
      <c r="D2325" s="7" t="n">
        <v>28</v>
      </c>
      <c r="E2325" s="7" t="n">
        <v>2244</v>
      </c>
      <c r="F2325" s="7" t="inlineStr">
        <is>
          <t>Yes</t>
        </is>
      </c>
      <c r="G2325" s="8" t="n"/>
    </row>
    <row r="2326">
      <c r="A2326" s="8" t="inlineStr">
        <is>
          <t>PGCV_0028_2245</t>
        </is>
      </c>
      <c r="B2326" s="8" t="inlineStr">
        <is>
          <t>22-40329</t>
        </is>
      </c>
      <c r="C2326" s="8" t="n"/>
      <c r="D2326" s="7" t="n">
        <v>28</v>
      </c>
      <c r="E2326" s="7" t="n">
        <v>2245</v>
      </c>
      <c r="F2326" s="7" t="inlineStr">
        <is>
          <t>Yes</t>
        </is>
      </c>
      <c r="G2326" s="8" t="n"/>
    </row>
    <row r="2327">
      <c r="A2327" s="8" t="inlineStr">
        <is>
          <t>PGCV_0028_2246</t>
        </is>
      </c>
      <c r="B2327" s="8" t="inlineStr">
        <is>
          <t>22-40331</t>
        </is>
      </c>
      <c r="C2327" s="8" t="n"/>
      <c r="D2327" s="7" t="n">
        <v>28</v>
      </c>
      <c r="E2327" s="7" t="n">
        <v>2246</v>
      </c>
      <c r="F2327" s="7" t="inlineStr">
        <is>
          <t>Yes</t>
        </is>
      </c>
      <c r="G2327" s="8" t="n"/>
    </row>
    <row r="2328">
      <c r="A2328" s="8" t="inlineStr">
        <is>
          <t>PGCV_0028_2247</t>
        </is>
      </c>
      <c r="B2328" s="8" t="inlineStr">
        <is>
          <t>22-40357</t>
        </is>
      </c>
      <c r="C2328" s="8" t="n"/>
      <c r="D2328" s="7" t="n">
        <v>28</v>
      </c>
      <c r="E2328" s="7" t="n">
        <v>2247</v>
      </c>
      <c r="F2328" s="7" t="inlineStr">
        <is>
          <t>Yes</t>
        </is>
      </c>
      <c r="G2328" s="8" t="n"/>
    </row>
    <row r="2329">
      <c r="A2329" s="8" t="inlineStr">
        <is>
          <t>PGCV_0028_2248</t>
        </is>
      </c>
      <c r="B2329" s="8" t="inlineStr">
        <is>
          <t>22-40443</t>
        </is>
      </c>
      <c r="C2329" s="8" t="n"/>
      <c r="D2329" s="7" t="n">
        <v>28</v>
      </c>
      <c r="E2329" s="7" t="n">
        <v>2248</v>
      </c>
      <c r="F2329" s="7" t="inlineStr">
        <is>
          <t>Yes</t>
        </is>
      </c>
      <c r="G2329" s="8" t="n"/>
    </row>
    <row r="2330">
      <c r="A2330" s="8" t="inlineStr">
        <is>
          <t>PGCV_0028_2249</t>
        </is>
      </c>
      <c r="B2330" s="8" t="inlineStr">
        <is>
          <t>22-40446</t>
        </is>
      </c>
      <c r="C2330" s="8" t="n"/>
      <c r="D2330" s="7" t="n">
        <v>28</v>
      </c>
      <c r="E2330" s="7" t="n">
        <v>2249</v>
      </c>
      <c r="F2330" s="7" t="inlineStr">
        <is>
          <t>Yes</t>
        </is>
      </c>
      <c r="G2330" s="8" t="n"/>
    </row>
    <row r="2331">
      <c r="A2331" s="8" t="inlineStr">
        <is>
          <t>PGCV_0028_2250</t>
        </is>
      </c>
      <c r="B2331" s="8" t="inlineStr">
        <is>
          <t>22-40455</t>
        </is>
      </c>
      <c r="C2331" s="8" t="n"/>
      <c r="D2331" s="7" t="n">
        <v>28</v>
      </c>
      <c r="E2331" s="7" t="n">
        <v>2250</v>
      </c>
      <c r="F2331" s="7" t="inlineStr">
        <is>
          <t>Yes</t>
        </is>
      </c>
      <c r="G2331" s="8" t="n"/>
    </row>
    <row r="2332">
      <c r="A2332" s="8" t="inlineStr">
        <is>
          <t>PGCV_0028_2251</t>
        </is>
      </c>
      <c r="B2332" s="8" t="inlineStr">
        <is>
          <t>22-40473</t>
        </is>
      </c>
      <c r="C2332" s="8" t="n"/>
      <c r="D2332" s="7" t="n">
        <v>28</v>
      </c>
      <c r="E2332" s="7" t="n">
        <v>2251</v>
      </c>
      <c r="F2332" s="7" t="inlineStr">
        <is>
          <t>Yes</t>
        </is>
      </c>
      <c r="G2332" s="8" t="n"/>
    </row>
    <row r="2333">
      <c r="A2333" s="8" t="inlineStr">
        <is>
          <t>PGCV_0028_2252</t>
        </is>
      </c>
      <c r="B2333" s="8" t="inlineStr">
        <is>
          <t>22-40486</t>
        </is>
      </c>
      <c r="C2333" s="8" t="n"/>
      <c r="D2333" s="7" t="n">
        <v>28</v>
      </c>
      <c r="E2333" s="7" t="n">
        <v>2252</v>
      </c>
      <c r="F2333" s="7" t="inlineStr">
        <is>
          <t>Yes</t>
        </is>
      </c>
      <c r="G2333" s="8" t="n"/>
    </row>
    <row r="2334">
      <c r="A2334" s="8" t="inlineStr">
        <is>
          <t>PGCV_0028_2253</t>
        </is>
      </c>
      <c r="B2334" s="8" t="inlineStr">
        <is>
          <t>22-40539</t>
        </is>
      </c>
      <c r="C2334" s="8" t="n"/>
      <c r="D2334" s="7" t="n">
        <v>28</v>
      </c>
      <c r="E2334" s="7" t="n">
        <v>2253</v>
      </c>
      <c r="F2334" s="7" t="inlineStr">
        <is>
          <t>Yes</t>
        </is>
      </c>
      <c r="G2334" s="8" t="n"/>
    </row>
    <row r="2335">
      <c r="A2335" s="8" t="inlineStr">
        <is>
          <t>PGCV_0028_2254</t>
        </is>
      </c>
      <c r="B2335" s="8" t="inlineStr">
        <is>
          <t>22-40562</t>
        </is>
      </c>
      <c r="C2335" s="8" t="n"/>
      <c r="D2335" s="7" t="n">
        <v>28</v>
      </c>
      <c r="E2335" s="7" t="n">
        <v>2254</v>
      </c>
      <c r="F2335" s="7" t="inlineStr">
        <is>
          <t>Yes</t>
        </is>
      </c>
      <c r="G2335" s="8" t="n"/>
    </row>
    <row r="2336">
      <c r="A2336" s="8" t="inlineStr">
        <is>
          <t>PGCV_0028_2255</t>
        </is>
      </c>
      <c r="B2336" s="8" t="inlineStr">
        <is>
          <t>22-40563</t>
        </is>
      </c>
      <c r="C2336" s="8" t="n"/>
      <c r="D2336" s="7" t="n">
        <v>28</v>
      </c>
      <c r="E2336" s="7" t="n">
        <v>2255</v>
      </c>
      <c r="F2336" s="7" t="inlineStr">
        <is>
          <t>Yes</t>
        </is>
      </c>
      <c r="G2336" s="8" t="n"/>
    </row>
    <row r="2337">
      <c r="A2337" s="8" t="inlineStr">
        <is>
          <t>PGCV_0028_2256</t>
        </is>
      </c>
      <c r="B2337" s="8" t="inlineStr">
        <is>
          <t>22-40565</t>
        </is>
      </c>
      <c r="C2337" s="8" t="n"/>
      <c r="D2337" s="7" t="n">
        <v>28</v>
      </c>
      <c r="E2337" s="7" t="n">
        <v>2256</v>
      </c>
      <c r="F2337" s="7" t="inlineStr">
        <is>
          <t>Yes</t>
        </is>
      </c>
      <c r="G2337" s="8" t="n"/>
    </row>
    <row r="2338">
      <c r="A2338" s="8" t="inlineStr">
        <is>
          <t>PGCV_0028_2257</t>
        </is>
      </c>
      <c r="B2338" s="8" t="inlineStr">
        <is>
          <t>C34658</t>
        </is>
      </c>
      <c r="C2338" s="8" t="n"/>
      <c r="D2338" s="7" t="n">
        <v>28</v>
      </c>
      <c r="E2338" s="7" t="n">
        <v>2257</v>
      </c>
      <c r="F2338" s="7" t="inlineStr">
        <is>
          <t>Yes</t>
        </is>
      </c>
      <c r="G2338" s="8" t="n"/>
    </row>
    <row r="2339">
      <c r="A2339" s="8" t="inlineStr">
        <is>
          <t>PGCV_0028_2258</t>
        </is>
      </c>
      <c r="B2339" s="8" t="inlineStr">
        <is>
          <t>C34659</t>
        </is>
      </c>
      <c r="C2339" s="8" t="n"/>
      <c r="D2339" s="7" t="n">
        <v>28</v>
      </c>
      <c r="E2339" s="7" t="n">
        <v>2258</v>
      </c>
      <c r="F2339" s="7" t="inlineStr">
        <is>
          <t>Yes</t>
        </is>
      </c>
      <c r="G2339" s="8" t="n"/>
    </row>
    <row r="2340">
      <c r="A2340" s="8" t="inlineStr">
        <is>
          <t>PGCV_0028_2259</t>
        </is>
      </c>
      <c r="B2340" s="8" t="inlineStr">
        <is>
          <t>C34682</t>
        </is>
      </c>
      <c r="C2340" s="8" t="n"/>
      <c r="D2340" s="7" t="n">
        <v>28</v>
      </c>
      <c r="E2340" s="7" t="n">
        <v>2259</v>
      </c>
      <c r="F2340" s="7" t="inlineStr">
        <is>
          <t>Yes</t>
        </is>
      </c>
      <c r="G2340" s="8" t="n"/>
    </row>
    <row r="2341">
      <c r="A2341" s="8" t="inlineStr">
        <is>
          <t>PGCV_0028_2260</t>
        </is>
      </c>
      <c r="B2341" s="8" t="inlineStr">
        <is>
          <t>C34686</t>
        </is>
      </c>
      <c r="C2341" s="8" t="n"/>
      <c r="D2341" s="7" t="n">
        <v>28</v>
      </c>
      <c r="E2341" s="7" t="n">
        <v>2260</v>
      </c>
      <c r="F2341" s="7" t="inlineStr">
        <is>
          <t>Yes</t>
        </is>
      </c>
      <c r="G2341" s="8" t="n"/>
    </row>
    <row r="2342">
      <c r="A2342" s="8" t="inlineStr">
        <is>
          <t>PGCV_0028_2261</t>
        </is>
      </c>
      <c r="B2342" s="8" t="inlineStr">
        <is>
          <t>C34732</t>
        </is>
      </c>
      <c r="C2342" s="8" t="n"/>
      <c r="D2342" s="7" t="n">
        <v>28</v>
      </c>
      <c r="E2342" s="7" t="n">
        <v>2261</v>
      </c>
      <c r="F2342" s="7" t="inlineStr">
        <is>
          <t>Yes</t>
        </is>
      </c>
      <c r="G2342" s="8" t="n"/>
    </row>
    <row r="2343">
      <c r="A2343" s="8" t="inlineStr">
        <is>
          <t>PGCV_0028_2262</t>
        </is>
      </c>
      <c r="B2343" s="8" t="inlineStr">
        <is>
          <t>C34746</t>
        </is>
      </c>
      <c r="C2343" s="8" t="n"/>
      <c r="D2343" s="7" t="n">
        <v>28</v>
      </c>
      <c r="E2343" s="7" t="n">
        <v>2262</v>
      </c>
      <c r="F2343" s="7" t="inlineStr">
        <is>
          <t>Yes</t>
        </is>
      </c>
      <c r="G2343" s="8" t="n"/>
    </row>
    <row r="2344">
      <c r="A2344" s="8" t="inlineStr">
        <is>
          <t>PGCV_0028_2263</t>
        </is>
      </c>
      <c r="B2344" s="8" t="inlineStr">
        <is>
          <t>C34748</t>
        </is>
      </c>
      <c r="C2344" s="8" t="n"/>
      <c r="D2344" s="7" t="n">
        <v>28</v>
      </c>
      <c r="E2344" s="7" t="n">
        <v>2263</v>
      </c>
      <c r="F2344" s="7" t="inlineStr">
        <is>
          <t>Yes</t>
        </is>
      </c>
      <c r="G2344" s="8" t="n"/>
    </row>
    <row r="2345">
      <c r="A2345" s="8" t="inlineStr">
        <is>
          <t>PGCV_0028_2264</t>
        </is>
      </c>
      <c r="B2345" s="8" t="inlineStr">
        <is>
          <t>C34751</t>
        </is>
      </c>
      <c r="C2345" s="8" t="n"/>
      <c r="D2345" s="7" t="n">
        <v>28</v>
      </c>
      <c r="E2345" s="7" t="n">
        <v>2264</v>
      </c>
      <c r="F2345" s="7" t="inlineStr">
        <is>
          <t>Yes</t>
        </is>
      </c>
      <c r="G2345" s="8" t="n"/>
    </row>
    <row r="2346">
      <c r="A2346" s="8" t="inlineStr">
        <is>
          <t>PGCV_0028_2265</t>
        </is>
      </c>
      <c r="B2346" s="8" t="inlineStr">
        <is>
          <t>C34752</t>
        </is>
      </c>
      <c r="C2346" s="8" t="n"/>
      <c r="D2346" s="7" t="n">
        <v>28</v>
      </c>
      <c r="E2346" s="7" t="n">
        <v>2265</v>
      </c>
      <c r="F2346" s="7" t="inlineStr">
        <is>
          <t>Yes</t>
        </is>
      </c>
      <c r="G2346" s="8" t="n"/>
    </row>
    <row r="2347">
      <c r="A2347" s="8" t="inlineStr">
        <is>
          <t>PGCV_0028_2266</t>
        </is>
      </c>
      <c r="B2347" s="8" t="inlineStr">
        <is>
          <t>C34756</t>
        </is>
      </c>
      <c r="C2347" s="8" t="n"/>
      <c r="D2347" s="7" t="n">
        <v>28</v>
      </c>
      <c r="E2347" s="7" t="n">
        <v>2266</v>
      </c>
      <c r="F2347" s="7" t="inlineStr">
        <is>
          <t>Yes</t>
        </is>
      </c>
      <c r="G2347" s="8" t="n"/>
    </row>
    <row r="2348">
      <c r="A2348" s="8" t="inlineStr">
        <is>
          <t>PGCV_0028_2267</t>
        </is>
      </c>
      <c r="B2348" s="8" t="inlineStr">
        <is>
          <t>C34848</t>
        </is>
      </c>
      <c r="C2348" s="8" t="n"/>
      <c r="D2348" s="7" t="n">
        <v>28</v>
      </c>
      <c r="E2348" s="7" t="n">
        <v>2267</v>
      </c>
      <c r="F2348" s="7" t="inlineStr">
        <is>
          <t>Yes</t>
        </is>
      </c>
      <c r="G2348" s="8" t="n"/>
    </row>
    <row r="2349">
      <c r="A2349" s="8" t="inlineStr">
        <is>
          <t>PGCV_0028_2268</t>
        </is>
      </c>
      <c r="B2349" s="8" t="inlineStr">
        <is>
          <t>C34897</t>
        </is>
      </c>
      <c r="C2349" s="8" t="n"/>
      <c r="D2349" s="7" t="n">
        <v>28</v>
      </c>
      <c r="E2349" s="7" t="n">
        <v>2268</v>
      </c>
      <c r="F2349" s="7" t="inlineStr">
        <is>
          <t>Yes</t>
        </is>
      </c>
      <c r="G2349" s="8" t="n"/>
    </row>
    <row r="2350">
      <c r="A2350" s="8" t="inlineStr">
        <is>
          <t>PGCV_0028_2269</t>
        </is>
      </c>
      <c r="B2350" s="8" t="inlineStr">
        <is>
          <t>C34900</t>
        </is>
      </c>
      <c r="C2350" s="8" t="n"/>
      <c r="D2350" s="7" t="n">
        <v>28</v>
      </c>
      <c r="E2350" s="7" t="n">
        <v>2269</v>
      </c>
      <c r="F2350" s="7" t="inlineStr">
        <is>
          <t>Yes</t>
        </is>
      </c>
      <c r="G2350" s="8" t="n"/>
    </row>
    <row r="2351">
      <c r="A2351" s="8" t="inlineStr">
        <is>
          <t>PGCV_0028_2270</t>
        </is>
      </c>
      <c r="B2351" s="8" t="inlineStr">
        <is>
          <t>C35128</t>
        </is>
      </c>
      <c r="C2351" s="8" t="n"/>
      <c r="D2351" s="7" t="n">
        <v>28</v>
      </c>
      <c r="E2351" s="7" t="n">
        <v>2270</v>
      </c>
      <c r="F2351" s="7" t="inlineStr">
        <is>
          <t>Yes</t>
        </is>
      </c>
      <c r="G2351" s="8" t="n"/>
    </row>
    <row r="2352">
      <c r="A2352" s="8" t="inlineStr">
        <is>
          <t>PGCV_0028_2271</t>
        </is>
      </c>
      <c r="B2352" s="8" t="inlineStr">
        <is>
          <t>C35174</t>
        </is>
      </c>
      <c r="C2352" s="8" t="n"/>
      <c r="D2352" s="7" t="n">
        <v>28</v>
      </c>
      <c r="E2352" s="7" t="n">
        <v>2271</v>
      </c>
      <c r="F2352" s="7" t="inlineStr">
        <is>
          <t>Yes</t>
        </is>
      </c>
      <c r="G2352" s="8" t="n"/>
    </row>
    <row r="2353">
      <c r="A2353" s="8" t="inlineStr">
        <is>
          <t>PGCV_0028_2272</t>
        </is>
      </c>
      <c r="B2353" s="8" t="inlineStr">
        <is>
          <t>C35252</t>
        </is>
      </c>
      <c r="C2353" s="8" t="n"/>
      <c r="D2353" s="7" t="n">
        <v>28</v>
      </c>
      <c r="E2353" s="7" t="n">
        <v>2272</v>
      </c>
      <c r="F2353" s="7" t="inlineStr">
        <is>
          <t>Yes</t>
        </is>
      </c>
      <c r="G2353" s="8" t="n"/>
    </row>
    <row r="2354">
      <c r="A2354" s="8" t="inlineStr">
        <is>
          <t>PGCV_0028_2273</t>
        </is>
      </c>
      <c r="B2354" s="8" t="inlineStr">
        <is>
          <t>C35258</t>
        </is>
      </c>
      <c r="C2354" s="8" t="n"/>
      <c r="D2354" s="7" t="n">
        <v>28</v>
      </c>
      <c r="E2354" s="7" t="n">
        <v>2273</v>
      </c>
      <c r="F2354" s="7" t="inlineStr">
        <is>
          <t>Yes</t>
        </is>
      </c>
      <c r="G2354" s="8" t="n"/>
    </row>
    <row r="2355">
      <c r="A2355" s="8" t="inlineStr">
        <is>
          <t>PGCV_0028_2274</t>
        </is>
      </c>
      <c r="B2355" s="8" t="inlineStr">
        <is>
          <t>C35263</t>
        </is>
      </c>
      <c r="C2355" s="8" t="n"/>
      <c r="D2355" s="7" t="n">
        <v>28</v>
      </c>
      <c r="E2355" s="7" t="n">
        <v>2274</v>
      </c>
      <c r="F2355" s="7" t="inlineStr">
        <is>
          <t>Yes</t>
        </is>
      </c>
      <c r="G2355" s="8" t="n"/>
    </row>
    <row r="2356">
      <c r="A2356" s="8" t="inlineStr">
        <is>
          <t>PGCV_0028_2275</t>
        </is>
      </c>
      <c r="B2356" s="8" t="inlineStr">
        <is>
          <t>C35266</t>
        </is>
      </c>
      <c r="C2356" s="8" t="n"/>
      <c r="D2356" s="7" t="n">
        <v>28</v>
      </c>
      <c r="E2356" s="7" t="n">
        <v>2275</v>
      </c>
      <c r="F2356" s="7" t="inlineStr">
        <is>
          <t>Yes</t>
        </is>
      </c>
      <c r="G2356" s="8" t="n"/>
    </row>
    <row r="2357">
      <c r="A2357" s="8" t="inlineStr">
        <is>
          <t>PGCV_0028_2276</t>
        </is>
      </c>
      <c r="B2357" s="8" t="inlineStr">
        <is>
          <t>C35270</t>
        </is>
      </c>
      <c r="C2357" s="8" t="n"/>
      <c r="D2357" s="7" t="n">
        <v>28</v>
      </c>
      <c r="E2357" s="7" t="n">
        <v>2276</v>
      </c>
      <c r="F2357" s="7" t="inlineStr">
        <is>
          <t>Yes</t>
        </is>
      </c>
      <c r="G2357" s="8" t="n"/>
    </row>
    <row r="2358">
      <c r="A2358" s="8" t="inlineStr">
        <is>
          <t>PGCV_0028_2277</t>
        </is>
      </c>
      <c r="B2358" s="8" t="inlineStr">
        <is>
          <t>C35271</t>
        </is>
      </c>
      <c r="C2358" s="8" t="n"/>
      <c r="D2358" s="7" t="n">
        <v>28</v>
      </c>
      <c r="E2358" s="7" t="n">
        <v>2277</v>
      </c>
      <c r="F2358" s="7" t="inlineStr">
        <is>
          <t>Yes</t>
        </is>
      </c>
      <c r="G2358" s="8" t="n"/>
    </row>
    <row r="2359">
      <c r="A2359" s="8" t="inlineStr">
        <is>
          <t>PGCV_0028_2278</t>
        </is>
      </c>
      <c r="B2359" s="8" t="inlineStr">
        <is>
          <t>C35285</t>
        </is>
      </c>
      <c r="C2359" s="8" t="n"/>
      <c r="D2359" s="7" t="n">
        <v>28</v>
      </c>
      <c r="E2359" s="7" t="n">
        <v>2278</v>
      </c>
      <c r="F2359" s="7" t="inlineStr">
        <is>
          <t>No</t>
        </is>
      </c>
      <c r="G2359" s="8" t="n"/>
    </row>
    <row r="2360">
      <c r="A2360" s="8" t="inlineStr">
        <is>
          <t>PGCV_0028_2279</t>
        </is>
      </c>
      <c r="B2360" s="8" t="inlineStr">
        <is>
          <t>C35286</t>
        </is>
      </c>
      <c r="C2360" s="8" t="n"/>
      <c r="D2360" s="7" t="n">
        <v>28</v>
      </c>
      <c r="E2360" s="7" t="n">
        <v>2279</v>
      </c>
      <c r="F2360" s="7" t="inlineStr">
        <is>
          <t>Yes</t>
        </is>
      </c>
      <c r="G2360" s="8" t="n"/>
    </row>
    <row r="2361">
      <c r="A2361" s="8" t="inlineStr">
        <is>
          <t>PGCV_0028_2280</t>
        </is>
      </c>
      <c r="B2361" s="8" t="inlineStr">
        <is>
          <t>C35287</t>
        </is>
      </c>
      <c r="C2361" s="8" t="n"/>
      <c r="D2361" s="7" t="n">
        <v>28</v>
      </c>
      <c r="E2361" s="7" t="n">
        <v>2280</v>
      </c>
      <c r="F2361" s="7" t="inlineStr">
        <is>
          <t>Yes</t>
        </is>
      </c>
      <c r="G2361" s="8" t="n"/>
    </row>
    <row r="2362">
      <c r="A2362" s="8" t="inlineStr">
        <is>
          <t>PGCV_0028_2281</t>
        </is>
      </c>
      <c r="B2362" s="8" t="inlineStr">
        <is>
          <t>C35297</t>
        </is>
      </c>
      <c r="C2362" s="8" t="n"/>
      <c r="D2362" s="7" t="n">
        <v>28</v>
      </c>
      <c r="E2362" s="7" t="n">
        <v>2281</v>
      </c>
      <c r="F2362" s="7" t="inlineStr">
        <is>
          <t>Yes</t>
        </is>
      </c>
      <c r="G2362" s="8" t="n"/>
    </row>
    <row r="2363">
      <c r="A2363" s="8" t="inlineStr">
        <is>
          <t>PGCV_0028_2282</t>
        </is>
      </c>
      <c r="B2363" s="8" t="inlineStr">
        <is>
          <t>C35299</t>
        </is>
      </c>
      <c r="C2363" s="8" t="n"/>
      <c r="D2363" s="7" t="n">
        <v>28</v>
      </c>
      <c r="E2363" s="7" t="n">
        <v>2282</v>
      </c>
      <c r="F2363" s="7" t="inlineStr">
        <is>
          <t>Yes</t>
        </is>
      </c>
      <c r="G2363" s="8" t="n"/>
    </row>
    <row r="2364">
      <c r="A2364" s="8" t="inlineStr">
        <is>
          <t>PGCV_0028_2283</t>
        </is>
      </c>
      <c r="B2364" s="8" t="inlineStr">
        <is>
          <t>C35300</t>
        </is>
      </c>
      <c r="C2364" s="8" t="n"/>
      <c r="D2364" s="7" t="n">
        <v>28</v>
      </c>
      <c r="E2364" s="7" t="n">
        <v>2283</v>
      </c>
      <c r="F2364" s="7" t="inlineStr">
        <is>
          <t>Yes</t>
        </is>
      </c>
      <c r="G2364" s="8" t="n"/>
    </row>
    <row r="2365">
      <c r="A2365" s="8" t="inlineStr">
        <is>
          <t>PGCV_0028_2284</t>
        </is>
      </c>
      <c r="B2365" s="8" t="inlineStr">
        <is>
          <t>C35408</t>
        </is>
      </c>
      <c r="C2365" s="8" t="n"/>
      <c r="D2365" s="7" t="n">
        <v>28</v>
      </c>
      <c r="E2365" s="7" t="n">
        <v>2284</v>
      </c>
      <c r="F2365" s="7" t="inlineStr">
        <is>
          <t>Yes</t>
        </is>
      </c>
      <c r="G2365" s="8" t="n"/>
    </row>
    <row r="2366">
      <c r="A2366" s="8" t="inlineStr">
        <is>
          <t>PGCV_0028_2285</t>
        </is>
      </c>
      <c r="B2366" s="8" t="inlineStr">
        <is>
          <t>C35419</t>
        </is>
      </c>
      <c r="C2366" s="8" t="n"/>
      <c r="D2366" s="7" t="n">
        <v>28</v>
      </c>
      <c r="E2366" s="7" t="n">
        <v>2285</v>
      </c>
      <c r="F2366" s="7" t="inlineStr">
        <is>
          <t>Yes</t>
        </is>
      </c>
      <c r="G2366" s="8" t="n"/>
    </row>
    <row r="2367">
      <c r="A2367" s="8" t="inlineStr">
        <is>
          <t>PGCV_0028_2286</t>
        </is>
      </c>
      <c r="B2367" s="8" t="inlineStr">
        <is>
          <t>C35429</t>
        </is>
      </c>
      <c r="C2367" s="8" t="n"/>
      <c r="D2367" s="7" t="n">
        <v>28</v>
      </c>
      <c r="E2367" s="7" t="n">
        <v>2286</v>
      </c>
      <c r="F2367" s="7" t="inlineStr">
        <is>
          <t>Yes</t>
        </is>
      </c>
      <c r="G2367" s="8" t="n"/>
    </row>
    <row r="2368">
      <c r="A2368" s="8" t="inlineStr">
        <is>
          <t>PGCV_0028_2287</t>
        </is>
      </c>
      <c r="B2368" s="8" t="inlineStr">
        <is>
          <t>C35437</t>
        </is>
      </c>
      <c r="C2368" s="8" t="n"/>
      <c r="D2368" s="7" t="n">
        <v>28</v>
      </c>
      <c r="E2368" s="7" t="n">
        <v>2287</v>
      </c>
      <c r="F2368" s="7" t="inlineStr">
        <is>
          <t>Yes</t>
        </is>
      </c>
      <c r="G2368" s="8" t="n"/>
    </row>
    <row r="2369">
      <c r="A2369" s="8" t="inlineStr">
        <is>
          <t>PGCV_0028_2288</t>
        </is>
      </c>
      <c r="B2369" s="8" t="inlineStr">
        <is>
          <t>736B115165</t>
        </is>
      </c>
      <c r="C2369" s="8" t="n"/>
      <c r="D2369" s="7" t="n">
        <v>28</v>
      </c>
      <c r="E2369" s="7" t="n">
        <v>2288</v>
      </c>
      <c r="F2369" s="7" t="inlineStr">
        <is>
          <t>Yes</t>
        </is>
      </c>
      <c r="G2369" s="8" t="n"/>
    </row>
    <row r="2370">
      <c r="A2370" s="8" t="inlineStr">
        <is>
          <t>PGCV_0028_2289</t>
        </is>
      </c>
      <c r="B2370" s="8" t="inlineStr">
        <is>
          <t>736B115166</t>
        </is>
      </c>
      <c r="C2370" s="8" t="n"/>
      <c r="D2370" s="7" t="n">
        <v>28</v>
      </c>
      <c r="E2370" s="7" t="n">
        <v>2289</v>
      </c>
      <c r="F2370" s="7" t="inlineStr">
        <is>
          <t>Yes</t>
        </is>
      </c>
      <c r="G2370" s="8" t="n"/>
    </row>
    <row r="2371">
      <c r="A2371" s="8" t="inlineStr">
        <is>
          <t>PGCV_0028_2290</t>
        </is>
      </c>
      <c r="B2371" s="8" t="inlineStr">
        <is>
          <t>737B115181</t>
        </is>
      </c>
      <c r="C2371" s="8" t="n"/>
      <c r="D2371" s="7" t="n">
        <v>28</v>
      </c>
      <c r="E2371" s="7" t="n">
        <v>2290</v>
      </c>
      <c r="F2371" s="7" t="inlineStr">
        <is>
          <t>Yes</t>
        </is>
      </c>
      <c r="G2371" s="8" t="n"/>
    </row>
    <row r="2372">
      <c r="A2372" s="8" t="inlineStr">
        <is>
          <t>PGCV_0028_2291</t>
        </is>
      </c>
      <c r="B2372" s="8" t="inlineStr">
        <is>
          <t>737B115215</t>
        </is>
      </c>
      <c r="C2372" s="8" t="n"/>
      <c r="D2372" s="7" t="n">
        <v>28</v>
      </c>
      <c r="E2372" s="7" t="n">
        <v>2291</v>
      </c>
      <c r="F2372" s="7" t="inlineStr">
        <is>
          <t>Yes</t>
        </is>
      </c>
      <c r="G2372" s="8" t="n"/>
    </row>
    <row r="2373">
      <c r="A2373" s="8" t="inlineStr">
        <is>
          <t>PGCV_0028_2292</t>
        </is>
      </c>
      <c r="B2373" s="8" t="inlineStr">
        <is>
          <t>737B115216</t>
        </is>
      </c>
      <c r="C2373" s="8" t="n"/>
      <c r="D2373" s="7" t="n">
        <v>28</v>
      </c>
      <c r="E2373" s="7" t="n">
        <v>2292</v>
      </c>
      <c r="F2373" s="7" t="inlineStr">
        <is>
          <t>Yes</t>
        </is>
      </c>
      <c r="G2373" s="8" t="n"/>
    </row>
    <row r="2374">
      <c r="A2374" s="8" t="inlineStr">
        <is>
          <t>PGCV_0028_2293</t>
        </is>
      </c>
      <c r="B2374" s="8" t="inlineStr">
        <is>
          <t>738B115317</t>
        </is>
      </c>
      <c r="C2374" s="8" t="n"/>
      <c r="D2374" s="7" t="n">
        <v>28</v>
      </c>
      <c r="E2374" s="7" t="n">
        <v>2293</v>
      </c>
      <c r="F2374" s="7" t="inlineStr">
        <is>
          <t>Yes</t>
        </is>
      </c>
      <c r="G2374" s="8" t="n"/>
    </row>
    <row r="2375">
      <c r="A2375" s="8" t="inlineStr">
        <is>
          <t>PGCV_0028_2294</t>
        </is>
      </c>
      <c r="B2375" s="8" t="inlineStr">
        <is>
          <t>738B115319</t>
        </is>
      </c>
      <c r="C2375" s="8" t="n"/>
      <c r="D2375" s="7" t="n">
        <v>28</v>
      </c>
      <c r="E2375" s="7" t="n">
        <v>2294</v>
      </c>
      <c r="F2375" s="7" t="inlineStr">
        <is>
          <t>Yes</t>
        </is>
      </c>
      <c r="G2375" s="8" t="n"/>
    </row>
    <row r="2376">
      <c r="A2376" s="8" t="inlineStr">
        <is>
          <t>PGCV_0028_2295</t>
        </is>
      </c>
      <c r="B2376" s="8" t="inlineStr">
        <is>
          <t>739B115436</t>
        </is>
      </c>
      <c r="C2376" s="8" t="n"/>
      <c r="D2376" s="7" t="n">
        <v>28</v>
      </c>
      <c r="E2376" s="7" t="n">
        <v>2295</v>
      </c>
      <c r="F2376" s="7" t="inlineStr">
        <is>
          <t>Yes</t>
        </is>
      </c>
      <c r="G2376" s="8" t="n"/>
    </row>
    <row r="2377">
      <c r="A2377" s="8" t="inlineStr">
        <is>
          <t>PGCV_0028_2296</t>
        </is>
      </c>
      <c r="B2377" s="8" t="inlineStr">
        <is>
          <t>739B115438</t>
        </is>
      </c>
      <c r="C2377" s="8" t="n"/>
      <c r="D2377" s="7" t="n">
        <v>28</v>
      </c>
      <c r="E2377" s="7" t="n">
        <v>2296</v>
      </c>
      <c r="F2377" s="7" t="inlineStr">
        <is>
          <t>No</t>
        </is>
      </c>
      <c r="G2377" s="8" t="n"/>
    </row>
    <row r="2378">
      <c r="A2378" s="8" t="inlineStr">
        <is>
          <t>PGCV_0028_2297</t>
        </is>
      </c>
      <c r="B2378" s="8" t="inlineStr">
        <is>
          <t>739B115445</t>
        </is>
      </c>
      <c r="C2378" s="8" t="n"/>
      <c r="D2378" s="7" t="n">
        <v>28</v>
      </c>
      <c r="E2378" s="7" t="n">
        <v>2297</v>
      </c>
      <c r="F2378" s="7" t="inlineStr">
        <is>
          <t>Yes</t>
        </is>
      </c>
      <c r="G2378" s="8" t="n"/>
    </row>
    <row r="2379">
      <c r="A2379" s="8" t="inlineStr">
        <is>
          <t>PGCV_0028_2298</t>
        </is>
      </c>
      <c r="B2379" s="8" t="inlineStr">
        <is>
          <t>739B115448</t>
        </is>
      </c>
      <c r="C2379" s="8" t="n"/>
      <c r="D2379" s="7" t="n">
        <v>28</v>
      </c>
      <c r="E2379" s="7" t="n">
        <v>2298</v>
      </c>
      <c r="F2379" s="7" t="inlineStr">
        <is>
          <t>Yes</t>
        </is>
      </c>
      <c r="G2379" s="8" t="n"/>
    </row>
    <row r="2380">
      <c r="A2380" s="8" t="inlineStr">
        <is>
          <t>PGCV_0028_2299</t>
        </is>
      </c>
      <c r="B2380" s="8" t="inlineStr">
        <is>
          <t>739B115450</t>
        </is>
      </c>
      <c r="C2380" s="8" t="n"/>
      <c r="D2380" s="7" t="n">
        <v>28</v>
      </c>
      <c r="E2380" s="7" t="n">
        <v>2299</v>
      </c>
      <c r="F2380" s="7" t="inlineStr">
        <is>
          <t>Yes</t>
        </is>
      </c>
      <c r="G2380" s="8" t="n"/>
    </row>
    <row r="2381">
      <c r="A2381" s="8" t="inlineStr">
        <is>
          <t>PGCV_0028_2300</t>
        </is>
      </c>
      <c r="B2381" s="8" t="inlineStr">
        <is>
          <t>739B115508</t>
        </is>
      </c>
      <c r="C2381" s="8" t="n"/>
      <c r="D2381" s="7" t="n">
        <v>28</v>
      </c>
      <c r="E2381" s="7" t="n">
        <v>2300</v>
      </c>
      <c r="F2381" s="7" t="inlineStr">
        <is>
          <t>Yes</t>
        </is>
      </c>
      <c r="G2381" s="8" t="n"/>
    </row>
    <row r="2382">
      <c r="A2382" s="8" t="inlineStr">
        <is>
          <t>PGCV_0028_2301</t>
        </is>
      </c>
      <c r="B2382" s="8" t="inlineStr">
        <is>
          <t>739B115513</t>
        </is>
      </c>
      <c r="C2382" s="8" t="n"/>
      <c r="D2382" s="7" t="n">
        <v>28</v>
      </c>
      <c r="E2382" s="7" t="n">
        <v>2301</v>
      </c>
      <c r="F2382" s="7" t="inlineStr">
        <is>
          <t>Yes</t>
        </is>
      </c>
      <c r="G2382" s="8" t="n"/>
    </row>
    <row r="2383">
      <c r="A2383" s="8" t="inlineStr">
        <is>
          <t>PGCV_0028_2302</t>
        </is>
      </c>
      <c r="B2383" s="8" t="inlineStr">
        <is>
          <t>740B115561</t>
        </is>
      </c>
      <c r="C2383" s="8" t="n"/>
      <c r="D2383" s="7" t="n">
        <v>28</v>
      </c>
      <c r="E2383" s="7" t="n">
        <v>2302</v>
      </c>
      <c r="F2383" s="7" t="inlineStr">
        <is>
          <t>Yes</t>
        </is>
      </c>
      <c r="G2383" s="8" t="n"/>
    </row>
    <row r="2384">
      <c r="A2384" s="8" t="inlineStr">
        <is>
          <t>PGCV_0028_2303</t>
        </is>
      </c>
      <c r="B2384" s="8" t="inlineStr">
        <is>
          <t>740B115562</t>
        </is>
      </c>
      <c r="C2384" s="8" t="n"/>
      <c r="D2384" s="7" t="n">
        <v>28</v>
      </c>
      <c r="E2384" s="7" t="n">
        <v>2303</v>
      </c>
      <c r="F2384" s="7" t="inlineStr">
        <is>
          <t>Yes</t>
        </is>
      </c>
      <c r="G2384" s="8" t="n"/>
    </row>
    <row r="2385">
      <c r="A2385" s="8" t="inlineStr">
        <is>
          <t>PGCV_0028_2304</t>
        </is>
      </c>
      <c r="B2385" s="8" t="inlineStr">
        <is>
          <t>740B115567</t>
        </is>
      </c>
      <c r="C2385" s="8" t="n"/>
      <c r="D2385" s="7" t="n">
        <v>28</v>
      </c>
      <c r="E2385" s="7" t="n">
        <v>2304</v>
      </c>
      <c r="F2385" s="7" t="inlineStr">
        <is>
          <t>Yes</t>
        </is>
      </c>
      <c r="G2385" s="8" t="n"/>
    </row>
    <row r="2386">
      <c r="A2386" s="8" t="inlineStr">
        <is>
          <t>PGCV_0028_2305</t>
        </is>
      </c>
      <c r="B2386" s="8" t="inlineStr">
        <is>
          <t>740B115573</t>
        </is>
      </c>
      <c r="C2386" s="8" t="n"/>
      <c r="D2386" s="7" t="n">
        <v>28</v>
      </c>
      <c r="E2386" s="7" t="n">
        <v>2305</v>
      </c>
      <c r="F2386" s="7" t="inlineStr">
        <is>
          <t>Yes</t>
        </is>
      </c>
      <c r="G2386" s="8" t="n"/>
    </row>
    <row r="2387">
      <c r="A2387" s="8" t="inlineStr">
        <is>
          <t>PGCV_0028_2306</t>
        </is>
      </c>
      <c r="B2387" s="8" t="inlineStr">
        <is>
          <t>740B115607</t>
        </is>
      </c>
      <c r="C2387" s="8" t="n"/>
      <c r="D2387" s="7" t="n">
        <v>28</v>
      </c>
      <c r="E2387" s="7" t="n">
        <v>2306</v>
      </c>
      <c r="F2387" s="7" t="inlineStr">
        <is>
          <t>Yes</t>
        </is>
      </c>
      <c r="G2387" s="8" t="n"/>
    </row>
    <row r="2388">
      <c r="A2388" s="8" t="inlineStr">
        <is>
          <t>PGCV_0028_2307</t>
        </is>
      </c>
      <c r="B2388" s="8" t="inlineStr">
        <is>
          <t>741B115626</t>
        </is>
      </c>
      <c r="C2388" s="8" t="n"/>
      <c r="D2388" s="7" t="n">
        <v>28</v>
      </c>
      <c r="E2388" s="7" t="n">
        <v>2307</v>
      </c>
      <c r="F2388" s="7" t="inlineStr">
        <is>
          <t>Yes</t>
        </is>
      </c>
      <c r="G2388" s="8" t="n"/>
    </row>
    <row r="2389">
      <c r="A2389" s="8" t="inlineStr">
        <is>
          <t>PGCV_0028_2308</t>
        </is>
      </c>
      <c r="B2389" s="8" t="inlineStr">
        <is>
          <t>741B115627</t>
        </is>
      </c>
      <c r="C2389" s="8" t="n"/>
      <c r="D2389" s="7" t="n">
        <v>28</v>
      </c>
      <c r="E2389" s="7" t="n">
        <v>2308</v>
      </c>
      <c r="F2389" s="7" t="inlineStr">
        <is>
          <t>Yes</t>
        </is>
      </c>
      <c r="G2389" s="8" t="n"/>
    </row>
    <row r="2390">
      <c r="A2390" s="8" t="inlineStr">
        <is>
          <t>PGCV_0028_2309</t>
        </is>
      </c>
      <c r="B2390" s="8" t="inlineStr">
        <is>
          <t>741B115666</t>
        </is>
      </c>
      <c r="C2390" s="8" t="n"/>
      <c r="D2390" s="7" t="n">
        <v>28</v>
      </c>
      <c r="E2390" s="7" t="n">
        <v>2309</v>
      </c>
      <c r="F2390" s="7" t="inlineStr">
        <is>
          <t>No</t>
        </is>
      </c>
      <c r="G2390" s="8" t="n"/>
    </row>
    <row r="2391">
      <c r="A2391" s="8" t="inlineStr">
        <is>
          <t>PGCV_0028_2310</t>
        </is>
      </c>
      <c r="B2391" s="8" t="inlineStr">
        <is>
          <t>742B115762</t>
        </is>
      </c>
      <c r="C2391" s="8" t="n"/>
      <c r="D2391" s="7" t="n">
        <v>28</v>
      </c>
      <c r="E2391" s="7" t="n">
        <v>2310</v>
      </c>
      <c r="F2391" s="7" t="inlineStr">
        <is>
          <t>Yes</t>
        </is>
      </c>
      <c r="G2391" s="8" t="n"/>
    </row>
    <row r="2392">
      <c r="A2392" s="8" t="inlineStr">
        <is>
          <t>PGCV_0028_2311</t>
        </is>
      </c>
      <c r="B2392" s="8" t="inlineStr">
        <is>
          <t>742B115808</t>
        </is>
      </c>
      <c r="C2392" s="8" t="n"/>
      <c r="D2392" s="7" t="n">
        <v>28</v>
      </c>
      <c r="E2392" s="7" t="n">
        <v>2311</v>
      </c>
      <c r="F2392" s="7" t="inlineStr">
        <is>
          <t>Yes</t>
        </is>
      </c>
      <c r="G2392" s="8" t="n"/>
    </row>
    <row r="2393">
      <c r="A2393" s="8" t="inlineStr">
        <is>
          <t>PGCV_0028_2312</t>
        </is>
      </c>
      <c r="B2393" s="8" t="inlineStr">
        <is>
          <t>742B115812</t>
        </is>
      </c>
      <c r="C2393" s="8" t="n"/>
      <c r="D2393" s="7" t="n">
        <v>28</v>
      </c>
      <c r="E2393" s="7" t="n">
        <v>2312</v>
      </c>
      <c r="F2393" s="7" t="inlineStr">
        <is>
          <t>Yes</t>
        </is>
      </c>
      <c r="G2393" s="8" t="n"/>
    </row>
    <row r="2394">
      <c r="A2394" s="8" t="inlineStr">
        <is>
          <t>PGCV_0028_2313</t>
        </is>
      </c>
      <c r="B2394" s="8" t="inlineStr">
        <is>
          <t>742B115813</t>
        </is>
      </c>
      <c r="C2394" s="8" t="n"/>
      <c r="D2394" s="7" t="n">
        <v>28</v>
      </c>
      <c r="E2394" s="7" t="n">
        <v>2313</v>
      </c>
      <c r="F2394" s="7" t="inlineStr">
        <is>
          <t>Yes</t>
        </is>
      </c>
      <c r="G2394" s="8" t="n"/>
    </row>
    <row r="2395">
      <c r="A2395" s="8" t="inlineStr">
        <is>
          <t>PGCV_0028_2314</t>
        </is>
      </c>
      <c r="B2395" s="8" t="inlineStr">
        <is>
          <t>743B116006</t>
        </is>
      </c>
      <c r="C2395" s="8" t="n"/>
      <c r="D2395" s="7" t="n">
        <v>28</v>
      </c>
      <c r="E2395" s="7" t="n">
        <v>2314</v>
      </c>
      <c r="F2395" s="7" t="inlineStr">
        <is>
          <t>Yes</t>
        </is>
      </c>
      <c r="G2395" s="8" t="n"/>
    </row>
    <row r="2396">
      <c r="A2396" s="8" t="inlineStr">
        <is>
          <t>PGCV_0028_2315</t>
        </is>
      </c>
      <c r="B2396" s="8" t="inlineStr">
        <is>
          <t>743B116008</t>
        </is>
      </c>
      <c r="C2396" s="8" t="n"/>
      <c r="D2396" s="7" t="n">
        <v>28</v>
      </c>
      <c r="E2396" s="7" t="n">
        <v>2315</v>
      </c>
      <c r="F2396" s="7" t="inlineStr">
        <is>
          <t>Yes</t>
        </is>
      </c>
      <c r="G2396" s="8" t="n"/>
    </row>
    <row r="2397">
      <c r="A2397" s="8" t="inlineStr">
        <is>
          <t>PGCV_0029_2316</t>
        </is>
      </c>
      <c r="B2397" s="8" t="inlineStr">
        <is>
          <t>COVID-SNL-22-78565</t>
        </is>
      </c>
      <c r="C2397" s="8" t="n"/>
      <c r="D2397" s="7" t="n">
        <v>29</v>
      </c>
      <c r="E2397" s="7" t="n">
        <v>2316</v>
      </c>
      <c r="F2397" s="7" t="inlineStr">
        <is>
          <t>Yes</t>
        </is>
      </c>
      <c r="G2397" s="8" t="n"/>
    </row>
    <row r="2398">
      <c r="A2398" s="8" t="inlineStr">
        <is>
          <t>PGCV_0029_2317</t>
        </is>
      </c>
      <c r="B2398" s="8" t="inlineStr">
        <is>
          <t>COVID-SNL-22-78568</t>
        </is>
      </c>
      <c r="C2398" s="8" t="n"/>
      <c r="D2398" s="7" t="n">
        <v>29</v>
      </c>
      <c r="E2398" s="7" t="n">
        <v>2317</v>
      </c>
      <c r="F2398" s="7" t="inlineStr">
        <is>
          <t>Yes</t>
        </is>
      </c>
      <c r="G2398" s="8" t="n"/>
    </row>
    <row r="2399">
      <c r="A2399" s="8" t="inlineStr">
        <is>
          <t>PGCV_0029_2318</t>
        </is>
      </c>
      <c r="B2399" s="8" t="inlineStr">
        <is>
          <t>COVID-SNL-22-78595</t>
        </is>
      </c>
      <c r="C2399" s="8" t="n"/>
      <c r="D2399" s="7" t="n">
        <v>29</v>
      </c>
      <c r="E2399" s="7" t="n">
        <v>2318</v>
      </c>
      <c r="F2399" s="7" t="inlineStr">
        <is>
          <t>Yes</t>
        </is>
      </c>
      <c r="G2399" s="8" t="n"/>
    </row>
    <row r="2400">
      <c r="A2400" s="8" t="inlineStr">
        <is>
          <t>PGCV_0029_2319</t>
        </is>
      </c>
      <c r="B2400" s="8" t="inlineStr">
        <is>
          <t>COVID-SNL-22-78596</t>
        </is>
      </c>
      <c r="C2400" s="8" t="n"/>
      <c r="D2400" s="7" t="n">
        <v>29</v>
      </c>
      <c r="E2400" s="7" t="n">
        <v>2319</v>
      </c>
      <c r="F2400" s="7" t="inlineStr">
        <is>
          <t>Yes</t>
        </is>
      </c>
      <c r="G2400" s="8" t="n"/>
    </row>
    <row r="2401">
      <c r="A2401" s="8" t="inlineStr">
        <is>
          <t>PGCV_0029_2320</t>
        </is>
      </c>
      <c r="B2401" s="8" t="inlineStr">
        <is>
          <t>COVID-SNL-22-78605</t>
        </is>
      </c>
      <c r="C2401" s="8" t="n"/>
      <c r="D2401" s="7" t="n">
        <v>29</v>
      </c>
      <c r="E2401" s="7" t="n">
        <v>2320</v>
      </c>
      <c r="F2401" s="7" t="inlineStr">
        <is>
          <t>Yes</t>
        </is>
      </c>
      <c r="G2401" s="8" t="n"/>
    </row>
    <row r="2402">
      <c r="A2402" s="8" t="inlineStr">
        <is>
          <t>PGCV_0029_2321</t>
        </is>
      </c>
      <c r="B2402" s="8" t="inlineStr">
        <is>
          <t>COVID-SNL-22-78654</t>
        </is>
      </c>
      <c r="C2402" s="8" t="n"/>
      <c r="D2402" s="7" t="n">
        <v>29</v>
      </c>
      <c r="E2402" s="7" t="n">
        <v>2321</v>
      </c>
      <c r="F2402" s="7" t="inlineStr">
        <is>
          <t>Yes</t>
        </is>
      </c>
      <c r="G2402" s="8" t="n"/>
    </row>
    <row r="2403">
      <c r="A2403" s="8" t="inlineStr">
        <is>
          <t>PGCV_0029_2322</t>
        </is>
      </c>
      <c r="B2403" s="8" t="inlineStr">
        <is>
          <t>COVID-SNL-22-78667</t>
        </is>
      </c>
      <c r="C2403" s="8" t="n"/>
      <c r="D2403" s="7" t="n">
        <v>29</v>
      </c>
      <c r="E2403" s="7" t="n">
        <v>2322</v>
      </c>
      <c r="F2403" s="7" t="inlineStr">
        <is>
          <t>Yes</t>
        </is>
      </c>
      <c r="G2403" s="8" t="n"/>
    </row>
    <row r="2404">
      <c r="A2404" s="8" t="inlineStr">
        <is>
          <t>PGCV_0029_2323</t>
        </is>
      </c>
      <c r="B2404" s="8" t="inlineStr">
        <is>
          <t>COVID-SNL-22-78681</t>
        </is>
      </c>
      <c r="C2404" s="8" t="n"/>
      <c r="D2404" s="7" t="n">
        <v>29</v>
      </c>
      <c r="E2404" s="7" t="n">
        <v>2323</v>
      </c>
      <c r="F2404" s="7" t="inlineStr">
        <is>
          <t>Yes</t>
        </is>
      </c>
      <c r="G2404" s="8" t="n"/>
    </row>
    <row r="2405">
      <c r="A2405" s="8" t="inlineStr">
        <is>
          <t>PGCV_0029_2324</t>
        </is>
      </c>
      <c r="B2405" s="8" t="inlineStr">
        <is>
          <t>COVID-SNL-22-78706</t>
        </is>
      </c>
      <c r="C2405" s="8" t="n"/>
      <c r="D2405" s="7" t="n">
        <v>29</v>
      </c>
      <c r="E2405" s="7" t="n">
        <v>2324</v>
      </c>
      <c r="F2405" s="7" t="inlineStr">
        <is>
          <t>Yes</t>
        </is>
      </c>
      <c r="G2405" s="8" t="n"/>
    </row>
    <row r="2406">
      <c r="A2406" s="8" t="inlineStr">
        <is>
          <t>PGCV_0029_2325</t>
        </is>
      </c>
      <c r="B2406" s="8" t="inlineStr">
        <is>
          <t>COVID-SNL-22-78738</t>
        </is>
      </c>
      <c r="C2406" s="8" t="n"/>
      <c r="D2406" s="7" t="n">
        <v>29</v>
      </c>
      <c r="E2406" s="7" t="n">
        <v>2325</v>
      </c>
      <c r="F2406" s="7" t="inlineStr">
        <is>
          <t>Yes</t>
        </is>
      </c>
      <c r="G2406" s="8" t="n"/>
    </row>
    <row r="2407">
      <c r="A2407" s="8" t="inlineStr">
        <is>
          <t>PGCV_0029_2326</t>
        </is>
      </c>
      <c r="B2407" s="8" t="inlineStr">
        <is>
          <t>COVID-SNL-22-78755</t>
        </is>
      </c>
      <c r="C2407" s="8" t="n"/>
      <c r="D2407" s="7" t="n">
        <v>29</v>
      </c>
      <c r="E2407" s="7" t="n">
        <v>2326</v>
      </c>
      <c r="F2407" s="7" t="inlineStr">
        <is>
          <t>Yes</t>
        </is>
      </c>
      <c r="G2407" s="8" t="n"/>
    </row>
    <row r="2408">
      <c r="A2408" s="8" t="inlineStr">
        <is>
          <t>PGCV_0029_2327</t>
        </is>
      </c>
      <c r="B2408" s="8" t="inlineStr">
        <is>
          <t>COVID-SNL-22-78772</t>
        </is>
      </c>
      <c r="C2408" s="8" t="n"/>
      <c r="D2408" s="7" t="n">
        <v>29</v>
      </c>
      <c r="E2408" s="7" t="n">
        <v>2327</v>
      </c>
      <c r="F2408" s="7" t="inlineStr">
        <is>
          <t>Yes</t>
        </is>
      </c>
      <c r="G2408" s="8" t="n"/>
    </row>
    <row r="2409">
      <c r="A2409" s="8" t="inlineStr">
        <is>
          <t>PGCV_0029_2328</t>
        </is>
      </c>
      <c r="B2409" s="8" t="inlineStr">
        <is>
          <t>COVID-SNL-22-78792</t>
        </is>
      </c>
      <c r="C2409" s="8" t="n"/>
      <c r="D2409" s="7" t="n">
        <v>29</v>
      </c>
      <c r="E2409" s="7" t="n">
        <v>2328</v>
      </c>
      <c r="F2409" s="7" t="inlineStr">
        <is>
          <t>Yes</t>
        </is>
      </c>
      <c r="G2409" s="8" t="n"/>
    </row>
    <row r="2410">
      <c r="A2410" s="8" t="inlineStr">
        <is>
          <t>PGCV_0029_2329</t>
        </is>
      </c>
      <c r="B2410" s="8" t="inlineStr">
        <is>
          <t>COVID-SNL-22-78810</t>
        </is>
      </c>
      <c r="C2410" s="8" t="n"/>
      <c r="D2410" s="7" t="n">
        <v>29</v>
      </c>
      <c r="E2410" s="7" t="n">
        <v>2329</v>
      </c>
      <c r="F2410" s="7" t="inlineStr">
        <is>
          <t>Yes</t>
        </is>
      </c>
      <c r="G2410" s="8" t="n"/>
    </row>
    <row r="2411">
      <c r="A2411" s="8" t="inlineStr">
        <is>
          <t>PGCV_0029_2330</t>
        </is>
      </c>
      <c r="B2411" s="8" t="inlineStr">
        <is>
          <t>COVID-SNL-22-78815</t>
        </is>
      </c>
      <c r="C2411" s="8" t="n"/>
      <c r="D2411" s="7" t="n">
        <v>29</v>
      </c>
      <c r="E2411" s="7" t="n">
        <v>2330</v>
      </c>
      <c r="F2411" s="7" t="inlineStr">
        <is>
          <t>Yes</t>
        </is>
      </c>
      <c r="G2411" s="8" t="n"/>
    </row>
    <row r="2412">
      <c r="A2412" s="8" t="inlineStr">
        <is>
          <t>PGCV_0029_2331</t>
        </is>
      </c>
      <c r="B2412" s="8" t="inlineStr">
        <is>
          <t>COVID-SNL-22-78986</t>
        </is>
      </c>
      <c r="C2412" s="8" t="n"/>
      <c r="D2412" s="7" t="n">
        <v>29</v>
      </c>
      <c r="E2412" s="7" t="n">
        <v>2331</v>
      </c>
      <c r="F2412" s="7" t="inlineStr">
        <is>
          <t>Yes</t>
        </is>
      </c>
      <c r="G2412" s="8" t="n"/>
    </row>
    <row r="2413">
      <c r="A2413" s="8" t="inlineStr">
        <is>
          <t>PGCV_0029_2332</t>
        </is>
      </c>
      <c r="B2413" s="8" t="inlineStr">
        <is>
          <t>COVID-SNL-22-79006</t>
        </is>
      </c>
      <c r="C2413" s="8" t="n"/>
      <c r="D2413" s="7" t="n">
        <v>29</v>
      </c>
      <c r="E2413" s="7" t="n">
        <v>2332</v>
      </c>
      <c r="F2413" s="7" t="inlineStr">
        <is>
          <t>Yes</t>
        </is>
      </c>
      <c r="G2413" s="8" t="n"/>
    </row>
    <row r="2414">
      <c r="A2414" s="8" t="inlineStr">
        <is>
          <t>PGCV_0029_2333</t>
        </is>
      </c>
      <c r="B2414" s="8" t="inlineStr">
        <is>
          <t>COVID-SNL-22-79008</t>
        </is>
      </c>
      <c r="C2414" s="8" t="n"/>
      <c r="D2414" s="7" t="n">
        <v>29</v>
      </c>
      <c r="E2414" s="7" t="n">
        <v>2333</v>
      </c>
      <c r="F2414" s="7" t="inlineStr">
        <is>
          <t>Yes</t>
        </is>
      </c>
      <c r="G2414" s="8" t="n"/>
    </row>
    <row r="2415">
      <c r="A2415" s="8" t="inlineStr">
        <is>
          <t>PGCV_0029_2334</t>
        </is>
      </c>
      <c r="B2415" s="8" t="inlineStr">
        <is>
          <t>COVID-SNL-22-78872</t>
        </is>
      </c>
      <c r="C2415" s="8" t="n"/>
      <c r="D2415" s="7" t="n">
        <v>29</v>
      </c>
      <c r="E2415" s="7" t="n">
        <v>2334</v>
      </c>
      <c r="F2415" s="7" t="inlineStr">
        <is>
          <t>Yes</t>
        </is>
      </c>
      <c r="G2415" s="8" t="n"/>
    </row>
    <row r="2416">
      <c r="A2416" s="8" t="inlineStr">
        <is>
          <t>PGCV_0029_2335</t>
        </is>
      </c>
      <c r="B2416" s="8" t="inlineStr">
        <is>
          <t>COVID-SNL-22-78877</t>
        </is>
      </c>
      <c r="C2416" s="8" t="n"/>
      <c r="D2416" s="7" t="n">
        <v>29</v>
      </c>
      <c r="E2416" s="7" t="n">
        <v>2335</v>
      </c>
      <c r="F2416" s="7" t="inlineStr">
        <is>
          <t>Yes</t>
        </is>
      </c>
      <c r="G2416" s="8" t="n"/>
    </row>
    <row r="2417">
      <c r="A2417" s="8" t="inlineStr">
        <is>
          <t>PGCV_0029_2336</t>
        </is>
      </c>
      <c r="B2417" s="8" t="inlineStr">
        <is>
          <t>COVID-SNL-22-78893</t>
        </is>
      </c>
      <c r="C2417" s="8" t="n"/>
      <c r="D2417" s="7" t="n">
        <v>29</v>
      </c>
      <c r="E2417" s="7" t="n">
        <v>2336</v>
      </c>
      <c r="F2417" s="7" t="inlineStr">
        <is>
          <t>Yes</t>
        </is>
      </c>
      <c r="G2417" s="8" t="n"/>
    </row>
    <row r="2418">
      <c r="A2418" s="8" t="inlineStr">
        <is>
          <t>PGCV_0029_2337</t>
        </is>
      </c>
      <c r="B2418" s="8" t="inlineStr">
        <is>
          <t>COVID-SNL-22-78909</t>
        </is>
      </c>
      <c r="C2418" s="8" t="n"/>
      <c r="D2418" s="7" t="n">
        <v>29</v>
      </c>
      <c r="E2418" s="7" t="n">
        <v>2337</v>
      </c>
      <c r="F2418" s="7" t="inlineStr">
        <is>
          <t>Yes</t>
        </is>
      </c>
      <c r="G2418" s="8" t="n"/>
    </row>
    <row r="2419">
      <c r="A2419" s="8" t="inlineStr">
        <is>
          <t>PGCV_0029_2338</t>
        </is>
      </c>
      <c r="B2419" s="8" t="inlineStr">
        <is>
          <t>COVID-SNL-22-78919</t>
        </is>
      </c>
      <c r="C2419" s="8" t="n"/>
      <c r="D2419" s="7" t="n">
        <v>29</v>
      </c>
      <c r="E2419" s="7" t="n">
        <v>2338</v>
      </c>
      <c r="F2419" s="7" t="inlineStr">
        <is>
          <t>Yes</t>
        </is>
      </c>
      <c r="G2419" s="8" t="n"/>
    </row>
    <row r="2420">
      <c r="A2420" s="8" t="inlineStr">
        <is>
          <t>PGCV_0029_2339</t>
        </is>
      </c>
      <c r="B2420" s="8" t="inlineStr">
        <is>
          <t>COVID-SNL-22-78925</t>
        </is>
      </c>
      <c r="C2420" s="8" t="n"/>
      <c r="D2420" s="7" t="n">
        <v>29</v>
      </c>
      <c r="E2420" s="7" t="n">
        <v>2339</v>
      </c>
      <c r="F2420" s="7" t="inlineStr">
        <is>
          <t>Yes</t>
        </is>
      </c>
      <c r="G2420" s="8" t="n"/>
    </row>
    <row r="2421">
      <c r="A2421" s="8" t="inlineStr">
        <is>
          <t>PGCV_0029_2340</t>
        </is>
      </c>
      <c r="B2421" s="8" t="inlineStr">
        <is>
          <t>COVID-SNL-22-78953</t>
        </is>
      </c>
      <c r="C2421" s="8" t="n"/>
      <c r="D2421" s="7" t="n">
        <v>29</v>
      </c>
      <c r="E2421" s="7" t="n">
        <v>2340</v>
      </c>
      <c r="F2421" s="7" t="inlineStr">
        <is>
          <t>Yes</t>
        </is>
      </c>
      <c r="G2421" s="8" t="n"/>
    </row>
    <row r="2422">
      <c r="A2422" s="8" t="inlineStr">
        <is>
          <t>PGCV_0029_2341</t>
        </is>
      </c>
      <c r="B2422" s="8" t="inlineStr">
        <is>
          <t>COVID-SNL-22-78956</t>
        </is>
      </c>
      <c r="C2422" s="8" t="n"/>
      <c r="D2422" s="7" t="n">
        <v>29</v>
      </c>
      <c r="E2422" s="7" t="n">
        <v>2341</v>
      </c>
      <c r="F2422" s="7" t="inlineStr">
        <is>
          <t>No</t>
        </is>
      </c>
      <c r="G2422" s="8" t="n"/>
    </row>
    <row r="2423">
      <c r="A2423" s="8" t="inlineStr">
        <is>
          <t>PGCV_0029_2342</t>
        </is>
      </c>
      <c r="B2423" s="8" t="inlineStr">
        <is>
          <t>COVID-SNL-22-79036</t>
        </is>
      </c>
      <c r="C2423" s="8" t="n"/>
      <c r="D2423" s="7" t="n">
        <v>29</v>
      </c>
      <c r="E2423" s="7" t="n">
        <v>2342</v>
      </c>
      <c r="F2423" s="7" t="inlineStr">
        <is>
          <t>Yes</t>
        </is>
      </c>
      <c r="G2423" s="8" t="n"/>
    </row>
    <row r="2424">
      <c r="A2424" s="8" t="inlineStr">
        <is>
          <t>PGCV_0029_2343</t>
        </is>
      </c>
      <c r="B2424" s="8" t="inlineStr">
        <is>
          <t>COVID-SNL-22-79084</t>
        </is>
      </c>
      <c r="C2424" s="8" t="n"/>
      <c r="D2424" s="7" t="n">
        <v>29</v>
      </c>
      <c r="E2424" s="7" t="n">
        <v>2343</v>
      </c>
      <c r="F2424" s="7" t="inlineStr">
        <is>
          <t>Yes</t>
        </is>
      </c>
      <c r="G2424" s="8" t="n"/>
    </row>
    <row r="2425">
      <c r="A2425" s="8" t="inlineStr">
        <is>
          <t>PGCV_0029_2344</t>
        </is>
      </c>
      <c r="B2425" s="8" t="inlineStr">
        <is>
          <t>COVID-SNL-22-79085</t>
        </is>
      </c>
      <c r="C2425" s="8" t="n"/>
      <c r="D2425" s="7" t="n">
        <v>29</v>
      </c>
      <c r="E2425" s="7" t="n">
        <v>2344</v>
      </c>
      <c r="F2425" s="7" t="inlineStr">
        <is>
          <t>Yes</t>
        </is>
      </c>
      <c r="G2425" s="8" t="n"/>
    </row>
    <row r="2426">
      <c r="A2426" s="8" t="inlineStr">
        <is>
          <t>PGCV_0029_2345</t>
        </is>
      </c>
      <c r="B2426" s="8" t="inlineStr">
        <is>
          <t>COVID-SNL-22-79149</t>
        </is>
      </c>
      <c r="C2426" s="8" t="n"/>
      <c r="D2426" s="7" t="n">
        <v>29</v>
      </c>
      <c r="E2426" s="7" t="n">
        <v>2345</v>
      </c>
      <c r="F2426" s="7" t="inlineStr">
        <is>
          <t>Yes</t>
        </is>
      </c>
      <c r="G2426" s="8" t="n"/>
    </row>
    <row r="2427">
      <c r="A2427" s="8" t="inlineStr">
        <is>
          <t>PGCV_0029_2346</t>
        </is>
      </c>
      <c r="B2427" s="8" t="inlineStr">
        <is>
          <t>COVID-SNL-22-79199</t>
        </is>
      </c>
      <c r="C2427" s="8" t="n"/>
      <c r="D2427" s="7" t="n">
        <v>29</v>
      </c>
      <c r="E2427" s="7" t="n">
        <v>2346</v>
      </c>
      <c r="F2427" s="7" t="inlineStr">
        <is>
          <t>Yes</t>
        </is>
      </c>
      <c r="G2427" s="8" t="n"/>
    </row>
    <row r="2428">
      <c r="A2428" s="8" t="inlineStr">
        <is>
          <t>PGCV_0029_2347</t>
        </is>
      </c>
      <c r="B2428" s="8" t="inlineStr">
        <is>
          <t>COVID-SNL-22-79223</t>
        </is>
      </c>
      <c r="C2428" s="8" t="n"/>
      <c r="D2428" s="7" t="n">
        <v>29</v>
      </c>
      <c r="E2428" s="7" t="n">
        <v>2347</v>
      </c>
      <c r="F2428" s="7" t="inlineStr">
        <is>
          <t>Yes</t>
        </is>
      </c>
      <c r="G2428" s="8" t="n"/>
    </row>
    <row r="2429">
      <c r="A2429" s="8" t="inlineStr">
        <is>
          <t>PGCV_0029_2348</t>
        </is>
      </c>
      <c r="B2429" s="8" t="inlineStr">
        <is>
          <t>COVID-SNL-22-79234</t>
        </is>
      </c>
      <c r="C2429" s="8" t="n"/>
      <c r="D2429" s="7" t="n">
        <v>29</v>
      </c>
      <c r="E2429" s="7" t="n">
        <v>2348</v>
      </c>
      <c r="F2429" s="7" t="inlineStr">
        <is>
          <t>Yes</t>
        </is>
      </c>
      <c r="G2429" s="8" t="n"/>
    </row>
    <row r="2430">
      <c r="A2430" s="8" t="inlineStr">
        <is>
          <t>PGCV_0029_2349</t>
        </is>
      </c>
      <c r="B2430" s="8" t="inlineStr">
        <is>
          <t>COVID-SNL-22-79236</t>
        </is>
      </c>
      <c r="C2430" s="8" t="n"/>
      <c r="D2430" s="7" t="n">
        <v>29</v>
      </c>
      <c r="E2430" s="7" t="n">
        <v>2349</v>
      </c>
      <c r="F2430" s="7" t="inlineStr">
        <is>
          <t>Yes</t>
        </is>
      </c>
      <c r="G2430" s="8" t="n"/>
    </row>
    <row r="2431">
      <c r="A2431" s="8" t="inlineStr">
        <is>
          <t>PGCV_0029_2350</t>
        </is>
      </c>
      <c r="B2431" s="8" t="inlineStr">
        <is>
          <t>COVID-SNL-22-79250</t>
        </is>
      </c>
      <c r="C2431" s="8" t="n"/>
      <c r="D2431" s="7" t="n">
        <v>29</v>
      </c>
      <c r="E2431" s="7" t="n">
        <v>2350</v>
      </c>
      <c r="F2431" s="7" t="inlineStr">
        <is>
          <t>Yes</t>
        </is>
      </c>
      <c r="G2431" s="8" t="n"/>
    </row>
    <row r="2432">
      <c r="A2432" s="8" t="inlineStr">
        <is>
          <t>PGCV_0029_2351</t>
        </is>
      </c>
      <c r="B2432" s="8" t="inlineStr">
        <is>
          <t>COVID-SNL-22-79252</t>
        </is>
      </c>
      <c r="C2432" s="8" t="n"/>
      <c r="D2432" s="7" t="n">
        <v>29</v>
      </c>
      <c r="E2432" s="7" t="n">
        <v>2351</v>
      </c>
      <c r="F2432" s="7" t="inlineStr">
        <is>
          <t>Yes</t>
        </is>
      </c>
      <c r="G2432" s="8" t="n"/>
    </row>
    <row r="2433">
      <c r="A2433" s="8" t="inlineStr">
        <is>
          <t>PGCV_0029_2352</t>
        </is>
      </c>
      <c r="B2433" s="8" t="inlineStr">
        <is>
          <t>COVID-SNL-22-79290</t>
        </is>
      </c>
      <c r="C2433" s="8" t="n"/>
      <c r="D2433" s="7" t="n">
        <v>29</v>
      </c>
      <c r="E2433" s="7" t="n">
        <v>2352</v>
      </c>
      <c r="F2433" s="7" t="inlineStr">
        <is>
          <t>Yes</t>
        </is>
      </c>
      <c r="G2433" s="8" t="n"/>
    </row>
    <row r="2434">
      <c r="A2434" s="8" t="inlineStr">
        <is>
          <t>PGCV_0029_2353</t>
        </is>
      </c>
      <c r="B2434" s="8" t="inlineStr">
        <is>
          <t>COVID-SNL-22-79298</t>
        </is>
      </c>
      <c r="C2434" s="8" t="n"/>
      <c r="D2434" s="7" t="n">
        <v>29</v>
      </c>
      <c r="E2434" s="7" t="n">
        <v>2353</v>
      </c>
      <c r="F2434" s="7" t="inlineStr">
        <is>
          <t>Yes</t>
        </is>
      </c>
      <c r="G2434" s="8" t="n"/>
    </row>
    <row r="2435">
      <c r="A2435" s="8" t="inlineStr">
        <is>
          <t>PGCV_0029_2354</t>
        </is>
      </c>
      <c r="B2435" s="8" t="inlineStr">
        <is>
          <t>COVID-SNL-22-79326</t>
        </is>
      </c>
      <c r="C2435" s="8" t="n"/>
      <c r="D2435" s="7" t="n">
        <v>29</v>
      </c>
      <c r="E2435" s="7" t="n">
        <v>2354</v>
      </c>
      <c r="F2435" s="7" t="inlineStr">
        <is>
          <t>Yes</t>
        </is>
      </c>
      <c r="G2435" s="8" t="n"/>
    </row>
    <row r="2436">
      <c r="A2436" s="8" t="inlineStr">
        <is>
          <t>PGCV_0029_2355</t>
        </is>
      </c>
      <c r="B2436" s="8" t="inlineStr">
        <is>
          <t>COVID-SNL-22-79331</t>
        </is>
      </c>
      <c r="C2436" s="8" t="n"/>
      <c r="D2436" s="7" t="n">
        <v>29</v>
      </c>
      <c r="E2436" s="7" t="n">
        <v>2355</v>
      </c>
      <c r="F2436" s="7" t="inlineStr">
        <is>
          <t>Yes</t>
        </is>
      </c>
      <c r="G2436" s="8" t="n"/>
    </row>
    <row r="2437">
      <c r="A2437" s="8" t="inlineStr">
        <is>
          <t>PGCV_0029_2356</t>
        </is>
      </c>
      <c r="B2437" s="8" t="inlineStr">
        <is>
          <t>COVID-SNL-22-79332</t>
        </is>
      </c>
      <c r="C2437" s="8" t="n"/>
      <c r="D2437" s="7" t="n">
        <v>29</v>
      </c>
      <c r="E2437" s="7" t="n">
        <v>2356</v>
      </c>
      <c r="F2437" s="7" t="inlineStr">
        <is>
          <t>Yes</t>
        </is>
      </c>
      <c r="G2437" s="8" t="n"/>
    </row>
    <row r="2438">
      <c r="A2438" s="8" t="inlineStr">
        <is>
          <t>PGCV_0029_2357</t>
        </is>
      </c>
      <c r="B2438" s="8" t="inlineStr">
        <is>
          <t>COVID-SNL-22-79369</t>
        </is>
      </c>
      <c r="C2438" s="8" t="n"/>
      <c r="D2438" s="7" t="n">
        <v>29</v>
      </c>
      <c r="E2438" s="7" t="n">
        <v>2357</v>
      </c>
      <c r="F2438" s="7" t="inlineStr">
        <is>
          <t>Yes</t>
        </is>
      </c>
      <c r="G2438" s="8" t="n"/>
    </row>
    <row r="2439">
      <c r="A2439" s="8" t="inlineStr">
        <is>
          <t>PGCV_0029_2358</t>
        </is>
      </c>
      <c r="B2439" s="8" t="inlineStr">
        <is>
          <t>COVID-SNL-22-79370</t>
        </is>
      </c>
      <c r="C2439" s="8" t="n"/>
      <c r="D2439" s="7" t="n">
        <v>29</v>
      </c>
      <c r="E2439" s="7" t="n">
        <v>2358</v>
      </c>
      <c r="F2439" s="7" t="inlineStr">
        <is>
          <t>Yes</t>
        </is>
      </c>
      <c r="G2439" s="8" t="n"/>
    </row>
    <row r="2440">
      <c r="A2440" s="8" t="inlineStr">
        <is>
          <t>PGCV_0029_2359</t>
        </is>
      </c>
      <c r="B2440" s="8" t="inlineStr">
        <is>
          <t>COVID-SNL-22-79375</t>
        </is>
      </c>
      <c r="C2440" s="8" t="n"/>
      <c r="D2440" s="7" t="n">
        <v>29</v>
      </c>
      <c r="E2440" s="7" t="n">
        <v>2359</v>
      </c>
      <c r="F2440" s="7" t="inlineStr">
        <is>
          <t>Yes</t>
        </is>
      </c>
      <c r="G2440" s="8" t="n"/>
    </row>
    <row r="2441">
      <c r="A2441" s="8" t="inlineStr">
        <is>
          <t>PGCV_0029_2360</t>
        </is>
      </c>
      <c r="B2441" s="8" t="inlineStr">
        <is>
          <t>COVID-SNL-22-79308</t>
        </is>
      </c>
      <c r="C2441" s="8" t="n"/>
      <c r="D2441" s="7" t="n">
        <v>29</v>
      </c>
      <c r="E2441" s="7" t="n">
        <v>2360</v>
      </c>
      <c r="F2441" s="7" t="inlineStr">
        <is>
          <t>Yes</t>
        </is>
      </c>
      <c r="G2441" s="8" t="n"/>
    </row>
    <row r="2442">
      <c r="A2442" s="8" t="inlineStr">
        <is>
          <t>PGCV_0029_2361</t>
        </is>
      </c>
      <c r="B2442" s="8" t="inlineStr">
        <is>
          <t>COVID-SNL-22-79310</t>
        </is>
      </c>
      <c r="C2442" s="8" t="n"/>
      <c r="D2442" s="7" t="n">
        <v>29</v>
      </c>
      <c r="E2442" s="7" t="n">
        <v>2361</v>
      </c>
      <c r="F2442" s="7" t="inlineStr">
        <is>
          <t>Yes</t>
        </is>
      </c>
      <c r="G2442" s="8" t="n"/>
    </row>
    <row r="2443">
      <c r="A2443" s="8" t="inlineStr">
        <is>
          <t>PGCV_0029_2362</t>
        </is>
      </c>
      <c r="B2443" s="8" t="inlineStr">
        <is>
          <t>COVID-SNL-22-79311</t>
        </is>
      </c>
      <c r="C2443" s="8" t="n"/>
      <c r="D2443" s="7" t="n">
        <v>29</v>
      </c>
      <c r="E2443" s="7" t="n">
        <v>2362</v>
      </c>
      <c r="F2443" s="7" t="inlineStr">
        <is>
          <t>Yes</t>
        </is>
      </c>
      <c r="G2443" s="8" t="n"/>
    </row>
    <row r="2444">
      <c r="A2444" s="8" t="inlineStr">
        <is>
          <t>PGCV_0029_2363</t>
        </is>
      </c>
      <c r="B2444" s="8" t="inlineStr">
        <is>
          <t>COVID-SNL-22-79389</t>
        </is>
      </c>
      <c r="C2444" s="8" t="n"/>
      <c r="D2444" s="7" t="n">
        <v>29</v>
      </c>
      <c r="E2444" s="7" t="n">
        <v>2363</v>
      </c>
      <c r="F2444" s="7" t="inlineStr">
        <is>
          <t>Yes</t>
        </is>
      </c>
      <c r="G2444" s="8" t="n"/>
    </row>
    <row r="2445">
      <c r="A2445" s="8" t="inlineStr">
        <is>
          <t>PGCV_0029_2364</t>
        </is>
      </c>
      <c r="B2445" s="8" t="inlineStr">
        <is>
          <t>COVID-SNL-22-79402</t>
        </is>
      </c>
      <c r="C2445" s="8" t="n"/>
      <c r="D2445" s="7" t="n">
        <v>29</v>
      </c>
      <c r="E2445" s="7" t="n">
        <v>2364</v>
      </c>
      <c r="F2445" s="7" t="inlineStr">
        <is>
          <t>Yes</t>
        </is>
      </c>
      <c r="G2445" s="8" t="n"/>
    </row>
    <row r="2446">
      <c r="A2446" s="8" t="inlineStr">
        <is>
          <t>PGCV_0029_2365</t>
        </is>
      </c>
      <c r="B2446" s="8" t="inlineStr">
        <is>
          <t>COVID-SNL-22-79403</t>
        </is>
      </c>
      <c r="C2446" s="8" t="n"/>
      <c r="D2446" s="7" t="n">
        <v>29</v>
      </c>
      <c r="E2446" s="7" t="n">
        <v>2365</v>
      </c>
      <c r="F2446" s="7" t="inlineStr">
        <is>
          <t>Yes</t>
        </is>
      </c>
      <c r="G2446" s="8" t="n"/>
    </row>
    <row r="2447">
      <c r="A2447" s="8" t="inlineStr">
        <is>
          <t>PGCV_0029_2366</t>
        </is>
      </c>
      <c r="B2447" s="8" t="inlineStr">
        <is>
          <t>COVID-SNL-22-79408</t>
        </is>
      </c>
      <c r="C2447" s="8" t="n"/>
      <c r="D2447" s="7" t="n">
        <v>29</v>
      </c>
      <c r="E2447" s="7" t="n">
        <v>2366</v>
      </c>
      <c r="F2447" s="7" t="inlineStr">
        <is>
          <t>Yes</t>
        </is>
      </c>
      <c r="G2447" s="8" t="n"/>
    </row>
    <row r="2448">
      <c r="A2448" s="8" t="inlineStr">
        <is>
          <t>PGCV_0029_2367</t>
        </is>
      </c>
      <c r="B2448" s="8" t="inlineStr">
        <is>
          <t>COVID-SNL-22-79443</t>
        </is>
      </c>
      <c r="C2448" s="8" t="n"/>
      <c r="D2448" s="7" t="n">
        <v>29</v>
      </c>
      <c r="E2448" s="7" t="n">
        <v>2367</v>
      </c>
      <c r="F2448" s="7" t="inlineStr">
        <is>
          <t>Yes</t>
        </is>
      </c>
      <c r="G2448" s="8" t="n"/>
    </row>
    <row r="2449">
      <c r="A2449" s="8" t="inlineStr">
        <is>
          <t>PGCV_0029_2368</t>
        </is>
      </c>
      <c r="B2449" s="8" t="inlineStr">
        <is>
          <t>COVID-SNL-22-79477</t>
        </is>
      </c>
      <c r="C2449" s="8" t="n"/>
      <c r="D2449" s="7" t="n">
        <v>29</v>
      </c>
      <c r="E2449" s="7" t="n">
        <v>2368</v>
      </c>
      <c r="F2449" s="7" t="inlineStr">
        <is>
          <t>Yes</t>
        </is>
      </c>
      <c r="G2449" s="8" t="n"/>
    </row>
    <row r="2450">
      <c r="A2450" s="8" t="inlineStr">
        <is>
          <t>PGCV_0029_2369</t>
        </is>
      </c>
      <c r="B2450" s="8" t="inlineStr">
        <is>
          <t>COVID-SNL-22-79485</t>
        </is>
      </c>
      <c r="C2450" s="8" t="n"/>
      <c r="D2450" s="7" t="n">
        <v>29</v>
      </c>
      <c r="E2450" s="7" t="n">
        <v>2369</v>
      </c>
      <c r="F2450" s="7" t="inlineStr">
        <is>
          <t>Yes</t>
        </is>
      </c>
      <c r="G2450" s="8" t="n"/>
    </row>
    <row r="2451">
      <c r="A2451" s="8" t="inlineStr">
        <is>
          <t>PGCV_0029_2370</t>
        </is>
      </c>
      <c r="B2451" s="8" t="inlineStr">
        <is>
          <t>COVID-SNL-22-79518</t>
        </is>
      </c>
      <c r="C2451" s="8" t="n"/>
      <c r="D2451" s="7" t="n">
        <v>29</v>
      </c>
      <c r="E2451" s="7" t="n">
        <v>2370</v>
      </c>
      <c r="F2451" s="7" t="inlineStr">
        <is>
          <t>Yes</t>
        </is>
      </c>
      <c r="G2451" s="8" t="n"/>
    </row>
    <row r="2452">
      <c r="A2452" s="8" t="inlineStr">
        <is>
          <t>PGCV_0029_2371</t>
        </is>
      </c>
      <c r="B2452" s="8" t="inlineStr">
        <is>
          <t>COVID-SNL-22-79519</t>
        </is>
      </c>
      <c r="C2452" s="8" t="n"/>
      <c r="D2452" s="7" t="n">
        <v>29</v>
      </c>
      <c r="E2452" s="7" t="n">
        <v>2371</v>
      </c>
      <c r="F2452" s="7" t="inlineStr">
        <is>
          <t>Yes</t>
        </is>
      </c>
      <c r="G2452" s="8" t="n"/>
    </row>
    <row r="2453">
      <c r="A2453" s="8" t="inlineStr">
        <is>
          <t>PGCV_0029_2372</t>
        </is>
      </c>
      <c r="B2453" s="8" t="inlineStr">
        <is>
          <t>COVID-SNL-22-79520</t>
        </is>
      </c>
      <c r="C2453" s="8" t="n"/>
      <c r="D2453" s="7" t="n">
        <v>29</v>
      </c>
      <c r="E2453" s="7" t="n">
        <v>2372</v>
      </c>
      <c r="F2453" s="7" t="inlineStr">
        <is>
          <t>Yes</t>
        </is>
      </c>
      <c r="G2453" s="8" t="n"/>
    </row>
    <row r="2454">
      <c r="A2454" s="8" t="inlineStr">
        <is>
          <t>PGCV_0029_2373</t>
        </is>
      </c>
      <c r="B2454" s="8" t="inlineStr">
        <is>
          <t>COVID-SNL-22-79521</t>
        </is>
      </c>
      <c r="C2454" s="8" t="n"/>
      <c r="D2454" s="7" t="n">
        <v>29</v>
      </c>
      <c r="E2454" s="7" t="n">
        <v>2373</v>
      </c>
      <c r="F2454" s="7" t="inlineStr">
        <is>
          <t>Yes</t>
        </is>
      </c>
      <c r="G2454" s="8" t="n"/>
    </row>
    <row r="2455">
      <c r="A2455" s="8" t="inlineStr">
        <is>
          <t>PGCV_0029_2374</t>
        </is>
      </c>
      <c r="B2455" s="8" t="inlineStr">
        <is>
          <t>COVID-SNL-22-79522</t>
        </is>
      </c>
      <c r="C2455" s="8" t="n"/>
      <c r="D2455" s="7" t="n">
        <v>29</v>
      </c>
      <c r="E2455" s="7" t="n">
        <v>2374</v>
      </c>
      <c r="F2455" s="7" t="inlineStr">
        <is>
          <t>Yes</t>
        </is>
      </c>
      <c r="G2455" s="8" t="n"/>
    </row>
    <row r="2456">
      <c r="A2456" s="8" t="inlineStr">
        <is>
          <t>PGCV_0029_2375</t>
        </is>
      </c>
      <c r="B2456" s="8" t="inlineStr">
        <is>
          <t>COVID-SNL-22-79566</t>
        </is>
      </c>
      <c r="C2456" s="8" t="n"/>
      <c r="D2456" s="7" t="n">
        <v>29</v>
      </c>
      <c r="E2456" s="7" t="n">
        <v>2375</v>
      </c>
      <c r="F2456" s="7" t="inlineStr">
        <is>
          <t>Yes</t>
        </is>
      </c>
      <c r="G2456" s="8" t="n"/>
    </row>
    <row r="2457">
      <c r="A2457" s="8" t="inlineStr">
        <is>
          <t>PGCV_0029_2376</t>
        </is>
      </c>
      <c r="B2457" s="8" t="inlineStr">
        <is>
          <t>COVID-SNL-22-79587</t>
        </is>
      </c>
      <c r="C2457" s="8" t="n"/>
      <c r="D2457" s="7" t="n">
        <v>29</v>
      </c>
      <c r="E2457" s="7" t="n">
        <v>2376</v>
      </c>
      <c r="F2457" s="7" t="inlineStr">
        <is>
          <t>Yes</t>
        </is>
      </c>
      <c r="G2457" s="8" t="n"/>
    </row>
    <row r="2458">
      <c r="A2458" s="8" t="inlineStr">
        <is>
          <t>PGCV_0029_2377</t>
        </is>
      </c>
      <c r="B2458" s="8" t="inlineStr">
        <is>
          <t>COVID-SNL-22-79593</t>
        </is>
      </c>
      <c r="C2458" s="8" t="n"/>
      <c r="D2458" s="7" t="n">
        <v>29</v>
      </c>
      <c r="E2458" s="7" t="n">
        <v>2377</v>
      </c>
      <c r="F2458" s="7" t="inlineStr">
        <is>
          <t>Yes</t>
        </is>
      </c>
      <c r="G2458" s="8" t="n"/>
    </row>
    <row r="2459">
      <c r="A2459" s="8" t="inlineStr">
        <is>
          <t>PGCV_0029_2378</t>
        </is>
      </c>
      <c r="B2459" s="8" t="inlineStr">
        <is>
          <t>COVID-SNL-22-79552</t>
        </is>
      </c>
      <c r="C2459" s="8" t="n"/>
      <c r="D2459" s="7" t="n">
        <v>29</v>
      </c>
      <c r="E2459" s="7" t="n">
        <v>2378</v>
      </c>
      <c r="F2459" s="7" t="inlineStr">
        <is>
          <t>Yes</t>
        </is>
      </c>
      <c r="G2459" s="8" t="n"/>
    </row>
    <row r="2460">
      <c r="A2460" s="8" t="inlineStr">
        <is>
          <t>PGCV_0029_2379</t>
        </is>
      </c>
      <c r="B2460" s="8" t="inlineStr">
        <is>
          <t>COVID-SNL-22-79627</t>
        </is>
      </c>
      <c r="C2460" s="8" t="n"/>
      <c r="D2460" s="7" t="n">
        <v>29</v>
      </c>
      <c r="E2460" s="7" t="n">
        <v>2379</v>
      </c>
      <c r="F2460" s="7" t="inlineStr">
        <is>
          <t>Yes</t>
        </is>
      </c>
      <c r="G2460" s="8" t="n"/>
    </row>
    <row r="2461">
      <c r="A2461" s="8" t="inlineStr">
        <is>
          <t>PGCV_0029_2380</t>
        </is>
      </c>
      <c r="B2461" s="8" t="inlineStr">
        <is>
          <t>COVID-SNL-22-79667</t>
        </is>
      </c>
      <c r="C2461" s="8" t="n"/>
      <c r="D2461" s="7" t="n">
        <v>29</v>
      </c>
      <c r="E2461" s="7" t="n">
        <v>2380</v>
      </c>
      <c r="F2461" s="7" t="inlineStr">
        <is>
          <t>Yes</t>
        </is>
      </c>
      <c r="G2461" s="8" t="n"/>
    </row>
    <row r="2462">
      <c r="A2462" s="8" t="inlineStr">
        <is>
          <t>PGCV_0029_2381</t>
        </is>
      </c>
      <c r="B2462" s="8" t="inlineStr">
        <is>
          <t>COVID-SNL-22-79700</t>
        </is>
      </c>
      <c r="C2462" s="8" t="n"/>
      <c r="D2462" s="7" t="n">
        <v>29</v>
      </c>
      <c r="E2462" s="7" t="n">
        <v>2381</v>
      </c>
      <c r="F2462" s="7" t="inlineStr">
        <is>
          <t>No</t>
        </is>
      </c>
      <c r="G2462" s="8" t="n"/>
    </row>
    <row r="2463">
      <c r="A2463" s="8" t="inlineStr">
        <is>
          <t>PGCV_0029_2382</t>
        </is>
      </c>
      <c r="B2463" s="8" t="inlineStr">
        <is>
          <t>COVID-SNL-22-79748</t>
        </is>
      </c>
      <c r="C2463" s="8" t="n"/>
      <c r="D2463" s="7" t="n">
        <v>29</v>
      </c>
      <c r="E2463" s="7" t="n">
        <v>2382</v>
      </c>
      <c r="F2463" s="7" t="inlineStr">
        <is>
          <t>Yes</t>
        </is>
      </c>
      <c r="G2463" s="8" t="n"/>
    </row>
    <row r="2464">
      <c r="A2464" s="8" t="inlineStr">
        <is>
          <t>PGCV_0029_2383</t>
        </is>
      </c>
      <c r="B2464" s="8" t="inlineStr">
        <is>
          <t>COVID-SNL-22-79757</t>
        </is>
      </c>
      <c r="C2464" s="8" t="n"/>
      <c r="D2464" s="7" t="n">
        <v>29</v>
      </c>
      <c r="E2464" s="7" t="n">
        <v>2383</v>
      </c>
      <c r="F2464" s="7" t="inlineStr">
        <is>
          <t>Yes</t>
        </is>
      </c>
      <c r="G2464" s="8" t="n"/>
    </row>
    <row r="2465">
      <c r="A2465" s="8" t="inlineStr">
        <is>
          <t>PGCV_0029_2384</t>
        </is>
      </c>
      <c r="B2465" s="8" t="inlineStr">
        <is>
          <t>COVID-SNL-22-79776</t>
        </is>
      </c>
      <c r="C2465" s="8" t="n"/>
      <c r="D2465" s="7" t="n">
        <v>29</v>
      </c>
      <c r="E2465" s="7" t="n">
        <v>2384</v>
      </c>
      <c r="F2465" s="7" t="inlineStr">
        <is>
          <t>Yes</t>
        </is>
      </c>
      <c r="G2465" s="8" t="n"/>
    </row>
    <row r="2466">
      <c r="A2466" s="8" t="inlineStr">
        <is>
          <t>PGCV_0029_2385</t>
        </is>
      </c>
      <c r="B2466" s="8" t="inlineStr">
        <is>
          <t>COVID-SNL-22-79864</t>
        </is>
      </c>
      <c r="C2466" s="8" t="n"/>
      <c r="D2466" s="7" t="n">
        <v>29</v>
      </c>
      <c r="E2466" s="7" t="n">
        <v>2385</v>
      </c>
      <c r="F2466" s="7" t="inlineStr">
        <is>
          <t>Yes</t>
        </is>
      </c>
      <c r="G2466" s="8" t="n"/>
    </row>
    <row r="2467">
      <c r="A2467" s="8" t="inlineStr">
        <is>
          <t>PGCV_0029_2386</t>
        </is>
      </c>
      <c r="B2467" s="8" t="inlineStr">
        <is>
          <t>COVID-SNL-22-79874</t>
        </is>
      </c>
      <c r="C2467" s="8" t="n"/>
      <c r="D2467" s="7" t="n">
        <v>29</v>
      </c>
      <c r="E2467" s="7" t="n">
        <v>2386</v>
      </c>
      <c r="F2467" s="7" t="inlineStr">
        <is>
          <t>Yes</t>
        </is>
      </c>
      <c r="G2467" s="8" t="n"/>
    </row>
    <row r="2468">
      <c r="A2468" s="8" t="inlineStr">
        <is>
          <t>PGCV_0029_2387</t>
        </is>
      </c>
      <c r="B2468" s="8" t="inlineStr">
        <is>
          <t>COVID-SNL-22-79878</t>
        </is>
      </c>
      <c r="C2468" s="8" t="n"/>
      <c r="D2468" s="7" t="n">
        <v>29</v>
      </c>
      <c r="E2468" s="7" t="n">
        <v>2387</v>
      </c>
      <c r="F2468" s="7" t="inlineStr">
        <is>
          <t>Yes</t>
        </is>
      </c>
      <c r="G2468" s="8" t="n"/>
    </row>
    <row r="2469">
      <c r="A2469" s="8" t="inlineStr">
        <is>
          <t>PGCV_0029_2388</t>
        </is>
      </c>
      <c r="B2469" s="8" t="inlineStr">
        <is>
          <t>COVID-SNL-22-79893</t>
        </is>
      </c>
      <c r="C2469" s="8" t="n"/>
      <c r="D2469" s="7" t="n">
        <v>29</v>
      </c>
      <c r="E2469" s="7" t="n">
        <v>2388</v>
      </c>
      <c r="F2469" s="7" t="inlineStr">
        <is>
          <t>Yes</t>
        </is>
      </c>
      <c r="G2469" s="8" t="n"/>
    </row>
    <row r="2470">
      <c r="A2470" s="8" t="inlineStr">
        <is>
          <t>PGCV_0029_2389</t>
        </is>
      </c>
      <c r="B2470" s="8" t="inlineStr">
        <is>
          <t>COVID-SNL-22-79919</t>
        </is>
      </c>
      <c r="C2470" s="8" t="n"/>
      <c r="D2470" s="7" t="n">
        <v>29</v>
      </c>
      <c r="E2470" s="7" t="n">
        <v>2389</v>
      </c>
      <c r="F2470" s="7" t="inlineStr">
        <is>
          <t>Yes</t>
        </is>
      </c>
      <c r="G2470" s="8" t="n"/>
    </row>
    <row r="2471">
      <c r="A2471" s="8" t="inlineStr">
        <is>
          <t>PGCV_0029_2390</t>
        </is>
      </c>
      <c r="B2471" s="8" t="inlineStr">
        <is>
          <t>COVID-SNL-22-79937</t>
        </is>
      </c>
      <c r="C2471" s="8" t="n"/>
      <c r="D2471" s="7" t="n">
        <v>29</v>
      </c>
      <c r="E2471" s="7" t="n">
        <v>2390</v>
      </c>
      <c r="F2471" s="7" t="inlineStr">
        <is>
          <t>Yes</t>
        </is>
      </c>
      <c r="G2471" s="8" t="n"/>
    </row>
    <row r="2472">
      <c r="A2472" s="8" t="inlineStr">
        <is>
          <t>PGCV_0029_2391</t>
        </is>
      </c>
      <c r="B2472" s="8" t="inlineStr">
        <is>
          <t>COVID-SNL-22-79946</t>
        </is>
      </c>
      <c r="C2472" s="8" t="n"/>
      <c r="D2472" s="7" t="n">
        <v>29</v>
      </c>
      <c r="E2472" s="7" t="n">
        <v>2391</v>
      </c>
      <c r="F2472" s="7" t="inlineStr">
        <is>
          <t>Yes</t>
        </is>
      </c>
      <c r="G2472" s="8" t="n"/>
    </row>
    <row r="2473">
      <c r="A2473" s="8" t="inlineStr">
        <is>
          <t>PGCV_0029_2392</t>
        </is>
      </c>
      <c r="B2473" s="8" t="inlineStr">
        <is>
          <t>COVID-SNL-22-79955</t>
        </is>
      </c>
      <c r="C2473" s="8" t="n"/>
      <c r="D2473" s="7" t="n">
        <v>29</v>
      </c>
      <c r="E2473" s="7" t="n">
        <v>2392</v>
      </c>
      <c r="F2473" s="7" t="inlineStr">
        <is>
          <t>Yes</t>
        </is>
      </c>
      <c r="G2473" s="8" t="n"/>
    </row>
    <row r="2474">
      <c r="A2474" s="8" t="inlineStr">
        <is>
          <t>PGCV_0029_2393</t>
        </is>
      </c>
      <c r="B2474" s="8" t="inlineStr">
        <is>
          <t>COVID-SNL-22-79989</t>
        </is>
      </c>
      <c r="C2474" s="8" t="n"/>
      <c r="D2474" s="7" t="n">
        <v>29</v>
      </c>
      <c r="E2474" s="7" t="n">
        <v>2393</v>
      </c>
      <c r="F2474" s="7" t="inlineStr">
        <is>
          <t>Yes</t>
        </is>
      </c>
      <c r="G2474" s="8" t="n"/>
    </row>
    <row r="2475">
      <c r="A2475" s="8" t="inlineStr">
        <is>
          <t>PGCV_0029_2394</t>
        </is>
      </c>
      <c r="B2475" s="8" t="inlineStr">
        <is>
          <t>COVID-SNL-22-80000</t>
        </is>
      </c>
      <c r="C2475" s="8" t="n"/>
      <c r="D2475" s="7" t="n">
        <v>29</v>
      </c>
      <c r="E2475" s="7" t="n">
        <v>2394</v>
      </c>
      <c r="F2475" s="7" t="inlineStr">
        <is>
          <t>Yes</t>
        </is>
      </c>
      <c r="G2475" s="8" t="n"/>
    </row>
    <row r="2476">
      <c r="A2476" s="8" t="inlineStr">
        <is>
          <t>PGCV_0029_2395</t>
        </is>
      </c>
      <c r="B2476" s="8" t="inlineStr">
        <is>
          <t>COVID-SNL-22-80027</t>
        </is>
      </c>
      <c r="C2476" s="8" t="n"/>
      <c r="D2476" s="7" t="n">
        <v>29</v>
      </c>
      <c r="E2476" s="7" t="n">
        <v>2395</v>
      </c>
      <c r="F2476" s="7" t="inlineStr">
        <is>
          <t>Yes</t>
        </is>
      </c>
      <c r="G2476" s="8" t="n"/>
    </row>
    <row r="2477">
      <c r="A2477" s="8" t="inlineStr">
        <is>
          <t>PGCV_0029_2396</t>
        </is>
      </c>
      <c r="B2477" s="8" t="inlineStr">
        <is>
          <t>COVID-SNL-22-80033</t>
        </is>
      </c>
      <c r="C2477" s="8" t="n"/>
      <c r="D2477" s="7" t="n">
        <v>29</v>
      </c>
      <c r="E2477" s="7" t="n">
        <v>2396</v>
      </c>
      <c r="F2477" s="7" t="inlineStr">
        <is>
          <t>Yes</t>
        </is>
      </c>
      <c r="G2477" s="8" t="n"/>
    </row>
    <row r="2478">
      <c r="A2478" s="8" t="inlineStr">
        <is>
          <t>PGCV_0029_2397</t>
        </is>
      </c>
      <c r="B2478" s="8" t="inlineStr">
        <is>
          <t>COVID-SNL-22-80034</t>
        </is>
      </c>
      <c r="C2478" s="8" t="n"/>
      <c r="D2478" s="7" t="n">
        <v>29</v>
      </c>
      <c r="E2478" s="7" t="n">
        <v>2397</v>
      </c>
      <c r="F2478" s="7" t="inlineStr">
        <is>
          <t>Yes</t>
        </is>
      </c>
      <c r="G2478" s="8" t="n"/>
    </row>
    <row r="2479">
      <c r="A2479" s="8" t="inlineStr">
        <is>
          <t>PGCV_0029_2398</t>
        </is>
      </c>
      <c r="B2479" s="8" t="inlineStr">
        <is>
          <t>COVID-SNL-22-80373</t>
        </is>
      </c>
      <c r="C2479" s="8" t="n"/>
      <c r="D2479" s="7" t="n">
        <v>29</v>
      </c>
      <c r="E2479" s="7" t="n">
        <v>2398</v>
      </c>
      <c r="F2479" s="7" t="inlineStr">
        <is>
          <t>Yes</t>
        </is>
      </c>
      <c r="G2479" s="8" t="n"/>
    </row>
    <row r="2480">
      <c r="A2480" s="8" t="inlineStr">
        <is>
          <t>PGCV_0029_2399</t>
        </is>
      </c>
      <c r="B2480" s="8" t="inlineStr">
        <is>
          <t>COVID-SNL-22-80390</t>
        </is>
      </c>
      <c r="C2480" s="8" t="n"/>
      <c r="D2480" s="7" t="n">
        <v>29</v>
      </c>
      <c r="E2480" s="7" t="n">
        <v>2399</v>
      </c>
      <c r="F2480" s="7" t="inlineStr">
        <is>
          <t>Yes</t>
        </is>
      </c>
      <c r="G2480" s="8" t="n"/>
    </row>
    <row r="2481">
      <c r="A2481" s="8" t="inlineStr">
        <is>
          <t>PGCV_0029_2400</t>
        </is>
      </c>
      <c r="B2481" s="8" t="inlineStr">
        <is>
          <t>COVID-SNL-22-80392</t>
        </is>
      </c>
      <c r="C2481" s="8" t="n"/>
      <c r="D2481" s="7" t="n">
        <v>29</v>
      </c>
      <c r="E2481" s="7" t="n">
        <v>2400</v>
      </c>
      <c r="F2481" s="7" t="inlineStr">
        <is>
          <t>Yes</t>
        </is>
      </c>
      <c r="G2481" s="8" t="n"/>
    </row>
    <row r="2482">
      <c r="A2482" s="8" t="inlineStr">
        <is>
          <t>PGCV_0029_2401</t>
        </is>
      </c>
      <c r="B2482" s="8" t="inlineStr">
        <is>
          <t>COVID-SNL-22-80426</t>
        </is>
      </c>
      <c r="C2482" s="8" t="n"/>
      <c r="D2482" s="7" t="n">
        <v>29</v>
      </c>
      <c r="E2482" s="7" t="n">
        <v>2401</v>
      </c>
      <c r="F2482" s="7" t="inlineStr">
        <is>
          <t>Yes</t>
        </is>
      </c>
      <c r="G2482" s="8" t="n"/>
    </row>
    <row r="2483">
      <c r="A2483" s="8" t="inlineStr">
        <is>
          <t>PGCV_0029_2402</t>
        </is>
      </c>
      <c r="B2483" s="8" t="inlineStr">
        <is>
          <t>COVID-SNL-22-80276</t>
        </is>
      </c>
      <c r="C2483" s="8" t="n"/>
      <c r="D2483" s="7" t="n">
        <v>29</v>
      </c>
      <c r="E2483" s="7" t="n">
        <v>2402</v>
      </c>
      <c r="F2483" s="7" t="inlineStr">
        <is>
          <t>Yes</t>
        </is>
      </c>
      <c r="G2483" s="8" t="n"/>
    </row>
    <row r="2484">
      <c r="A2484" s="8" t="inlineStr">
        <is>
          <t>PGCV_0029_2403</t>
        </is>
      </c>
      <c r="B2484" s="8" t="inlineStr">
        <is>
          <t>COVID-SNL-22-80306</t>
        </is>
      </c>
      <c r="C2484" s="8" t="n"/>
      <c r="D2484" s="7" t="n">
        <v>29</v>
      </c>
      <c r="E2484" s="7" t="n">
        <v>2403</v>
      </c>
      <c r="F2484" s="7" t="inlineStr">
        <is>
          <t>Yes</t>
        </is>
      </c>
      <c r="G2484" s="8" t="n"/>
    </row>
    <row r="2485">
      <c r="A2485" s="8" t="inlineStr">
        <is>
          <t>PGCV_0029_2404</t>
        </is>
      </c>
      <c r="B2485" s="8" t="inlineStr">
        <is>
          <t>COVID-SNL-22-80438</t>
        </is>
      </c>
      <c r="C2485" s="8" t="n"/>
      <c r="D2485" s="7" t="n">
        <v>29</v>
      </c>
      <c r="E2485" s="7" t="n">
        <v>2404</v>
      </c>
      <c r="F2485" s="7" t="inlineStr">
        <is>
          <t>Yes</t>
        </is>
      </c>
      <c r="G2485" s="8" t="n"/>
    </row>
    <row r="2486">
      <c r="A2486" s="8" t="inlineStr">
        <is>
          <t>PGCV_0029_2405</t>
        </is>
      </c>
      <c r="B2486" s="8" t="inlineStr">
        <is>
          <t>COVID-SNL-22-80462</t>
        </is>
      </c>
      <c r="C2486" s="8" t="n"/>
      <c r="D2486" s="7" t="n">
        <v>29</v>
      </c>
      <c r="E2486" s="7" t="n">
        <v>2405</v>
      </c>
      <c r="F2486" s="7" t="inlineStr">
        <is>
          <t>Yes</t>
        </is>
      </c>
      <c r="G2486" s="8" t="n"/>
    </row>
    <row r="2487">
      <c r="A2487" s="8" t="inlineStr">
        <is>
          <t>PGCV_0029_2406</t>
        </is>
      </c>
      <c r="B2487" s="8" t="inlineStr">
        <is>
          <t>COVID-SNL-22-80459</t>
        </is>
      </c>
      <c r="C2487" s="8" t="n"/>
      <c r="D2487" s="7" t="n">
        <v>29</v>
      </c>
      <c r="E2487" s="7" t="n">
        <v>2406</v>
      </c>
      <c r="F2487" s="7" t="inlineStr">
        <is>
          <t>Yes</t>
        </is>
      </c>
      <c r="G2487" s="8" t="n"/>
    </row>
    <row r="2488">
      <c r="A2488" s="8" t="inlineStr">
        <is>
          <t>PGCV_0029_2407</t>
        </is>
      </c>
      <c r="B2488" s="8" t="inlineStr">
        <is>
          <t>COVID-SNL-22-80360</t>
        </is>
      </c>
      <c r="C2488" s="8" t="n"/>
      <c r="D2488" s="7" t="n">
        <v>29</v>
      </c>
      <c r="E2488" s="7" t="n">
        <v>2407</v>
      </c>
      <c r="F2488" s="7" t="inlineStr">
        <is>
          <t>Yes</t>
        </is>
      </c>
      <c r="G2488" s="8" t="n"/>
    </row>
    <row r="2489">
      <c r="A2489" s="8" t="inlineStr">
        <is>
          <t>PGCV_0029_2408</t>
        </is>
      </c>
      <c r="B2489" s="8" t="inlineStr">
        <is>
          <t>COVID-SNL-22-80382</t>
        </is>
      </c>
      <c r="C2489" s="8" t="n"/>
      <c r="D2489" s="7" t="n">
        <v>29</v>
      </c>
      <c r="E2489" s="7" t="n">
        <v>2408</v>
      </c>
      <c r="F2489" s="7" t="inlineStr">
        <is>
          <t>Yes</t>
        </is>
      </c>
      <c r="G2489" s="8" t="n"/>
    </row>
    <row r="2490">
      <c r="A2490" s="8" t="inlineStr">
        <is>
          <t>PGCV_0029_2409</t>
        </is>
      </c>
      <c r="B2490" s="8" t="inlineStr">
        <is>
          <t>COVID-SNL-22-80383</t>
        </is>
      </c>
      <c r="C2490" s="8" t="n"/>
      <c r="D2490" s="7" t="n">
        <v>29</v>
      </c>
      <c r="E2490" s="7" t="n">
        <v>2409</v>
      </c>
      <c r="F2490" s="7" t="inlineStr">
        <is>
          <t>Yes</t>
        </is>
      </c>
      <c r="G2490" s="8" t="n"/>
    </row>
    <row r="2491">
      <c r="A2491" s="8" t="inlineStr">
        <is>
          <t>PGCV_0029_2410</t>
        </is>
      </c>
      <c r="B2491" s="8" t="inlineStr">
        <is>
          <t>COVID-SNL-22-80385</t>
        </is>
      </c>
      <c r="C2491" s="8" t="n"/>
      <c r="D2491" s="7" t="n">
        <v>29</v>
      </c>
      <c r="E2491" s="7" t="n">
        <v>2410</v>
      </c>
      <c r="F2491" s="7" t="inlineStr">
        <is>
          <t>Yes</t>
        </is>
      </c>
      <c r="G2491" s="8" t="n"/>
    </row>
    <row r="2492">
      <c r="A2492" s="8" t="inlineStr">
        <is>
          <t>PGCV_0029_2411</t>
        </is>
      </c>
      <c r="B2492" s="8" t="inlineStr">
        <is>
          <t>COVID-SNL-22-80388</t>
        </is>
      </c>
      <c r="C2492" s="8" t="n"/>
      <c r="D2492" s="7" t="n">
        <v>29</v>
      </c>
      <c r="E2492" s="7" t="n">
        <v>2411</v>
      </c>
      <c r="F2492" s="7" t="inlineStr">
        <is>
          <t>Yes</t>
        </is>
      </c>
      <c r="G2492" s="8" t="n"/>
    </row>
    <row r="2493">
      <c r="A2493" s="8" t="inlineStr">
        <is>
          <t>PGCV_0029_2412</t>
        </is>
      </c>
      <c r="B2493" s="8" t="inlineStr">
        <is>
          <t>COVID-SNL-22-80413</t>
        </is>
      </c>
      <c r="C2493" s="8" t="n"/>
      <c r="D2493" s="7" t="n">
        <v>29</v>
      </c>
      <c r="E2493" s="7" t="n">
        <v>2412</v>
      </c>
      <c r="F2493" s="7" t="inlineStr">
        <is>
          <t>Yes</t>
        </is>
      </c>
      <c r="G2493" s="8" t="n"/>
    </row>
    <row r="2494">
      <c r="A2494" s="8" t="inlineStr">
        <is>
          <t>PGCV_0029_2413</t>
        </is>
      </c>
      <c r="B2494" s="8" t="inlineStr">
        <is>
          <t>COVID-SNL-22-80411</t>
        </is>
      </c>
      <c r="C2494" s="8" t="n"/>
      <c r="D2494" s="7" t="n">
        <v>29</v>
      </c>
      <c r="E2494" s="7" t="n">
        <v>2413</v>
      </c>
      <c r="F2494" s="7" t="inlineStr">
        <is>
          <t>Yes</t>
        </is>
      </c>
      <c r="G2494" s="8" t="n"/>
    </row>
    <row r="2495">
      <c r="A2495" s="8" t="inlineStr">
        <is>
          <t>PGCV_0029_2414</t>
        </is>
      </c>
      <c r="B2495" s="8" t="inlineStr">
        <is>
          <t>COVID-SNL-22-80416</t>
        </is>
      </c>
      <c r="C2495" s="8" t="n"/>
      <c r="D2495" s="7" t="n">
        <v>29</v>
      </c>
      <c r="E2495" s="7" t="n">
        <v>2414</v>
      </c>
      <c r="F2495" s="7" t="inlineStr">
        <is>
          <t>Yes</t>
        </is>
      </c>
      <c r="G2495" s="8" t="n"/>
    </row>
    <row r="2496">
      <c r="A2496" s="8" t="inlineStr">
        <is>
          <t>PGCV_0029_2415</t>
        </is>
      </c>
      <c r="B2496" s="8" t="inlineStr">
        <is>
          <t>COVID-SNL-22-80419</t>
        </is>
      </c>
      <c r="C2496" s="8" t="n"/>
      <c r="D2496" s="7" t="n">
        <v>29</v>
      </c>
      <c r="E2496" s="7" t="n">
        <v>2415</v>
      </c>
      <c r="F2496" s="7" t="inlineStr">
        <is>
          <t>Yes</t>
        </is>
      </c>
      <c r="G2496" s="8" t="n"/>
    </row>
    <row r="2497">
      <c r="A2497" s="8" t="inlineStr">
        <is>
          <t>PGCV_0029_2416</t>
        </is>
      </c>
      <c r="B2497" s="8" t="inlineStr">
        <is>
          <t>COVID-SNL-22-80420</t>
        </is>
      </c>
      <c r="C2497" s="8" t="n"/>
      <c r="D2497" s="7" t="n">
        <v>29</v>
      </c>
      <c r="E2497" s="7" t="n">
        <v>2416</v>
      </c>
      <c r="F2497" s="7" t="inlineStr">
        <is>
          <t>Yes</t>
        </is>
      </c>
      <c r="G2497" s="8" t="n"/>
    </row>
    <row r="2498">
      <c r="A2498" s="8" t="inlineStr">
        <is>
          <t>PGCV_0029_2417</t>
        </is>
      </c>
      <c r="B2498" s="8" t="inlineStr">
        <is>
          <t>COVID-SNL-22-80422</t>
        </is>
      </c>
      <c r="C2498" s="8" t="n"/>
      <c r="D2498" s="7" t="n">
        <v>29</v>
      </c>
      <c r="E2498" s="7" t="n">
        <v>2417</v>
      </c>
      <c r="F2498" s="7" t="inlineStr">
        <is>
          <t>Yes</t>
        </is>
      </c>
      <c r="G2498" s="8" t="n"/>
    </row>
    <row r="2499">
      <c r="A2499" s="8" t="inlineStr">
        <is>
          <t>PGCV_0029_2418</t>
        </is>
      </c>
      <c r="B2499" s="8" t="inlineStr">
        <is>
          <t>COVID-SNL-22-80318</t>
        </is>
      </c>
      <c r="C2499" s="8" t="n"/>
      <c r="D2499" s="7" t="n">
        <v>29</v>
      </c>
      <c r="E2499" s="7" t="n">
        <v>2418</v>
      </c>
      <c r="F2499" s="7" t="inlineStr">
        <is>
          <t>Yes</t>
        </is>
      </c>
      <c r="G2499" s="8" t="n"/>
    </row>
    <row r="2500">
      <c r="A2500" s="8" t="inlineStr">
        <is>
          <t>PGCV_0029_2419</t>
        </is>
      </c>
      <c r="B2500" s="8" t="inlineStr">
        <is>
          <t>COVID-SNL-22-80330</t>
        </is>
      </c>
      <c r="C2500" s="8" t="n"/>
      <c r="D2500" s="7" t="n">
        <v>29</v>
      </c>
      <c r="E2500" s="7" t="n">
        <v>2419</v>
      </c>
      <c r="F2500" s="7" t="inlineStr">
        <is>
          <t>Yes</t>
        </is>
      </c>
      <c r="G2500" s="8" t="n"/>
    </row>
    <row r="2501">
      <c r="A2501" s="8" t="inlineStr">
        <is>
          <t>PGCV_0029_2420</t>
        </is>
      </c>
      <c r="B2501" s="8" t="inlineStr">
        <is>
          <t>COVID-SNL-22-80335</t>
        </is>
      </c>
      <c r="C2501" s="8" t="n"/>
      <c r="D2501" s="7" t="n">
        <v>29</v>
      </c>
      <c r="E2501" s="7" t="n">
        <v>2420</v>
      </c>
      <c r="F2501" s="7" t="inlineStr">
        <is>
          <t>Yes</t>
        </is>
      </c>
      <c r="G2501" s="8" t="n"/>
    </row>
    <row r="2502">
      <c r="A2502" s="8" t="inlineStr">
        <is>
          <t>PGCV_0029_2421</t>
        </is>
      </c>
      <c r="B2502" s="8" t="inlineStr">
        <is>
          <t>COVID-SNL-22-80336</t>
        </is>
      </c>
      <c r="C2502" s="8" t="n"/>
      <c r="D2502" s="7" t="n">
        <v>29</v>
      </c>
      <c r="E2502" s="7" t="n">
        <v>2421</v>
      </c>
      <c r="F2502" s="7" t="inlineStr">
        <is>
          <t>Yes</t>
        </is>
      </c>
      <c r="G2502" s="8" t="n"/>
    </row>
    <row r="2503">
      <c r="A2503" s="8" t="inlineStr">
        <is>
          <t>PGCV_0029_2422</t>
        </is>
      </c>
      <c r="B2503" s="8" t="inlineStr">
        <is>
          <t>COVID-SNL-22-80140</t>
        </is>
      </c>
      <c r="C2503" s="8" t="n"/>
      <c r="D2503" s="7" t="n">
        <v>29</v>
      </c>
      <c r="E2503" s="7" t="n">
        <v>2422</v>
      </c>
      <c r="F2503" s="7" t="inlineStr">
        <is>
          <t>Yes</t>
        </is>
      </c>
      <c r="G2503" s="8" t="n"/>
    </row>
    <row r="2504">
      <c r="A2504" s="8" t="inlineStr">
        <is>
          <t>PGCV_0029_2423</t>
        </is>
      </c>
      <c r="B2504" s="8" t="inlineStr">
        <is>
          <t>COVID-SNL-22-80162</t>
        </is>
      </c>
      <c r="C2504" s="8" t="n"/>
      <c r="D2504" s="7" t="n">
        <v>29</v>
      </c>
      <c r="E2504" s="7" t="n">
        <v>2423</v>
      </c>
      <c r="F2504" s="7" t="inlineStr">
        <is>
          <t>Yes</t>
        </is>
      </c>
      <c r="G2504" s="8" t="n"/>
    </row>
    <row r="2505">
      <c r="A2505" s="8" t="inlineStr">
        <is>
          <t>PGCV_0029_2424</t>
        </is>
      </c>
      <c r="B2505" s="8" t="inlineStr">
        <is>
          <t>COVID-SNL-22-80164</t>
        </is>
      </c>
      <c r="C2505" s="8" t="n"/>
      <c r="D2505" s="7" t="n">
        <v>29</v>
      </c>
      <c r="E2505" s="7" t="n">
        <v>2424</v>
      </c>
      <c r="F2505" s="7" t="inlineStr">
        <is>
          <t>Yes</t>
        </is>
      </c>
      <c r="G2505" s="8" t="n"/>
    </row>
    <row r="2506">
      <c r="A2506" s="8" t="inlineStr">
        <is>
          <t>PGCV_0029_2425</t>
        </is>
      </c>
      <c r="B2506" s="8" t="inlineStr">
        <is>
          <t>COVID-SNL-22-80454</t>
        </is>
      </c>
      <c r="C2506" s="8" t="n"/>
      <c r="D2506" s="7" t="n">
        <v>29</v>
      </c>
      <c r="E2506" s="7" t="n">
        <v>2425</v>
      </c>
      <c r="F2506" s="7" t="inlineStr">
        <is>
          <t>Yes</t>
        </is>
      </c>
      <c r="G2506" s="8" t="n"/>
    </row>
    <row r="2507">
      <c r="A2507" s="8" t="inlineStr">
        <is>
          <t>PGCV_0029_2426</t>
        </is>
      </c>
      <c r="B2507" s="8" t="inlineStr">
        <is>
          <t>COVID-SNL-22-80203</t>
        </is>
      </c>
      <c r="C2507" s="8" t="n"/>
      <c r="D2507" s="7" t="n">
        <v>29</v>
      </c>
      <c r="E2507" s="7" t="n">
        <v>2426</v>
      </c>
      <c r="F2507" s="7" t="inlineStr">
        <is>
          <t>Yes</t>
        </is>
      </c>
      <c r="G2507" s="8" t="n"/>
    </row>
    <row r="2508">
      <c r="A2508" s="8" t="inlineStr">
        <is>
          <t>PGCV_0029_2427</t>
        </is>
      </c>
      <c r="B2508" s="8" t="inlineStr">
        <is>
          <t>COVID-SNL-22-80227</t>
        </is>
      </c>
      <c r="C2508" s="8" t="n"/>
      <c r="D2508" s="7" t="n">
        <v>29</v>
      </c>
      <c r="E2508" s="7" t="n">
        <v>2427</v>
      </c>
      <c r="F2508" s="7" t="inlineStr">
        <is>
          <t>Yes</t>
        </is>
      </c>
      <c r="G2508" s="8" t="n"/>
    </row>
    <row r="2509">
      <c r="A2509" s="8" t="inlineStr">
        <is>
          <t>PGCV_0029_2428</t>
        </is>
      </c>
      <c r="B2509" s="8" t="inlineStr">
        <is>
          <t>COVID-SNL-22-80097</t>
        </is>
      </c>
      <c r="C2509" s="8" t="n"/>
      <c r="D2509" s="7" t="n">
        <v>29</v>
      </c>
      <c r="E2509" s="7" t="n">
        <v>2428</v>
      </c>
      <c r="F2509" s="7" t="inlineStr">
        <is>
          <t>Yes</t>
        </is>
      </c>
      <c r="G2509" s="8" t="n"/>
    </row>
    <row r="2510">
      <c r="A2510" s="8" t="inlineStr">
        <is>
          <t>PGCV_0029_2429</t>
        </is>
      </c>
      <c r="B2510" s="8" t="inlineStr">
        <is>
          <t>COVID-SNL-22-80238</t>
        </is>
      </c>
      <c r="C2510" s="8" t="n"/>
      <c r="D2510" s="7" t="n">
        <v>29</v>
      </c>
      <c r="E2510" s="7" t="n">
        <v>2429</v>
      </c>
      <c r="F2510" s="7" t="inlineStr">
        <is>
          <t>Yes</t>
        </is>
      </c>
      <c r="G2510" s="8" t="n"/>
    </row>
    <row r="2511">
      <c r="A2511" s="8" t="inlineStr">
        <is>
          <t>PGCV_0029_2430</t>
        </is>
      </c>
      <c r="B2511" s="8" t="inlineStr">
        <is>
          <t>COVID-SNL-22-80108</t>
        </is>
      </c>
      <c r="C2511" s="8" t="n"/>
      <c r="D2511" s="7" t="n">
        <v>29</v>
      </c>
      <c r="E2511" s="7" t="n">
        <v>2430</v>
      </c>
      <c r="F2511" s="7" t="inlineStr">
        <is>
          <t>Yes</t>
        </is>
      </c>
      <c r="G2511" s="8" t="n"/>
    </row>
    <row r="2512">
      <c r="A2512" s="8" t="inlineStr">
        <is>
          <t>PGCV_0029_2431</t>
        </is>
      </c>
      <c r="B2512" s="8" t="inlineStr">
        <is>
          <t>COVID-SNL-22-80105</t>
        </is>
      </c>
      <c r="C2512" s="8" t="n"/>
      <c r="D2512" s="7" t="n">
        <v>29</v>
      </c>
      <c r="E2512" s="7" t="n">
        <v>2431</v>
      </c>
      <c r="F2512" s="7" t="inlineStr">
        <is>
          <t>Yes</t>
        </is>
      </c>
      <c r="G2512" s="8" t="n"/>
    </row>
    <row r="2513">
      <c r="A2513" s="8" t="inlineStr">
        <is>
          <t>PGCV_0029_2432</t>
        </is>
      </c>
      <c r="B2513" s="8" t="inlineStr">
        <is>
          <t>COVID-SNL-22-80198</t>
        </is>
      </c>
      <c r="C2513" s="8" t="n"/>
      <c r="D2513" s="7" t="n">
        <v>29</v>
      </c>
      <c r="E2513" s="7" t="n">
        <v>2432</v>
      </c>
      <c r="F2513" s="7" t="inlineStr">
        <is>
          <t>Yes</t>
        </is>
      </c>
      <c r="G2513" s="8" t="n"/>
    </row>
    <row r="2514">
      <c r="A2514" s="8" t="inlineStr">
        <is>
          <t>PGCV_0029_2433</t>
        </is>
      </c>
      <c r="B2514" s="8" t="inlineStr">
        <is>
          <t>COVID-SNL-22-80245</t>
        </is>
      </c>
      <c r="C2514" s="8" t="n"/>
      <c r="D2514" s="7" t="n">
        <v>29</v>
      </c>
      <c r="E2514" s="7" t="n">
        <v>2433</v>
      </c>
      <c r="F2514" s="7" t="inlineStr">
        <is>
          <t>Yes</t>
        </is>
      </c>
      <c r="G2514" s="8" t="n"/>
    </row>
    <row r="2515">
      <c r="A2515" s="8" t="inlineStr">
        <is>
          <t>PGCV_0029_2434</t>
        </is>
      </c>
      <c r="B2515" s="8" t="inlineStr">
        <is>
          <t>COVID-SNL-22-80504</t>
        </is>
      </c>
      <c r="C2515" s="8" t="n"/>
      <c r="D2515" s="7" t="n">
        <v>29</v>
      </c>
      <c r="E2515" s="7" t="n">
        <v>2434</v>
      </c>
      <c r="F2515" s="7" t="inlineStr">
        <is>
          <t>Yes</t>
        </is>
      </c>
      <c r="G2515" s="8" t="n"/>
    </row>
    <row r="2516">
      <c r="A2516" s="8" t="inlineStr">
        <is>
          <t>PGCV_0029_2435</t>
        </is>
      </c>
      <c r="B2516" s="8" t="inlineStr">
        <is>
          <t>COVID-SNL-22-80557</t>
        </is>
      </c>
      <c r="C2516" s="8" t="n"/>
      <c r="D2516" s="7" t="n">
        <v>29</v>
      </c>
      <c r="E2516" s="7" t="n">
        <v>2435</v>
      </c>
      <c r="F2516" s="7" t="inlineStr">
        <is>
          <t>Yes</t>
        </is>
      </c>
      <c r="G2516" s="8" t="n"/>
    </row>
    <row r="2517">
      <c r="A2517" s="8" t="inlineStr">
        <is>
          <t>PGCV_0029_2436</t>
        </is>
      </c>
      <c r="B2517" s="8" t="inlineStr">
        <is>
          <t>COVID-SNL-22-80562</t>
        </is>
      </c>
      <c r="C2517" s="8" t="n"/>
      <c r="D2517" s="7" t="n">
        <v>29</v>
      </c>
      <c r="E2517" s="7" t="n">
        <v>2436</v>
      </c>
      <c r="F2517" s="7" t="inlineStr">
        <is>
          <t>Yes</t>
        </is>
      </c>
      <c r="G2517" s="8" t="n"/>
    </row>
    <row r="2518">
      <c r="A2518" s="8" t="inlineStr">
        <is>
          <t>PGCV_0029_2437</t>
        </is>
      </c>
      <c r="B2518" s="8" t="inlineStr">
        <is>
          <t>COVID-SNL-22-80563</t>
        </is>
      </c>
      <c r="C2518" s="8" t="n"/>
      <c r="D2518" s="7" t="n">
        <v>29</v>
      </c>
      <c r="E2518" s="7" t="n">
        <v>2437</v>
      </c>
      <c r="F2518" s="7" t="inlineStr">
        <is>
          <t>Yes</t>
        </is>
      </c>
      <c r="G2518" s="8" t="n"/>
    </row>
    <row r="2519">
      <c r="A2519" s="8" t="inlineStr">
        <is>
          <t>PGCV_0029_2438</t>
        </is>
      </c>
      <c r="B2519" s="8" t="inlineStr">
        <is>
          <t>COVID-SNL-22-80564</t>
        </is>
      </c>
      <c r="C2519" s="8" t="n"/>
      <c r="D2519" s="7" t="n">
        <v>29</v>
      </c>
      <c r="E2519" s="7" t="n">
        <v>2438</v>
      </c>
      <c r="F2519" s="7" t="inlineStr">
        <is>
          <t>Yes</t>
        </is>
      </c>
      <c r="G2519" s="8" t="n"/>
    </row>
    <row r="2520">
      <c r="A2520" s="8" t="inlineStr">
        <is>
          <t>PGCV_0029_2439</t>
        </is>
      </c>
      <c r="B2520" s="8" t="inlineStr">
        <is>
          <t>COVID-SNL-22-80565</t>
        </is>
      </c>
      <c r="C2520" s="8" t="n"/>
      <c r="D2520" s="7" t="n">
        <v>29</v>
      </c>
      <c r="E2520" s="7" t="n">
        <v>2439</v>
      </c>
      <c r="F2520" s="7" t="inlineStr">
        <is>
          <t>Yes</t>
        </is>
      </c>
      <c r="G2520" s="8" t="n"/>
    </row>
    <row r="2521">
      <c r="A2521" s="8" t="inlineStr">
        <is>
          <t>PGCV_0029_2440</t>
        </is>
      </c>
      <c r="B2521" s="8" t="inlineStr">
        <is>
          <t>COVID-SNL-22-80574</t>
        </is>
      </c>
      <c r="C2521" s="8" t="n"/>
      <c r="D2521" s="7" t="n">
        <v>29</v>
      </c>
      <c r="E2521" s="7" t="n">
        <v>2440</v>
      </c>
      <c r="F2521" s="7" t="inlineStr">
        <is>
          <t>Yes</t>
        </is>
      </c>
      <c r="G2521" s="8" t="n"/>
    </row>
    <row r="2522">
      <c r="A2522" s="8" t="inlineStr">
        <is>
          <t>PGCV_0029_2441</t>
        </is>
      </c>
      <c r="B2522" s="8" t="inlineStr">
        <is>
          <t>COVID-SNL-22-80604</t>
        </is>
      </c>
      <c r="C2522" s="8" t="n"/>
      <c r="D2522" s="7" t="n">
        <v>29</v>
      </c>
      <c r="E2522" s="7" t="n">
        <v>2441</v>
      </c>
      <c r="F2522" s="7" t="inlineStr">
        <is>
          <t>No</t>
        </is>
      </c>
      <c r="G2522" s="8" t="n"/>
    </row>
    <row r="2523">
      <c r="A2523" s="8" t="inlineStr">
        <is>
          <t>PGCV_0029_2442</t>
        </is>
      </c>
      <c r="B2523" s="8" t="inlineStr">
        <is>
          <t>COVID-SNL-22-80616</t>
        </is>
      </c>
      <c r="C2523" s="8" t="n"/>
      <c r="D2523" s="7" t="n">
        <v>29</v>
      </c>
      <c r="E2523" s="7" t="n">
        <v>2442</v>
      </c>
      <c r="F2523" s="7" t="inlineStr">
        <is>
          <t>Yes</t>
        </is>
      </c>
      <c r="G2523" s="8" t="n"/>
    </row>
    <row r="2524">
      <c r="A2524" s="8" t="inlineStr">
        <is>
          <t>PGCV_0029_2443</t>
        </is>
      </c>
      <c r="B2524" s="8" t="inlineStr">
        <is>
          <t>COVID-SNL-22-80666</t>
        </is>
      </c>
      <c r="C2524" s="8" t="n"/>
      <c r="D2524" s="7" t="n">
        <v>29</v>
      </c>
      <c r="E2524" s="7" t="n">
        <v>2443</v>
      </c>
      <c r="F2524" s="7" t="inlineStr">
        <is>
          <t>Yes</t>
        </is>
      </c>
      <c r="G2524" s="8" t="n"/>
    </row>
    <row r="2525">
      <c r="A2525" s="8" t="inlineStr">
        <is>
          <t>PGCV_0029_2444</t>
        </is>
      </c>
      <c r="B2525" s="8" t="inlineStr">
        <is>
          <t>COVID-SNL-22-80712</t>
        </is>
      </c>
      <c r="C2525" s="8" t="n"/>
      <c r="D2525" s="7" t="n">
        <v>29</v>
      </c>
      <c r="E2525" s="7" t="n">
        <v>2444</v>
      </c>
      <c r="F2525" s="7" t="inlineStr">
        <is>
          <t>Yes</t>
        </is>
      </c>
      <c r="G2525" s="8" t="n"/>
    </row>
    <row r="2526">
      <c r="A2526" s="8" t="inlineStr">
        <is>
          <t>PGCV_0029_2445</t>
        </is>
      </c>
      <c r="B2526" s="8" t="inlineStr">
        <is>
          <t>COVID-SNL-22-80723</t>
        </is>
      </c>
      <c r="C2526" s="8" t="n"/>
      <c r="D2526" s="7" t="n">
        <v>29</v>
      </c>
      <c r="E2526" s="7" t="n">
        <v>2445</v>
      </c>
      <c r="F2526" s="7" t="inlineStr">
        <is>
          <t>Yes</t>
        </is>
      </c>
      <c r="G2526" s="8" t="n"/>
    </row>
    <row r="2527">
      <c r="A2527" s="8" t="inlineStr">
        <is>
          <t>PGCV_0029_2446</t>
        </is>
      </c>
      <c r="B2527" s="8" t="inlineStr">
        <is>
          <t>COVID-SNL-22-80741</t>
        </is>
      </c>
      <c r="C2527" s="8" t="n"/>
      <c r="D2527" s="7" t="n">
        <v>29</v>
      </c>
      <c r="E2527" s="7" t="n">
        <v>2446</v>
      </c>
      <c r="F2527" s="7" t="inlineStr">
        <is>
          <t>Yes</t>
        </is>
      </c>
      <c r="G2527" s="8" t="n"/>
    </row>
    <row r="2528">
      <c r="A2528" s="8" t="inlineStr">
        <is>
          <t>PGCV_0029_2447</t>
        </is>
      </c>
      <c r="B2528" s="8" t="inlineStr">
        <is>
          <t>COVID-SNL-22-80773</t>
        </is>
      </c>
      <c r="C2528" s="8" t="n"/>
      <c r="D2528" s="7" t="n">
        <v>29</v>
      </c>
      <c r="E2528" s="7" t="n">
        <v>2447</v>
      </c>
      <c r="F2528" s="7" t="inlineStr">
        <is>
          <t>Yes</t>
        </is>
      </c>
      <c r="G2528" s="8" t="n"/>
    </row>
    <row r="2529">
      <c r="A2529" s="8" t="inlineStr">
        <is>
          <t>PGCV_0029_2448</t>
        </is>
      </c>
      <c r="B2529" s="8" t="inlineStr">
        <is>
          <t>COVID-SNL-22-80776</t>
        </is>
      </c>
      <c r="C2529" s="8" t="n"/>
      <c r="D2529" s="7" t="n">
        <v>29</v>
      </c>
      <c r="E2529" s="7" t="n">
        <v>2448</v>
      </c>
      <c r="F2529" s="7" t="inlineStr">
        <is>
          <t>Yes</t>
        </is>
      </c>
      <c r="G2529" s="8" t="n"/>
    </row>
    <row r="2530">
      <c r="A2530" s="8" t="inlineStr">
        <is>
          <t>PGCV_0029_2449</t>
        </is>
      </c>
      <c r="B2530" s="8" t="inlineStr">
        <is>
          <t>COVID-SNL-22-80778</t>
        </is>
      </c>
      <c r="C2530" s="8" t="n"/>
      <c r="D2530" s="7" t="n">
        <v>29</v>
      </c>
      <c r="E2530" s="7" t="n">
        <v>2449</v>
      </c>
      <c r="F2530" s="7" t="inlineStr">
        <is>
          <t>Yes</t>
        </is>
      </c>
      <c r="G2530" s="8" t="n"/>
    </row>
    <row r="2531">
      <c r="A2531" s="8" t="inlineStr">
        <is>
          <t>PGCV_0029_2450</t>
        </is>
      </c>
      <c r="B2531" s="8" t="inlineStr">
        <is>
          <t>COVID-SNL-22-80818</t>
        </is>
      </c>
      <c r="C2531" s="8" t="n"/>
      <c r="D2531" s="7" t="n">
        <v>29</v>
      </c>
      <c r="E2531" s="7" t="n">
        <v>2450</v>
      </c>
      <c r="F2531" s="7" t="inlineStr">
        <is>
          <t>Yes</t>
        </is>
      </c>
      <c r="G2531" s="8" t="n"/>
    </row>
    <row r="2532">
      <c r="A2532" s="8" t="inlineStr">
        <is>
          <t>PGCV_0029_2451</t>
        </is>
      </c>
      <c r="B2532" s="8" t="inlineStr">
        <is>
          <t>COVID-SNL-22-80830</t>
        </is>
      </c>
      <c r="C2532" s="8" t="n"/>
      <c r="D2532" s="7" t="n">
        <v>29</v>
      </c>
      <c r="E2532" s="7" t="n">
        <v>2451</v>
      </c>
      <c r="F2532" s="7" t="inlineStr">
        <is>
          <t>Yes</t>
        </is>
      </c>
      <c r="G2532" s="8" t="n"/>
    </row>
    <row r="2533">
      <c r="A2533" s="8" t="inlineStr">
        <is>
          <t>PGCV_0029_2452</t>
        </is>
      </c>
      <c r="B2533" s="8" t="inlineStr">
        <is>
          <t>COVID-SNL-22-80837</t>
        </is>
      </c>
      <c r="C2533" s="8" t="n"/>
      <c r="D2533" s="7" t="n">
        <v>29</v>
      </c>
      <c r="E2533" s="7" t="n">
        <v>2452</v>
      </c>
      <c r="F2533" s="7" t="inlineStr">
        <is>
          <t>Yes</t>
        </is>
      </c>
      <c r="G2533" s="8" t="n"/>
    </row>
    <row r="2534">
      <c r="A2534" s="8" t="inlineStr">
        <is>
          <t>PGCV_0029_2453</t>
        </is>
      </c>
      <c r="B2534" s="8" t="inlineStr">
        <is>
          <t>COVID-SNL-22-80841</t>
        </is>
      </c>
      <c r="C2534" s="8" t="n"/>
      <c r="D2534" s="7" t="n">
        <v>29</v>
      </c>
      <c r="E2534" s="7" t="n">
        <v>2453</v>
      </c>
      <c r="F2534" s="7" t="inlineStr">
        <is>
          <t>Yes</t>
        </is>
      </c>
      <c r="G2534" s="8" t="n"/>
    </row>
    <row r="2535">
      <c r="A2535" s="8" t="inlineStr">
        <is>
          <t>PGCV_0029_2454</t>
        </is>
      </c>
      <c r="B2535" s="8" t="inlineStr">
        <is>
          <t>COVID-SNL-22-80844</t>
        </is>
      </c>
      <c r="C2535" s="8" t="n"/>
      <c r="D2535" s="7" t="n">
        <v>29</v>
      </c>
      <c r="E2535" s="7" t="n">
        <v>2454</v>
      </c>
      <c r="F2535" s="7" t="inlineStr">
        <is>
          <t>Yes</t>
        </is>
      </c>
      <c r="G2535" s="8" t="n"/>
    </row>
    <row r="2536">
      <c r="A2536" s="8" t="inlineStr">
        <is>
          <t>PGCV_0029_2455</t>
        </is>
      </c>
      <c r="B2536" s="8" t="inlineStr">
        <is>
          <t>COVID-SNL-22-80870</t>
        </is>
      </c>
      <c r="C2536" s="8" t="n"/>
      <c r="D2536" s="7" t="n">
        <v>29</v>
      </c>
      <c r="E2536" s="7" t="n">
        <v>2455</v>
      </c>
      <c r="F2536" s="7" t="inlineStr">
        <is>
          <t>Yes</t>
        </is>
      </c>
      <c r="G2536" s="8" t="n"/>
    </row>
    <row r="2537">
      <c r="A2537" s="8" t="inlineStr">
        <is>
          <t>PGCV_0029_2456</t>
        </is>
      </c>
      <c r="B2537" s="8" t="inlineStr">
        <is>
          <t>COVID-SNL-22-80871</t>
        </is>
      </c>
      <c r="C2537" s="8" t="n"/>
      <c r="D2537" s="7" t="n">
        <v>29</v>
      </c>
      <c r="E2537" s="7" t="n">
        <v>2456</v>
      </c>
      <c r="F2537" s="7" t="inlineStr">
        <is>
          <t>Yes</t>
        </is>
      </c>
      <c r="G2537" s="8" t="n"/>
    </row>
    <row r="2538">
      <c r="A2538" s="8" t="inlineStr">
        <is>
          <t>PGCV_0029_2457</t>
        </is>
      </c>
      <c r="B2538" s="8" t="inlineStr">
        <is>
          <t>COVID-SNL-22-80872</t>
        </is>
      </c>
      <c r="C2538" s="8" t="n"/>
      <c r="D2538" s="7" t="n">
        <v>29</v>
      </c>
      <c r="E2538" s="7" t="n">
        <v>2457</v>
      </c>
      <c r="F2538" s="7" t="inlineStr">
        <is>
          <t>Yes</t>
        </is>
      </c>
      <c r="G2538" s="8" t="n"/>
    </row>
    <row r="2539">
      <c r="A2539" s="8" t="inlineStr">
        <is>
          <t>PGCV_0029_2458</t>
        </is>
      </c>
      <c r="B2539" s="8" t="inlineStr">
        <is>
          <t>COVID-SNL-22-80875</t>
        </is>
      </c>
      <c r="C2539" s="8" t="n"/>
      <c r="D2539" s="7" t="n">
        <v>29</v>
      </c>
      <c r="E2539" s="7" t="n">
        <v>2458</v>
      </c>
      <c r="F2539" s="7" t="inlineStr">
        <is>
          <t>Yes</t>
        </is>
      </c>
      <c r="G2539" s="8" t="n"/>
    </row>
    <row r="2540">
      <c r="A2540" s="8" t="inlineStr">
        <is>
          <t>PGCV_0029_2459</t>
        </is>
      </c>
      <c r="B2540" s="8" t="inlineStr">
        <is>
          <t>COVID-SNL-22-80505</t>
        </is>
      </c>
      <c r="C2540" s="8" t="n"/>
      <c r="D2540" s="7" t="n">
        <v>29</v>
      </c>
      <c r="E2540" s="7" t="n">
        <v>2459</v>
      </c>
      <c r="F2540" s="7" t="inlineStr">
        <is>
          <t>Yes</t>
        </is>
      </c>
      <c r="G2540" s="8" t="n"/>
    </row>
    <row r="2541">
      <c r="A2541" s="8" t="inlineStr">
        <is>
          <t>PGCV_0029_2460</t>
        </is>
      </c>
      <c r="B2541" s="8" t="inlineStr">
        <is>
          <t>COVID-SNL-22-80925</t>
        </is>
      </c>
      <c r="C2541" s="8" t="n"/>
      <c r="D2541" s="7" t="n">
        <v>29</v>
      </c>
      <c r="E2541" s="7" t="n">
        <v>2460</v>
      </c>
      <c r="F2541" s="7" t="inlineStr">
        <is>
          <t>Yes</t>
        </is>
      </c>
      <c r="G2541" s="8" t="n"/>
    </row>
    <row r="2542">
      <c r="A2542" s="8" t="inlineStr">
        <is>
          <t>PGCV_0029_2461</t>
        </is>
      </c>
      <c r="B2542" s="8" t="inlineStr">
        <is>
          <t>COVID-SNL-22-81056</t>
        </is>
      </c>
      <c r="C2542" s="8" t="n"/>
      <c r="D2542" s="7" t="n">
        <v>29</v>
      </c>
      <c r="E2542" s="7" t="n">
        <v>2461</v>
      </c>
      <c r="F2542" s="7" t="inlineStr">
        <is>
          <t>Yes</t>
        </is>
      </c>
      <c r="G2542" s="8" t="n"/>
    </row>
    <row r="2543">
      <c r="A2543" s="8" t="inlineStr">
        <is>
          <t>PGCV_0029_2462</t>
        </is>
      </c>
      <c r="B2543" s="8" t="inlineStr">
        <is>
          <t>COVID-SNL-22-81061</t>
        </is>
      </c>
      <c r="C2543" s="8" t="n"/>
      <c r="D2543" s="7" t="n">
        <v>29</v>
      </c>
      <c r="E2543" s="7" t="n">
        <v>2462</v>
      </c>
      <c r="F2543" s="7" t="inlineStr">
        <is>
          <t>Yes</t>
        </is>
      </c>
      <c r="G2543" s="8" t="n"/>
    </row>
    <row r="2544">
      <c r="A2544" s="8" t="inlineStr">
        <is>
          <t>PGCV_0029_2463</t>
        </is>
      </c>
      <c r="B2544" s="8" t="inlineStr">
        <is>
          <t>COVID-SNL-22-81127</t>
        </is>
      </c>
      <c r="C2544" s="8" t="n"/>
      <c r="D2544" s="7" t="n">
        <v>29</v>
      </c>
      <c r="E2544" s="7" t="n">
        <v>2463</v>
      </c>
      <c r="F2544" s="7" t="inlineStr">
        <is>
          <t>Yes</t>
        </is>
      </c>
      <c r="G2544" s="8" t="n"/>
    </row>
    <row r="2545">
      <c r="A2545" s="8" t="inlineStr">
        <is>
          <t>PGCV_0029_2464</t>
        </is>
      </c>
      <c r="B2545" s="8" t="inlineStr">
        <is>
          <t>COVID-SNL-22-81141</t>
        </is>
      </c>
      <c r="C2545" s="8" t="n"/>
      <c r="D2545" s="7" t="n">
        <v>29</v>
      </c>
      <c r="E2545" s="7" t="n">
        <v>2464</v>
      </c>
      <c r="F2545" s="7" t="inlineStr">
        <is>
          <t>Yes</t>
        </is>
      </c>
      <c r="G2545" s="8" t="n"/>
    </row>
    <row r="2546">
      <c r="A2546" s="8" t="inlineStr">
        <is>
          <t>PGCV_0029_2465</t>
        </is>
      </c>
      <c r="B2546" s="8" t="inlineStr">
        <is>
          <t>COVID-SNL-22-81144</t>
        </is>
      </c>
      <c r="C2546" s="8" t="n"/>
      <c r="D2546" s="7" t="n">
        <v>29</v>
      </c>
      <c r="E2546" s="7" t="n">
        <v>2465</v>
      </c>
      <c r="F2546" s="7" t="inlineStr">
        <is>
          <t>Yes</t>
        </is>
      </c>
      <c r="G2546" s="8" t="n"/>
    </row>
    <row r="2547">
      <c r="A2547" s="8" t="inlineStr">
        <is>
          <t>PGCV_0029_2466</t>
        </is>
      </c>
      <c r="B2547" s="8" t="inlineStr">
        <is>
          <t>COVID-SNL-22-81099</t>
        </is>
      </c>
      <c r="C2547" s="8" t="n"/>
      <c r="D2547" s="7" t="n">
        <v>29</v>
      </c>
      <c r="E2547" s="7" t="n">
        <v>2466</v>
      </c>
      <c r="F2547" s="7" t="inlineStr">
        <is>
          <t>Yes</t>
        </is>
      </c>
      <c r="G2547" s="8" t="n"/>
    </row>
    <row r="2548">
      <c r="A2548" s="8" t="inlineStr">
        <is>
          <t>PGCV_0029_2467</t>
        </is>
      </c>
      <c r="B2548" s="8" t="inlineStr">
        <is>
          <t>COVID-SNL-22-81120</t>
        </is>
      </c>
      <c r="C2548" s="8" t="n"/>
      <c r="D2548" s="7" t="n">
        <v>29</v>
      </c>
      <c r="E2548" s="7" t="n">
        <v>2467</v>
      </c>
      <c r="F2548" s="7" t="inlineStr">
        <is>
          <t>Yes</t>
        </is>
      </c>
      <c r="G2548" s="8" t="n"/>
    </row>
    <row r="2549">
      <c r="A2549" s="8" t="inlineStr">
        <is>
          <t>PGCV_0029_2468</t>
        </is>
      </c>
      <c r="B2549" s="8" t="inlineStr">
        <is>
          <t>COVID-SNL-22-81160</t>
        </is>
      </c>
      <c r="C2549" s="8" t="n"/>
      <c r="D2549" s="7" t="n">
        <v>29</v>
      </c>
      <c r="E2549" s="7" t="n">
        <v>2468</v>
      </c>
      <c r="F2549" s="7" t="inlineStr">
        <is>
          <t>Yes</t>
        </is>
      </c>
      <c r="G2549" s="8" t="n"/>
    </row>
    <row r="2550">
      <c r="A2550" s="8" t="inlineStr">
        <is>
          <t>PGCV_0029_2469</t>
        </is>
      </c>
      <c r="B2550" s="8" t="inlineStr">
        <is>
          <t>COVID-SNL-22-81183</t>
        </is>
      </c>
      <c r="C2550" s="8" t="n"/>
      <c r="D2550" s="7" t="n">
        <v>29</v>
      </c>
      <c r="E2550" s="7" t="n">
        <v>2469</v>
      </c>
      <c r="F2550" s="7" t="inlineStr">
        <is>
          <t>Yes</t>
        </is>
      </c>
      <c r="G2550" s="8" t="n"/>
    </row>
    <row r="2551">
      <c r="A2551" s="8" t="inlineStr">
        <is>
          <t>PGCV_0029_2470</t>
        </is>
      </c>
      <c r="B2551" s="8" t="inlineStr">
        <is>
          <t>COVID-SNL-22-81189</t>
        </is>
      </c>
      <c r="C2551" s="8" t="n"/>
      <c r="D2551" s="7" t="n">
        <v>29</v>
      </c>
      <c r="E2551" s="7" t="n">
        <v>2470</v>
      </c>
      <c r="F2551" s="7" t="inlineStr">
        <is>
          <t>Yes</t>
        </is>
      </c>
      <c r="G2551" s="8" t="n"/>
    </row>
    <row r="2552">
      <c r="A2552" s="8" t="inlineStr">
        <is>
          <t>PGCV_0029_2471</t>
        </is>
      </c>
      <c r="B2552" s="8" t="inlineStr">
        <is>
          <t>COVID-SNL-22-81198</t>
        </is>
      </c>
      <c r="C2552" s="8" t="n"/>
      <c r="D2552" s="7" t="n">
        <v>29</v>
      </c>
      <c r="E2552" s="7" t="n">
        <v>2471</v>
      </c>
      <c r="F2552" s="7" t="inlineStr">
        <is>
          <t>Yes</t>
        </is>
      </c>
      <c r="G2552" s="8" t="n"/>
    </row>
    <row r="2553">
      <c r="A2553" s="8" t="inlineStr">
        <is>
          <t>PGCV_0029_2472</t>
        </is>
      </c>
      <c r="B2553" s="8" t="inlineStr">
        <is>
          <t>COVID-SNL-22-81200</t>
        </is>
      </c>
      <c r="C2553" s="8" t="n"/>
      <c r="D2553" s="7" t="n">
        <v>29</v>
      </c>
      <c r="E2553" s="7" t="n">
        <v>2472</v>
      </c>
      <c r="F2553" s="7" t="inlineStr">
        <is>
          <t>Yes</t>
        </is>
      </c>
      <c r="G2553" s="8" t="n"/>
    </row>
    <row r="2554">
      <c r="A2554" s="8" t="inlineStr">
        <is>
          <t>PGCV_0029_2473</t>
        </is>
      </c>
      <c r="B2554" s="8" t="inlineStr">
        <is>
          <t>COVID-SNL-22-81217</t>
        </is>
      </c>
      <c r="C2554" s="8" t="n"/>
      <c r="D2554" s="7" t="n">
        <v>29</v>
      </c>
      <c r="E2554" s="7" t="n">
        <v>2473</v>
      </c>
      <c r="F2554" s="7" t="inlineStr">
        <is>
          <t>Yes</t>
        </is>
      </c>
      <c r="G2554" s="8" t="n"/>
    </row>
    <row r="2555">
      <c r="A2555" s="8" t="inlineStr">
        <is>
          <t>PGCV_0029_2474</t>
        </is>
      </c>
      <c r="B2555" s="8" t="inlineStr">
        <is>
          <t>COVID-SNL-22-81218</t>
        </is>
      </c>
      <c r="C2555" s="8" t="n"/>
      <c r="D2555" s="7" t="n">
        <v>29</v>
      </c>
      <c r="E2555" s="7" t="n">
        <v>2474</v>
      </c>
      <c r="F2555" s="7" t="inlineStr">
        <is>
          <t>Yes</t>
        </is>
      </c>
      <c r="G2555" s="8" t="n"/>
    </row>
    <row r="2556">
      <c r="A2556" s="8" t="inlineStr">
        <is>
          <t>PGCV_0029_2475</t>
        </is>
      </c>
      <c r="B2556" s="8" t="inlineStr">
        <is>
          <t>COVID-SNL-22-81230</t>
        </is>
      </c>
      <c r="C2556" s="8" t="n"/>
      <c r="D2556" s="7" t="n">
        <v>29</v>
      </c>
      <c r="E2556" s="7" t="n">
        <v>2475</v>
      </c>
      <c r="F2556" s="7" t="inlineStr">
        <is>
          <t>Yes</t>
        </is>
      </c>
      <c r="G2556" s="8" t="n"/>
    </row>
    <row r="2557">
      <c r="A2557" s="8" t="inlineStr">
        <is>
          <t>PGCV_0029_2476</t>
        </is>
      </c>
      <c r="B2557" s="8" t="inlineStr">
        <is>
          <t>COVID-SNL-22-81233</t>
        </is>
      </c>
      <c r="C2557" s="8" t="n"/>
      <c r="D2557" s="7" t="n">
        <v>29</v>
      </c>
      <c r="E2557" s="7" t="n">
        <v>2476</v>
      </c>
      <c r="F2557" s="7" t="inlineStr">
        <is>
          <t>Yes</t>
        </is>
      </c>
      <c r="G2557" s="8" t="n"/>
    </row>
    <row r="2558">
      <c r="A2558" s="8" t="inlineStr">
        <is>
          <t>PGCV_0029_2477</t>
        </is>
      </c>
      <c r="B2558" s="8" t="inlineStr">
        <is>
          <t>COVID-SNL-22-81234</t>
        </is>
      </c>
      <c r="C2558" s="8" t="n"/>
      <c r="D2558" s="7" t="n">
        <v>29</v>
      </c>
      <c r="E2558" s="7" t="n">
        <v>2477</v>
      </c>
      <c r="F2558" s="7" t="inlineStr">
        <is>
          <t>Yes</t>
        </is>
      </c>
      <c r="G2558" s="8" t="n"/>
    </row>
    <row r="2559">
      <c r="A2559" s="8" t="inlineStr">
        <is>
          <t>PGCV_0029_2478</t>
        </is>
      </c>
      <c r="B2559" s="8" t="inlineStr">
        <is>
          <t>COVID-SNL-22-81257</t>
        </is>
      </c>
      <c r="C2559" s="8" t="n"/>
      <c r="D2559" s="7" t="n">
        <v>29</v>
      </c>
      <c r="E2559" s="7" t="n">
        <v>2478</v>
      </c>
      <c r="F2559" s="7" t="inlineStr">
        <is>
          <t>Yes</t>
        </is>
      </c>
      <c r="G2559" s="8" t="n"/>
    </row>
    <row r="2560">
      <c r="A2560" s="8" t="inlineStr">
        <is>
          <t>PGCV_0029_2479</t>
        </is>
      </c>
      <c r="B2560" s="8" t="inlineStr">
        <is>
          <t>COVID-SNL-22-81278</t>
        </is>
      </c>
      <c r="C2560" s="8" t="n"/>
      <c r="D2560" s="7" t="n">
        <v>29</v>
      </c>
      <c r="E2560" s="7" t="n">
        <v>2479</v>
      </c>
      <c r="F2560" s="7" t="inlineStr">
        <is>
          <t>Yes</t>
        </is>
      </c>
      <c r="G2560" s="8" t="n"/>
    </row>
    <row r="2561">
      <c r="A2561" s="8" t="inlineStr">
        <is>
          <t>PGCV_0029_2480</t>
        </is>
      </c>
      <c r="B2561" s="8" t="inlineStr">
        <is>
          <t>COVID-SNL-22-81393</t>
        </is>
      </c>
      <c r="C2561" s="8" t="n"/>
      <c r="D2561" s="7" t="n">
        <v>29</v>
      </c>
      <c r="E2561" s="7" t="n">
        <v>2480</v>
      </c>
      <c r="F2561" s="7" t="inlineStr">
        <is>
          <t>Yes</t>
        </is>
      </c>
      <c r="G2561" s="8" t="n"/>
    </row>
    <row r="2562">
      <c r="A2562" s="8" t="inlineStr">
        <is>
          <t>PGCV_0029_2481</t>
        </is>
      </c>
      <c r="B2562" s="8" t="inlineStr">
        <is>
          <t>COVID-SNL-22-81401</t>
        </is>
      </c>
      <c r="C2562" s="8" t="n"/>
      <c r="D2562" s="7" t="n">
        <v>29</v>
      </c>
      <c r="E2562" s="7" t="n">
        <v>2481</v>
      </c>
      <c r="F2562" s="7" t="inlineStr">
        <is>
          <t>Yes</t>
        </is>
      </c>
      <c r="G2562" s="8" t="n"/>
    </row>
    <row r="2563">
      <c r="A2563" s="8" t="inlineStr">
        <is>
          <t>PGCV_0029_2482</t>
        </is>
      </c>
      <c r="B2563" s="8" t="inlineStr">
        <is>
          <t>COVID-SNL-22-81415</t>
        </is>
      </c>
      <c r="C2563" s="8" t="n"/>
      <c r="D2563" s="7" t="n">
        <v>29</v>
      </c>
      <c r="E2563" s="7" t="n">
        <v>2482</v>
      </c>
      <c r="F2563" s="7" t="inlineStr">
        <is>
          <t>Yes</t>
        </is>
      </c>
      <c r="G2563" s="8" t="n"/>
    </row>
    <row r="2564">
      <c r="A2564" s="8" t="inlineStr">
        <is>
          <t>PGCV_0029_2483</t>
        </is>
      </c>
      <c r="B2564" s="8" t="inlineStr">
        <is>
          <t>COVID-SNL-22-81416</t>
        </is>
      </c>
      <c r="C2564" s="8" t="n"/>
      <c r="D2564" s="7" t="n">
        <v>29</v>
      </c>
      <c r="E2564" s="7" t="n">
        <v>2483</v>
      </c>
      <c r="F2564" s="7" t="inlineStr">
        <is>
          <t>Yes</t>
        </is>
      </c>
      <c r="G2564" s="8" t="n"/>
    </row>
    <row r="2565">
      <c r="A2565" s="8" t="inlineStr">
        <is>
          <t>PGCV_0029_2484</t>
        </is>
      </c>
      <c r="B2565" s="8" t="inlineStr">
        <is>
          <t>COVID-SNL-22-81431</t>
        </is>
      </c>
      <c r="C2565" s="8" t="n"/>
      <c r="D2565" s="7" t="n">
        <v>29</v>
      </c>
      <c r="E2565" s="7" t="n">
        <v>2484</v>
      </c>
      <c r="F2565" s="7" t="inlineStr">
        <is>
          <t>Yes</t>
        </is>
      </c>
      <c r="G2565" s="8" t="n"/>
    </row>
    <row r="2566">
      <c r="A2566" s="8" t="inlineStr">
        <is>
          <t>PGCV_0029_2485</t>
        </is>
      </c>
      <c r="B2566" s="8" t="inlineStr">
        <is>
          <t>COVID-SNL-22-81433</t>
        </is>
      </c>
      <c r="C2566" s="8" t="n"/>
      <c r="D2566" s="7" t="n">
        <v>29</v>
      </c>
      <c r="E2566" s="7" t="n">
        <v>2485</v>
      </c>
      <c r="F2566" s="7" t="inlineStr">
        <is>
          <t>Yes</t>
        </is>
      </c>
      <c r="G2566" s="8" t="n"/>
    </row>
    <row r="2567">
      <c r="A2567" s="8" t="inlineStr">
        <is>
          <t>PGCV_0029_2486</t>
        </is>
      </c>
      <c r="B2567" s="8" t="inlineStr">
        <is>
          <t>COVID-SNL-22-81475</t>
        </is>
      </c>
      <c r="C2567" s="8" t="n"/>
      <c r="D2567" s="7" t="n">
        <v>29</v>
      </c>
      <c r="E2567" s="7" t="n">
        <v>2486</v>
      </c>
      <c r="F2567" s="7" t="inlineStr">
        <is>
          <t>Yes</t>
        </is>
      </c>
      <c r="G2567" s="8" t="n"/>
    </row>
    <row r="2568">
      <c r="A2568" s="8" t="inlineStr">
        <is>
          <t>PGCV_0029_2487</t>
        </is>
      </c>
      <c r="B2568" s="8" t="inlineStr">
        <is>
          <t>COVID-SNL-22-81487</t>
        </is>
      </c>
      <c r="C2568" s="8" t="n"/>
      <c r="D2568" s="7" t="n">
        <v>29</v>
      </c>
      <c r="E2568" s="7" t="n">
        <v>2487</v>
      </c>
      <c r="F2568" s="7" t="inlineStr">
        <is>
          <t>Yes</t>
        </is>
      </c>
      <c r="G2568" s="8" t="n"/>
    </row>
    <row r="2569">
      <c r="A2569" s="8" t="inlineStr">
        <is>
          <t>PGCV_0029_2488</t>
        </is>
      </c>
      <c r="B2569" s="8" t="inlineStr">
        <is>
          <t>COVID-SNL-22-81448</t>
        </is>
      </c>
      <c r="C2569" s="8" t="n"/>
      <c r="D2569" s="7" t="n">
        <v>29</v>
      </c>
      <c r="E2569" s="7" t="n">
        <v>2488</v>
      </c>
      <c r="F2569" s="7" t="inlineStr">
        <is>
          <t>Yes</t>
        </is>
      </c>
      <c r="G2569" s="8" t="n"/>
    </row>
    <row r="2570">
      <c r="A2570" s="8" t="inlineStr">
        <is>
          <t>PGCV_0029_2489</t>
        </is>
      </c>
      <c r="B2570" s="8" t="inlineStr">
        <is>
          <t>COVID-SNL-22-81211</t>
        </is>
      </c>
      <c r="C2570" s="8" t="n"/>
      <c r="D2570" s="7" t="n">
        <v>29</v>
      </c>
      <c r="E2570" s="7" t="n">
        <v>2489</v>
      </c>
      <c r="F2570" s="7" t="inlineStr">
        <is>
          <t>Yes</t>
        </is>
      </c>
      <c r="G2570" s="8" t="n"/>
    </row>
    <row r="2571">
      <c r="A2571" s="8" t="inlineStr">
        <is>
          <t>PGCV_0029_2490</t>
        </is>
      </c>
      <c r="B2571" s="8" t="inlineStr">
        <is>
          <t>COVID-SNL-22-80387</t>
        </is>
      </c>
      <c r="C2571" s="8" t="n"/>
      <c r="D2571" s="7" t="n">
        <v>29</v>
      </c>
      <c r="E2571" s="7" t="n">
        <v>2490</v>
      </c>
      <c r="F2571" s="7" t="inlineStr">
        <is>
          <t>Yes</t>
        </is>
      </c>
      <c r="G2571" s="8" t="n"/>
    </row>
    <row r="2572">
      <c r="A2572" s="8" t="inlineStr">
        <is>
          <t>PGCV_0029_2491</t>
        </is>
      </c>
      <c r="B2572" s="8" t="inlineStr">
        <is>
          <t>COVID-SNL-22-80389</t>
        </is>
      </c>
      <c r="C2572" s="8" t="n"/>
      <c r="D2572" s="7" t="n">
        <v>29</v>
      </c>
      <c r="E2572" s="7" t="n">
        <v>2491</v>
      </c>
      <c r="F2572" s="7" t="inlineStr">
        <is>
          <t>Yes</t>
        </is>
      </c>
      <c r="G2572" s="8" t="n"/>
    </row>
    <row r="2573">
      <c r="A2573" s="8" t="inlineStr">
        <is>
          <t>PGCV_0029_2492</t>
        </is>
      </c>
      <c r="B2573" s="8" t="inlineStr">
        <is>
          <t>COVID-SNL-22-80973</t>
        </is>
      </c>
      <c r="C2573" s="8" t="n"/>
      <c r="D2573" s="7" t="n">
        <v>29</v>
      </c>
      <c r="E2573" s="7" t="n">
        <v>2492</v>
      </c>
      <c r="F2573" s="7" t="inlineStr">
        <is>
          <t>Yes</t>
        </is>
      </c>
      <c r="G2573" s="8" t="n"/>
    </row>
    <row r="2574">
      <c r="A2574" s="8" t="inlineStr">
        <is>
          <t>PGCV_0029_2493</t>
        </is>
      </c>
      <c r="B2574" s="8" t="inlineStr">
        <is>
          <t>COVID-SNL-22-81178</t>
        </is>
      </c>
      <c r="C2574" s="8" t="n"/>
      <c r="D2574" s="7" t="n">
        <v>29</v>
      </c>
      <c r="E2574" s="7" t="n">
        <v>2493</v>
      </c>
      <c r="F2574" s="7" t="inlineStr">
        <is>
          <t>Yes</t>
        </is>
      </c>
      <c r="G2574" s="8" t="n"/>
    </row>
    <row r="2575">
      <c r="A2575" s="8" t="inlineStr">
        <is>
          <t>PGCV_0029_2494</t>
        </is>
      </c>
      <c r="B2575" s="8" t="inlineStr">
        <is>
          <t>COVID-SNL-22-81181</t>
        </is>
      </c>
      <c r="C2575" s="8" t="n"/>
      <c r="D2575" s="7" t="n">
        <v>29</v>
      </c>
      <c r="E2575" s="7" t="n">
        <v>2494</v>
      </c>
      <c r="F2575" s="7" t="inlineStr">
        <is>
          <t>Yes</t>
        </is>
      </c>
      <c r="G2575" s="8" t="n"/>
    </row>
    <row r="2576">
      <c r="A2576" s="8" t="inlineStr">
        <is>
          <t>PGCV_0029_2495</t>
        </is>
      </c>
      <c r="B2576" s="8" t="inlineStr">
        <is>
          <t>COVID-SNL-22-81220</t>
        </is>
      </c>
      <c r="C2576" s="8" t="n"/>
      <c r="D2576" s="7" t="n">
        <v>29</v>
      </c>
      <c r="E2576" s="7" t="n">
        <v>2495</v>
      </c>
      <c r="F2576" s="7" t="inlineStr">
        <is>
          <t>Yes</t>
        </is>
      </c>
      <c r="G2576" s="8" t="n"/>
    </row>
    <row r="2577">
      <c r="A2577" s="8" t="inlineStr">
        <is>
          <t>PGCV_0029_2496</t>
        </is>
      </c>
      <c r="B2577" s="8" t="inlineStr">
        <is>
          <t>COVID-SNL-22-81221</t>
        </is>
      </c>
      <c r="C2577" s="8" t="n"/>
      <c r="D2577" s="7" t="n">
        <v>29</v>
      </c>
      <c r="E2577" s="7" t="n">
        <v>2496</v>
      </c>
      <c r="F2577" s="7" t="inlineStr">
        <is>
          <t>Yes</t>
        </is>
      </c>
      <c r="G2577" s="8" t="n"/>
    </row>
    <row r="2578">
      <c r="A2578" s="8" t="inlineStr">
        <is>
          <t>PGCV_0029_2497</t>
        </is>
      </c>
      <c r="B2578" s="8" t="inlineStr">
        <is>
          <t>COVID-SNL-22-81382</t>
        </is>
      </c>
      <c r="C2578" s="8" t="n"/>
      <c r="D2578" s="7" t="n">
        <v>29</v>
      </c>
      <c r="E2578" s="7" t="n">
        <v>2497</v>
      </c>
      <c r="F2578" s="7" t="inlineStr">
        <is>
          <t>Yes</t>
        </is>
      </c>
      <c r="G2578" s="8" t="n"/>
    </row>
    <row r="2579">
      <c r="A2579" s="8" t="inlineStr">
        <is>
          <t>PGCV_0029_2498</t>
        </is>
      </c>
      <c r="B2579" s="8" t="inlineStr">
        <is>
          <t>COVID-SNL-22-81482</t>
        </is>
      </c>
      <c r="C2579" s="8" t="n"/>
      <c r="D2579" s="7" t="n">
        <v>29</v>
      </c>
      <c r="E2579" s="7" t="n">
        <v>2498</v>
      </c>
      <c r="F2579" s="7" t="inlineStr">
        <is>
          <t>Yes</t>
        </is>
      </c>
      <c r="G2579" s="8" t="n"/>
    </row>
    <row r="2580">
      <c r="A2580" s="8" t="inlineStr">
        <is>
          <t>PGCV_0029_2499</t>
        </is>
      </c>
      <c r="B2580" s="8" t="inlineStr">
        <is>
          <t>COVID-SNL-22-81453</t>
        </is>
      </c>
      <c r="C2580" s="8" t="n"/>
      <c r="D2580" s="7" t="n">
        <v>29</v>
      </c>
      <c r="E2580" s="7" t="n">
        <v>2499</v>
      </c>
      <c r="F2580" s="7" t="inlineStr">
        <is>
          <t>Yes</t>
        </is>
      </c>
      <c r="G2580" s="8" t="n"/>
    </row>
    <row r="2581">
      <c r="A2581" s="8" t="inlineStr">
        <is>
          <t>PGCV_0029_2500</t>
        </is>
      </c>
      <c r="B2581" s="8" t="inlineStr">
        <is>
          <t>COVID-SNL-22-81432</t>
        </is>
      </c>
      <c r="C2581" s="8" t="n"/>
      <c r="D2581" s="7" t="n">
        <v>29</v>
      </c>
      <c r="E2581" s="7" t="n">
        <v>2500</v>
      </c>
      <c r="F2581" s="7" t="inlineStr">
        <is>
          <t>Yes</t>
        </is>
      </c>
      <c r="G2581" s="8" t="n"/>
    </row>
    <row r="2582">
      <c r="A2582" s="8" t="inlineStr">
        <is>
          <t>PGCV_0029_2501</t>
        </is>
      </c>
      <c r="B2582" s="8" t="inlineStr">
        <is>
          <t>COVID-SNL-22-80614</t>
        </is>
      </c>
      <c r="C2582" s="8" t="n"/>
      <c r="D2582" s="7" t="n">
        <v>29</v>
      </c>
      <c r="E2582" s="7" t="n">
        <v>2501</v>
      </c>
      <c r="F2582" s="7" t="inlineStr">
        <is>
          <t>Yes</t>
        </is>
      </c>
      <c r="G2582" s="8" t="n"/>
    </row>
    <row r="2583">
      <c r="A2583" s="8" t="inlineStr">
        <is>
          <t>PGCV_0029_2502</t>
        </is>
      </c>
      <c r="B2583" s="8" t="inlineStr">
        <is>
          <t>COVID-SNL-22-80615</t>
        </is>
      </c>
      <c r="C2583" s="8" t="n"/>
      <c r="D2583" s="7" t="n">
        <v>29</v>
      </c>
      <c r="E2583" s="7" t="n">
        <v>2502</v>
      </c>
      <c r="F2583" s="7" t="inlineStr">
        <is>
          <t>Yes</t>
        </is>
      </c>
      <c r="G2583" s="8" t="n"/>
    </row>
    <row r="2584">
      <c r="A2584" s="8" t="inlineStr">
        <is>
          <t>PGCV_0029_2503</t>
        </is>
      </c>
      <c r="B2584" s="8" t="inlineStr">
        <is>
          <t>COVID-SNL-22-80236</t>
        </is>
      </c>
      <c r="C2584" s="8" t="n"/>
      <c r="D2584" s="7" t="n">
        <v>29</v>
      </c>
      <c r="E2584" s="7" t="n">
        <v>2503</v>
      </c>
      <c r="F2584" s="7" t="inlineStr">
        <is>
          <t>Yes</t>
        </is>
      </c>
      <c r="G2584" s="8" t="n"/>
    </row>
    <row r="2585">
      <c r="A2585" s="8" t="inlineStr">
        <is>
          <t>PGCV_0029_2504</t>
        </is>
      </c>
      <c r="B2585" s="8" t="inlineStr">
        <is>
          <t>COVID-SNL-22-80111</t>
        </is>
      </c>
      <c r="C2585" s="8" t="n"/>
      <c r="D2585" s="7" t="n">
        <v>29</v>
      </c>
      <c r="E2585" s="7" t="n">
        <v>2504</v>
      </c>
      <c r="F2585" s="7" t="inlineStr">
        <is>
          <t>Yes</t>
        </is>
      </c>
      <c r="G2585" s="8" t="n"/>
    </row>
    <row r="2586">
      <c r="A2586" s="8" t="inlineStr">
        <is>
          <t>PGCV_0029_2505</t>
        </is>
      </c>
      <c r="B2586" s="8" t="inlineStr">
        <is>
          <t>COVID-SNL-22-80299</t>
        </is>
      </c>
      <c r="C2586" s="8" t="n"/>
      <c r="D2586" s="7" t="n">
        <v>29</v>
      </c>
      <c r="E2586" s="7" t="n">
        <v>2505</v>
      </c>
      <c r="F2586" s="7" t="inlineStr">
        <is>
          <t>Yes</t>
        </is>
      </c>
      <c r="G2586" s="8" t="n"/>
    </row>
    <row r="2587">
      <c r="A2587" s="8" t="inlineStr">
        <is>
          <t>PGCV_0029_2506</t>
        </is>
      </c>
      <c r="B2587" s="8" t="inlineStr">
        <is>
          <t>COVID-SNL-22-80351</t>
        </is>
      </c>
      <c r="C2587" s="8" t="n"/>
      <c r="D2587" s="7" t="n">
        <v>29</v>
      </c>
      <c r="E2587" s="7" t="n">
        <v>2506</v>
      </c>
      <c r="F2587" s="7" t="inlineStr">
        <is>
          <t>Yes</t>
        </is>
      </c>
      <c r="G2587" s="8" t="n"/>
    </row>
    <row r="2588">
      <c r="A2588" s="8" t="inlineStr">
        <is>
          <t>PGCV_0029_2507</t>
        </is>
      </c>
      <c r="B2588" s="8" t="inlineStr">
        <is>
          <t>MLAB177576</t>
        </is>
      </c>
      <c r="C2588" s="8" t="n"/>
      <c r="D2588" s="7" t="n">
        <v>29</v>
      </c>
      <c r="E2588" s="7" t="n">
        <v>2507</v>
      </c>
      <c r="F2588" s="7" t="inlineStr">
        <is>
          <t>Yes</t>
        </is>
      </c>
      <c r="G2588" s="8" t="n"/>
    </row>
    <row r="2589">
      <c r="A2589" s="8" t="inlineStr">
        <is>
          <t>PGCV_0029_2508</t>
        </is>
      </c>
      <c r="B2589" s="8" t="inlineStr">
        <is>
          <t>MLAB177581</t>
        </is>
      </c>
      <c r="C2589" s="8" t="n"/>
      <c r="D2589" s="7" t="n">
        <v>29</v>
      </c>
      <c r="E2589" s="7" t="n">
        <v>2508</v>
      </c>
      <c r="F2589" s="7" t="inlineStr">
        <is>
          <t>Yes</t>
        </is>
      </c>
      <c r="G2589" s="8" t="n"/>
    </row>
    <row r="2590">
      <c r="A2590" s="8" t="inlineStr">
        <is>
          <t>PGCV_0029_2509</t>
        </is>
      </c>
      <c r="B2590" s="8" t="inlineStr">
        <is>
          <t>MLAB177582</t>
        </is>
      </c>
      <c r="C2590" s="8" t="n"/>
      <c r="D2590" s="7" t="n">
        <v>29</v>
      </c>
      <c r="E2590" s="7" t="n">
        <v>2509</v>
      </c>
      <c r="F2590" s="7" t="inlineStr">
        <is>
          <t>Yes</t>
        </is>
      </c>
      <c r="G2590" s="8" t="n"/>
    </row>
    <row r="2591">
      <c r="A2591" s="8" t="inlineStr">
        <is>
          <t>PGCV_0029_2510</t>
        </is>
      </c>
      <c r="B2591" s="8" t="inlineStr">
        <is>
          <t>MLAB177583</t>
        </is>
      </c>
      <c r="C2591" s="8" t="n"/>
      <c r="D2591" s="7" t="n">
        <v>29</v>
      </c>
      <c r="E2591" s="7" t="n">
        <v>2510</v>
      </c>
      <c r="F2591" s="7" t="inlineStr">
        <is>
          <t>Yes</t>
        </is>
      </c>
      <c r="G2591" s="8" t="n"/>
    </row>
    <row r="2592">
      <c r="A2592" s="8" t="inlineStr">
        <is>
          <t>PGCV_0029_2511</t>
        </is>
      </c>
      <c r="B2592" s="8" t="inlineStr">
        <is>
          <t>MLAB177588</t>
        </is>
      </c>
      <c r="C2592" s="8" t="n"/>
      <c r="D2592" s="7" t="n">
        <v>29</v>
      </c>
      <c r="E2592" s="7" t="n">
        <v>2511</v>
      </c>
      <c r="F2592" s="7" t="inlineStr">
        <is>
          <t>Yes</t>
        </is>
      </c>
      <c r="G2592" s="8" t="n"/>
    </row>
    <row r="2593">
      <c r="A2593" s="8" t="inlineStr">
        <is>
          <t>PGCV_0029_2512</t>
        </is>
      </c>
      <c r="B2593" s="8" t="inlineStr">
        <is>
          <t>MLAB177594</t>
        </is>
      </c>
      <c r="C2593" s="8" t="n"/>
      <c r="D2593" s="7" t="n">
        <v>29</v>
      </c>
      <c r="E2593" s="7" t="n">
        <v>2512</v>
      </c>
      <c r="F2593" s="7" t="inlineStr">
        <is>
          <t>Yes</t>
        </is>
      </c>
      <c r="G2593" s="8" t="n"/>
    </row>
    <row r="2594">
      <c r="A2594" s="8" t="inlineStr">
        <is>
          <t>PGCV_0029_2513</t>
        </is>
      </c>
      <c r="B2594" s="8" t="inlineStr">
        <is>
          <t>MLAB177646</t>
        </is>
      </c>
      <c r="C2594" s="8" t="n"/>
      <c r="D2594" s="7" t="n">
        <v>29</v>
      </c>
      <c r="E2594" s="7" t="n">
        <v>2513</v>
      </c>
      <c r="F2594" s="7" t="inlineStr">
        <is>
          <t>Yes</t>
        </is>
      </c>
      <c r="G2594" s="8" t="n"/>
    </row>
    <row r="2595">
      <c r="A2595" s="8" t="inlineStr">
        <is>
          <t>PGCV_0029_2514</t>
        </is>
      </c>
      <c r="B2595" s="8" t="inlineStr">
        <is>
          <t>MLAB177675</t>
        </is>
      </c>
      <c r="C2595" s="8" t="n"/>
      <c r="D2595" s="7" t="n">
        <v>29</v>
      </c>
      <c r="E2595" s="7" t="n">
        <v>2514</v>
      </c>
      <c r="F2595" s="7" t="inlineStr">
        <is>
          <t>Yes</t>
        </is>
      </c>
      <c r="G2595" s="8" t="n"/>
    </row>
    <row r="2596">
      <c r="A2596" s="8" t="inlineStr">
        <is>
          <t>PGCV_0029_2515</t>
        </is>
      </c>
      <c r="B2596" s="8" t="inlineStr">
        <is>
          <t>MLAB177685</t>
        </is>
      </c>
      <c r="C2596" s="8" t="n"/>
      <c r="D2596" s="7" t="n">
        <v>29</v>
      </c>
      <c r="E2596" s="7" t="n">
        <v>2515</v>
      </c>
      <c r="F2596" s="7" t="inlineStr">
        <is>
          <t>Yes</t>
        </is>
      </c>
      <c r="G2596" s="8" t="n"/>
    </row>
    <row r="2597">
      <c r="A2597" s="8" t="inlineStr">
        <is>
          <t>PGCV_0029_2516</t>
        </is>
      </c>
      <c r="B2597" s="8" t="inlineStr">
        <is>
          <t>MLAB177688</t>
        </is>
      </c>
      <c r="C2597" s="8" t="n"/>
      <c r="D2597" s="7" t="n">
        <v>29</v>
      </c>
      <c r="E2597" s="7" t="n">
        <v>2516</v>
      </c>
      <c r="F2597" s="7" t="inlineStr">
        <is>
          <t>Yes</t>
        </is>
      </c>
      <c r="G2597" s="8" t="n"/>
    </row>
    <row r="2598">
      <c r="A2598" s="8" t="inlineStr">
        <is>
          <t>PGCV_0029_2517</t>
        </is>
      </c>
      <c r="B2598" s="8" t="inlineStr">
        <is>
          <t>MLAB177702</t>
        </is>
      </c>
      <c r="C2598" s="8" t="n"/>
      <c r="D2598" s="7" t="n">
        <v>29</v>
      </c>
      <c r="E2598" s="7" t="n">
        <v>2517</v>
      </c>
      <c r="F2598" s="7" t="inlineStr">
        <is>
          <t>Yes</t>
        </is>
      </c>
      <c r="G2598" s="8" t="n"/>
    </row>
    <row r="2599">
      <c r="A2599" s="8" t="inlineStr">
        <is>
          <t>PGCV_0029_2518</t>
        </is>
      </c>
      <c r="B2599" s="8" t="inlineStr">
        <is>
          <t>MLAB177709</t>
        </is>
      </c>
      <c r="C2599" s="8" t="n"/>
      <c r="D2599" s="7" t="n">
        <v>29</v>
      </c>
      <c r="E2599" s="7" t="n">
        <v>2518</v>
      </c>
      <c r="F2599" s="7" t="inlineStr">
        <is>
          <t>Yes</t>
        </is>
      </c>
      <c r="G2599" s="8" t="n"/>
    </row>
    <row r="2600">
      <c r="A2600" s="8" t="inlineStr">
        <is>
          <t>PGCV_0029_2519</t>
        </is>
      </c>
      <c r="B2600" s="8" t="inlineStr">
        <is>
          <t>MLAB177733</t>
        </is>
      </c>
      <c r="C2600" s="8" t="n"/>
      <c r="D2600" s="7" t="n">
        <v>29</v>
      </c>
      <c r="E2600" s="7" t="n">
        <v>2519</v>
      </c>
      <c r="F2600" s="7" t="inlineStr">
        <is>
          <t>Yes</t>
        </is>
      </c>
      <c r="G2600" s="8" t="n"/>
    </row>
    <row r="2601">
      <c r="A2601" s="8" t="inlineStr">
        <is>
          <t>PGCV_0029_2520</t>
        </is>
      </c>
      <c r="B2601" s="8" t="inlineStr">
        <is>
          <t>MLAB177738</t>
        </is>
      </c>
      <c r="C2601" s="8" t="n"/>
      <c r="D2601" s="7" t="n">
        <v>29</v>
      </c>
      <c r="E2601" s="7" t="n">
        <v>2520</v>
      </c>
      <c r="F2601" s="7" t="inlineStr">
        <is>
          <t>Yes</t>
        </is>
      </c>
      <c r="G2601" s="8" t="n"/>
    </row>
    <row r="2602">
      <c r="A2602" s="8" t="inlineStr">
        <is>
          <t>PGCV_0029_2521</t>
        </is>
      </c>
      <c r="B2602" s="8" t="inlineStr">
        <is>
          <t>MLAB177745</t>
        </is>
      </c>
      <c r="C2602" s="8" t="n"/>
      <c r="D2602" s="7" t="n">
        <v>29</v>
      </c>
      <c r="E2602" s="7" t="n">
        <v>2521</v>
      </c>
      <c r="F2602" s="7" t="inlineStr">
        <is>
          <t>Yes</t>
        </is>
      </c>
      <c r="G2602" s="8" t="n"/>
    </row>
    <row r="2603">
      <c r="A2603" s="8" t="inlineStr">
        <is>
          <t>PGCV_0029_2522</t>
        </is>
      </c>
      <c r="B2603" s="8" t="inlineStr">
        <is>
          <t>MLAB177755</t>
        </is>
      </c>
      <c r="C2603" s="8" t="n"/>
      <c r="D2603" s="7" t="n">
        <v>29</v>
      </c>
      <c r="E2603" s="7" t="n">
        <v>2522</v>
      </c>
      <c r="F2603" s="7" t="inlineStr">
        <is>
          <t>Yes</t>
        </is>
      </c>
      <c r="G2603" s="8" t="n"/>
    </row>
    <row r="2604">
      <c r="A2604" s="8" t="inlineStr">
        <is>
          <t>PGCV_0029_2523</t>
        </is>
      </c>
      <c r="B2604" s="8" t="inlineStr">
        <is>
          <t>22-41221</t>
        </is>
      </c>
      <c r="C2604" s="8" t="n"/>
      <c r="D2604" s="7" t="n">
        <v>29</v>
      </c>
      <c r="E2604" s="7" t="n">
        <v>2523</v>
      </c>
      <c r="F2604" s="7" t="inlineStr">
        <is>
          <t>Yes</t>
        </is>
      </c>
      <c r="G2604" s="12" t="inlineStr">
        <is>
          <t>specimen also sequenced as PGCV_0029_2560</t>
        </is>
      </c>
    </row>
    <row r="2605">
      <c r="A2605" s="8" t="inlineStr">
        <is>
          <t>PGCV_0029_2524</t>
        </is>
      </c>
      <c r="B2605" s="8" t="inlineStr">
        <is>
          <t>MLAB178011</t>
        </is>
      </c>
      <c r="C2605" s="8" t="n"/>
      <c r="D2605" s="7" t="n">
        <v>29</v>
      </c>
      <c r="E2605" s="7" t="n">
        <v>2524</v>
      </c>
      <c r="F2605" s="7" t="inlineStr">
        <is>
          <t>Yes</t>
        </is>
      </c>
      <c r="G2605" s="8" t="n"/>
    </row>
    <row r="2606">
      <c r="A2606" s="8" t="inlineStr">
        <is>
          <t>PGCV_0029_2525</t>
        </is>
      </c>
      <c r="B2606" s="8" t="inlineStr">
        <is>
          <t>MLAB178027</t>
        </is>
      </c>
      <c r="C2606" s="8" t="n"/>
      <c r="D2606" s="7" t="n">
        <v>29</v>
      </c>
      <c r="E2606" s="7" t="n">
        <v>2525</v>
      </c>
      <c r="F2606" s="7" t="inlineStr">
        <is>
          <t>Yes</t>
        </is>
      </c>
      <c r="G2606" s="8" t="n"/>
    </row>
    <row r="2607">
      <c r="A2607" s="8" t="inlineStr">
        <is>
          <t>PGCV_0029_2526</t>
        </is>
      </c>
      <c r="B2607" s="8" t="inlineStr">
        <is>
          <t>MLAB178032</t>
        </is>
      </c>
      <c r="C2607" s="8" t="n"/>
      <c r="D2607" s="7" t="n">
        <v>29</v>
      </c>
      <c r="E2607" s="7" t="n">
        <v>2526</v>
      </c>
      <c r="F2607" s="7" t="inlineStr">
        <is>
          <t>Yes</t>
        </is>
      </c>
      <c r="G2607" s="8" t="n"/>
    </row>
    <row r="2608">
      <c r="A2608" s="8" t="inlineStr">
        <is>
          <t>PGCV_0029_2527</t>
        </is>
      </c>
      <c r="B2608" s="8" t="inlineStr">
        <is>
          <t>MLAB178040</t>
        </is>
      </c>
      <c r="C2608" s="8" t="n"/>
      <c r="D2608" s="7" t="n">
        <v>29</v>
      </c>
      <c r="E2608" s="7" t="n">
        <v>2527</v>
      </c>
      <c r="F2608" s="7" t="inlineStr">
        <is>
          <t>Yes</t>
        </is>
      </c>
      <c r="G2608" s="8" t="n"/>
    </row>
    <row r="2609">
      <c r="A2609" s="8" t="inlineStr">
        <is>
          <t>PGCV_0029_2528</t>
        </is>
      </c>
      <c r="B2609" s="8" t="inlineStr">
        <is>
          <t>MLAB178095</t>
        </is>
      </c>
      <c r="C2609" s="8" t="n"/>
      <c r="D2609" s="7" t="n">
        <v>29</v>
      </c>
      <c r="E2609" s="7" t="n">
        <v>2528</v>
      </c>
      <c r="F2609" s="7" t="inlineStr">
        <is>
          <t>Yes</t>
        </is>
      </c>
      <c r="G2609" s="8" t="n"/>
    </row>
    <row r="2610">
      <c r="A2610" s="8" t="inlineStr">
        <is>
          <t>PGCV_0029_2529</t>
        </is>
      </c>
      <c r="B2610" s="8" t="inlineStr">
        <is>
          <t>MLAB178096</t>
        </is>
      </c>
      <c r="C2610" s="8" t="n"/>
      <c r="D2610" s="7" t="n">
        <v>29</v>
      </c>
      <c r="E2610" s="7" t="n">
        <v>2529</v>
      </c>
      <c r="F2610" s="7" t="inlineStr">
        <is>
          <t>Yes</t>
        </is>
      </c>
      <c r="G2610" s="8" t="n"/>
    </row>
    <row r="2611">
      <c r="A2611" s="8" t="inlineStr">
        <is>
          <t>PGCV_0029_2530</t>
        </is>
      </c>
      <c r="B2611" s="8" t="inlineStr">
        <is>
          <t>MLAB178105</t>
        </is>
      </c>
      <c r="C2611" s="8" t="n"/>
      <c r="D2611" s="7" t="n">
        <v>29</v>
      </c>
      <c r="E2611" s="7" t="n">
        <v>2530</v>
      </c>
      <c r="F2611" s="7" t="inlineStr">
        <is>
          <t>Yes</t>
        </is>
      </c>
      <c r="G2611" s="8" t="n"/>
    </row>
    <row r="2612">
      <c r="A2612" s="8" t="inlineStr">
        <is>
          <t>PGCV_0029_2531</t>
        </is>
      </c>
      <c r="B2612" s="8" t="inlineStr">
        <is>
          <t>MLAB178123</t>
        </is>
      </c>
      <c r="C2612" s="8" t="n"/>
      <c r="D2612" s="7" t="n">
        <v>29</v>
      </c>
      <c r="E2612" s="7" t="n">
        <v>2531</v>
      </c>
      <c r="F2612" s="7" t="inlineStr">
        <is>
          <t>Yes</t>
        </is>
      </c>
      <c r="G2612" s="8" t="n"/>
    </row>
    <row r="2613">
      <c r="A2613" s="8" t="inlineStr">
        <is>
          <t>PGCV_0029_2532</t>
        </is>
      </c>
      <c r="B2613" s="8" t="inlineStr">
        <is>
          <t>MLAB178124</t>
        </is>
      </c>
      <c r="C2613" s="8" t="n"/>
      <c r="D2613" s="7" t="n">
        <v>29</v>
      </c>
      <c r="E2613" s="7" t="n">
        <v>2532</v>
      </c>
      <c r="F2613" s="7" t="inlineStr">
        <is>
          <t>Yes</t>
        </is>
      </c>
      <c r="G2613" s="8" t="n"/>
    </row>
    <row r="2614">
      <c r="A2614" s="8" t="inlineStr">
        <is>
          <t>PGCV_0029_2533</t>
        </is>
      </c>
      <c r="B2614" s="8" t="inlineStr">
        <is>
          <t>MLAB178138</t>
        </is>
      </c>
      <c r="C2614" s="8" t="n"/>
      <c r="D2614" s="7" t="n">
        <v>29</v>
      </c>
      <c r="E2614" s="7" t="n">
        <v>2533</v>
      </c>
      <c r="F2614" s="7" t="inlineStr">
        <is>
          <t>Yes</t>
        </is>
      </c>
      <c r="G2614" s="8" t="n"/>
    </row>
    <row r="2615">
      <c r="A2615" s="8" t="inlineStr">
        <is>
          <t>PGCV_0029_2534</t>
        </is>
      </c>
      <c r="B2615" s="8" t="inlineStr">
        <is>
          <t>MLAB178159</t>
        </is>
      </c>
      <c r="C2615" s="8" t="n"/>
      <c r="D2615" s="7" t="n">
        <v>29</v>
      </c>
      <c r="E2615" s="7" t="n">
        <v>2534</v>
      </c>
      <c r="F2615" s="7" t="inlineStr">
        <is>
          <t>Yes</t>
        </is>
      </c>
      <c r="G2615" s="8" t="n"/>
    </row>
    <row r="2616">
      <c r="A2616" s="8" t="inlineStr">
        <is>
          <t>PGCV_0029_2535</t>
        </is>
      </c>
      <c r="B2616" s="8" t="inlineStr">
        <is>
          <t>MLAB178179</t>
        </is>
      </c>
      <c r="C2616" s="8" t="n"/>
      <c r="D2616" s="7" t="n">
        <v>29</v>
      </c>
      <c r="E2616" s="7" t="n">
        <v>2535</v>
      </c>
      <c r="F2616" s="7" t="inlineStr">
        <is>
          <t>Yes</t>
        </is>
      </c>
      <c r="G2616" s="8" t="n"/>
    </row>
    <row r="2617">
      <c r="A2617" s="8" t="inlineStr">
        <is>
          <t>PGCV_0029_2536</t>
        </is>
      </c>
      <c r="B2617" s="8" t="inlineStr">
        <is>
          <t>MLAB178211</t>
        </is>
      </c>
      <c r="C2617" s="8" t="n"/>
      <c r="D2617" s="7" t="n">
        <v>29</v>
      </c>
      <c r="E2617" s="7" t="n">
        <v>2536</v>
      </c>
      <c r="F2617" s="7" t="inlineStr">
        <is>
          <t>Yes</t>
        </is>
      </c>
      <c r="G2617" s="8" t="n"/>
    </row>
    <row r="2618">
      <c r="A2618" s="8" t="inlineStr">
        <is>
          <t>PGCV_0029_2537</t>
        </is>
      </c>
      <c r="B2618" s="8" t="inlineStr">
        <is>
          <t>MLAB178212</t>
        </is>
      </c>
      <c r="C2618" s="8" t="n"/>
      <c r="D2618" s="7" t="n">
        <v>29</v>
      </c>
      <c r="E2618" s="7" t="n">
        <v>2537</v>
      </c>
      <c r="F2618" s="7" t="inlineStr">
        <is>
          <t>Yes</t>
        </is>
      </c>
      <c r="G2618" s="8" t="n"/>
    </row>
    <row r="2619">
      <c r="A2619" s="8" t="inlineStr">
        <is>
          <t>PGCV_0029_2538</t>
        </is>
      </c>
      <c r="B2619" s="8" t="inlineStr">
        <is>
          <t>MLAB178227</t>
        </is>
      </c>
      <c r="C2619" s="8" t="n"/>
      <c r="D2619" s="7" t="n">
        <v>29</v>
      </c>
      <c r="E2619" s="7" t="n">
        <v>2538</v>
      </c>
      <c r="F2619" s="7" t="inlineStr">
        <is>
          <t>Yes</t>
        </is>
      </c>
      <c r="G2619" s="8" t="n"/>
    </row>
    <row r="2620">
      <c r="A2620" s="8" t="inlineStr">
        <is>
          <t>PGCV_0029_2539</t>
        </is>
      </c>
      <c r="B2620" s="8" t="inlineStr">
        <is>
          <t>MLAB178238</t>
        </is>
      </c>
      <c r="C2620" s="8" t="n"/>
      <c r="D2620" s="7" t="n">
        <v>29</v>
      </c>
      <c r="E2620" s="7" t="n">
        <v>2539</v>
      </c>
      <c r="F2620" s="7" t="inlineStr">
        <is>
          <t>Yes</t>
        </is>
      </c>
      <c r="G2620" s="8" t="n"/>
    </row>
    <row r="2621">
      <c r="A2621" s="8" t="inlineStr">
        <is>
          <t>PGCV_0029_2540</t>
        </is>
      </c>
      <c r="B2621" s="8" t="inlineStr">
        <is>
          <t>22-40586</t>
        </is>
      </c>
      <c r="C2621" s="8" t="n"/>
      <c r="D2621" s="7" t="n">
        <v>29</v>
      </c>
      <c r="E2621" s="7" t="n">
        <v>2540</v>
      </c>
      <c r="F2621" s="7" t="inlineStr">
        <is>
          <t>Yes</t>
        </is>
      </c>
      <c r="G2621" s="8" t="n"/>
    </row>
    <row r="2622">
      <c r="A2622" s="8" t="inlineStr">
        <is>
          <t>PGCV_0029_2541</t>
        </is>
      </c>
      <c r="B2622" s="8" t="inlineStr">
        <is>
          <t>22-40599</t>
        </is>
      </c>
      <c r="C2622" s="8" t="n"/>
      <c r="D2622" s="7" t="n">
        <v>29</v>
      </c>
      <c r="E2622" s="7" t="n">
        <v>2541</v>
      </c>
      <c r="F2622" s="7" t="inlineStr">
        <is>
          <t>Yes</t>
        </is>
      </c>
      <c r="G2622" s="8" t="n"/>
    </row>
    <row r="2623">
      <c r="A2623" s="8" t="inlineStr">
        <is>
          <t>PGCV_0029_2542</t>
        </is>
      </c>
      <c r="B2623" s="8" t="inlineStr">
        <is>
          <t>22-40624</t>
        </is>
      </c>
      <c r="C2623" s="8" t="n"/>
      <c r="D2623" s="7" t="n">
        <v>29</v>
      </c>
      <c r="E2623" s="7" t="n">
        <v>2542</v>
      </c>
      <c r="F2623" s="7" t="inlineStr">
        <is>
          <t>Yes</t>
        </is>
      </c>
      <c r="G2623" s="8" t="n"/>
    </row>
    <row r="2624">
      <c r="A2624" s="8" t="inlineStr">
        <is>
          <t>PGCV_0029_2543</t>
        </is>
      </c>
      <c r="B2624" s="8" t="inlineStr">
        <is>
          <t>22-40637</t>
        </is>
      </c>
      <c r="C2624" s="8" t="n"/>
      <c r="D2624" s="7" t="n">
        <v>29</v>
      </c>
      <c r="E2624" s="7" t="n">
        <v>2543</v>
      </c>
      <c r="F2624" s="7" t="inlineStr">
        <is>
          <t>Yes</t>
        </is>
      </c>
      <c r="G2624" s="8" t="n"/>
    </row>
    <row r="2625">
      <c r="A2625" s="8" t="inlineStr">
        <is>
          <t>PGCV_0029_2544</t>
        </is>
      </c>
      <c r="B2625" s="8" t="inlineStr">
        <is>
          <t>22-40640</t>
        </is>
      </c>
      <c r="C2625" s="8" t="n"/>
      <c r="D2625" s="7" t="n">
        <v>29</v>
      </c>
      <c r="E2625" s="7" t="n">
        <v>2544</v>
      </c>
      <c r="F2625" s="7" t="inlineStr">
        <is>
          <t>Yes</t>
        </is>
      </c>
      <c r="G2625" s="8" t="n"/>
    </row>
    <row r="2626">
      <c r="A2626" s="8" t="inlineStr">
        <is>
          <t>PGCV_0029_2545</t>
        </is>
      </c>
      <c r="B2626" s="8" t="inlineStr">
        <is>
          <t>22-40647</t>
        </is>
      </c>
      <c r="C2626" s="8" t="n"/>
      <c r="D2626" s="7" t="n">
        <v>29</v>
      </c>
      <c r="E2626" s="7" t="n">
        <v>2545</v>
      </c>
      <c r="F2626" s="7" t="inlineStr">
        <is>
          <t>Yes</t>
        </is>
      </c>
      <c r="G2626" s="8" t="n"/>
    </row>
    <row r="2627">
      <c r="A2627" s="8" t="inlineStr">
        <is>
          <t>PGCV_0029_2546</t>
        </is>
      </c>
      <c r="B2627" s="8" t="inlineStr">
        <is>
          <t>22-40680</t>
        </is>
      </c>
      <c r="C2627" s="8" t="n"/>
      <c r="D2627" s="7" t="n">
        <v>29</v>
      </c>
      <c r="E2627" s="7" t="n">
        <v>2546</v>
      </c>
      <c r="F2627" s="7" t="inlineStr">
        <is>
          <t>Yes</t>
        </is>
      </c>
      <c r="G2627" s="8" t="n"/>
    </row>
    <row r="2628">
      <c r="A2628" s="8" t="inlineStr">
        <is>
          <t>PGCV_0029_2547</t>
        </is>
      </c>
      <c r="B2628" s="8" t="inlineStr">
        <is>
          <t>22-40681</t>
        </is>
      </c>
      <c r="C2628" s="8" t="n"/>
      <c r="D2628" s="7" t="n">
        <v>29</v>
      </c>
      <c r="E2628" s="7" t="n">
        <v>2547</v>
      </c>
      <c r="F2628" s="7" t="inlineStr">
        <is>
          <t>Yes</t>
        </is>
      </c>
      <c r="G2628" s="8" t="n"/>
    </row>
    <row r="2629">
      <c r="A2629" s="8" t="inlineStr">
        <is>
          <t>PGCV_0029_2548</t>
        </is>
      </c>
      <c r="B2629" s="8" t="inlineStr">
        <is>
          <t>22-40684</t>
        </is>
      </c>
      <c r="C2629" s="8" t="n"/>
      <c r="D2629" s="7" t="n">
        <v>29</v>
      </c>
      <c r="E2629" s="7" t="n">
        <v>2548</v>
      </c>
      <c r="F2629" s="7" t="inlineStr">
        <is>
          <t>Yes</t>
        </is>
      </c>
      <c r="G2629" s="8" t="n"/>
    </row>
    <row r="2630">
      <c r="A2630" s="8" t="inlineStr">
        <is>
          <t>PGCV_0029_2549</t>
        </is>
      </c>
      <c r="B2630" s="8" t="inlineStr">
        <is>
          <t>22-40713</t>
        </is>
      </c>
      <c r="C2630" s="8" t="n"/>
      <c r="D2630" s="7" t="n">
        <v>29</v>
      </c>
      <c r="E2630" s="7" t="n">
        <v>2549</v>
      </c>
      <c r="F2630" s="7" t="inlineStr">
        <is>
          <t>Yes</t>
        </is>
      </c>
      <c r="G2630" s="8" t="n"/>
    </row>
    <row r="2631">
      <c r="A2631" s="8" t="inlineStr">
        <is>
          <t>PGCV_0029_2550</t>
        </is>
      </c>
      <c r="B2631" s="8" t="inlineStr">
        <is>
          <t>22-40739</t>
        </is>
      </c>
      <c r="C2631" s="8" t="n"/>
      <c r="D2631" s="7" t="n">
        <v>29</v>
      </c>
      <c r="E2631" s="7" t="n">
        <v>2550</v>
      </c>
      <c r="F2631" s="7" t="inlineStr">
        <is>
          <t>Yes</t>
        </is>
      </c>
      <c r="G2631" s="8" t="n"/>
    </row>
    <row r="2632">
      <c r="A2632" s="8" t="inlineStr">
        <is>
          <t>PGCV_0029_2551</t>
        </is>
      </c>
      <c r="B2632" s="8" t="inlineStr">
        <is>
          <t>22-40770</t>
        </is>
      </c>
      <c r="C2632" s="8" t="n"/>
      <c r="D2632" s="7" t="n">
        <v>29</v>
      </c>
      <c r="E2632" s="7" t="n">
        <v>2551</v>
      </c>
      <c r="F2632" s="7" t="inlineStr">
        <is>
          <t>Yes</t>
        </is>
      </c>
      <c r="G2632" s="8" t="n"/>
    </row>
    <row r="2633">
      <c r="A2633" s="8" t="inlineStr">
        <is>
          <t>PGCV_0029_2552</t>
        </is>
      </c>
      <c r="B2633" s="8" t="inlineStr">
        <is>
          <t>22-41045</t>
        </is>
      </c>
      <c r="C2633" s="8" t="n"/>
      <c r="D2633" s="7" t="n">
        <v>29</v>
      </c>
      <c r="E2633" s="7" t="n">
        <v>2552</v>
      </c>
      <c r="F2633" s="7" t="inlineStr">
        <is>
          <t>Yes</t>
        </is>
      </c>
      <c r="G2633" s="8" t="n"/>
    </row>
    <row r="2634">
      <c r="A2634" s="8" t="inlineStr">
        <is>
          <t>PGCV_0029_2553</t>
        </is>
      </c>
      <c r="B2634" s="8" t="inlineStr">
        <is>
          <t>22-42060</t>
        </is>
      </c>
      <c r="C2634" s="8" t="n"/>
      <c r="D2634" s="7" t="n">
        <v>29</v>
      </c>
      <c r="E2634" s="7" t="n">
        <v>2553</v>
      </c>
      <c r="F2634" s="7" t="inlineStr">
        <is>
          <t>Yes</t>
        </is>
      </c>
      <c r="G2634" s="8" t="n"/>
    </row>
    <row r="2635">
      <c r="A2635" s="8" t="inlineStr">
        <is>
          <t>PGCV_0029_2556</t>
        </is>
      </c>
      <c r="B2635" s="8" t="inlineStr">
        <is>
          <t>22-41148</t>
        </is>
      </c>
      <c r="C2635" s="8" t="n"/>
      <c r="D2635" s="7" t="n">
        <v>29</v>
      </c>
      <c r="E2635" s="7" t="n">
        <v>2556</v>
      </c>
      <c r="F2635" s="7" t="inlineStr">
        <is>
          <t>Yes</t>
        </is>
      </c>
      <c r="G2635" s="8" t="n"/>
    </row>
    <row r="2636">
      <c r="A2636" s="8" t="inlineStr">
        <is>
          <t>PGCV_0029_2557</t>
        </is>
      </c>
      <c r="B2636" s="8" t="inlineStr">
        <is>
          <t>22-41172</t>
        </is>
      </c>
      <c r="C2636" s="8" t="n"/>
      <c r="D2636" s="7" t="n">
        <v>29</v>
      </c>
      <c r="E2636" s="7" t="n">
        <v>2557</v>
      </c>
      <c r="F2636" s="7" t="inlineStr">
        <is>
          <t>Yes</t>
        </is>
      </c>
      <c r="G2636" s="8" t="n"/>
    </row>
    <row r="2637">
      <c r="A2637" s="8" t="inlineStr">
        <is>
          <t>PGCV_0029_2558</t>
        </is>
      </c>
      <c r="B2637" s="8" t="inlineStr">
        <is>
          <t>22-41177</t>
        </is>
      </c>
      <c r="C2637" s="8" t="n"/>
      <c r="D2637" s="7" t="n">
        <v>29</v>
      </c>
      <c r="E2637" s="7" t="n">
        <v>2558</v>
      </c>
      <c r="F2637" s="7" t="inlineStr">
        <is>
          <t>Yes</t>
        </is>
      </c>
      <c r="G2637" s="8" t="n"/>
    </row>
    <row r="2638">
      <c r="A2638" s="8" t="inlineStr">
        <is>
          <t>PGCV_0029_2559</t>
        </is>
      </c>
      <c r="B2638" s="8" t="inlineStr">
        <is>
          <t>22-41202</t>
        </is>
      </c>
      <c r="C2638" s="8" t="n"/>
      <c r="D2638" s="7" t="n">
        <v>29</v>
      </c>
      <c r="E2638" s="7" t="n">
        <v>2559</v>
      </c>
      <c r="F2638" s="7" t="inlineStr">
        <is>
          <t>Yes</t>
        </is>
      </c>
      <c r="G2638" s="8" t="n"/>
    </row>
    <row r="2639">
      <c r="A2639" s="8" t="inlineStr">
        <is>
          <t>PGCV_0029_2560</t>
        </is>
      </c>
      <c r="B2639" s="8" t="inlineStr">
        <is>
          <t>22-41221</t>
        </is>
      </c>
      <c r="C2639" s="8" t="n"/>
      <c r="D2639" s="7" t="n">
        <v>29</v>
      </c>
      <c r="E2639" s="7" t="n">
        <v>2560</v>
      </c>
      <c r="F2639" s="7" t="inlineStr">
        <is>
          <t>Yes</t>
        </is>
      </c>
      <c r="G2639" s="12" t="inlineStr">
        <is>
          <t>specimen also sequenced as PGCV_0029_2523</t>
        </is>
      </c>
    </row>
    <row r="2640">
      <c r="A2640" s="8" t="inlineStr">
        <is>
          <t>PGCV_0029_2561</t>
        </is>
      </c>
      <c r="B2640" s="8" t="inlineStr">
        <is>
          <t>22-41241</t>
        </is>
      </c>
      <c r="C2640" s="8" t="n"/>
      <c r="D2640" s="7" t="n">
        <v>29</v>
      </c>
      <c r="E2640" s="7" t="n">
        <v>2561</v>
      </c>
      <c r="F2640" s="7" t="inlineStr">
        <is>
          <t>Yes</t>
        </is>
      </c>
      <c r="G2640" s="8" t="n"/>
    </row>
    <row r="2641">
      <c r="A2641" s="8" t="inlineStr">
        <is>
          <t>PGCV_0029_2562</t>
        </is>
      </c>
      <c r="B2641" s="8" t="inlineStr">
        <is>
          <t>C35456</t>
        </is>
      </c>
      <c r="C2641" s="8" t="n"/>
      <c r="D2641" s="7" t="n">
        <v>29</v>
      </c>
      <c r="E2641" s="7" t="n">
        <v>2562</v>
      </c>
      <c r="F2641" s="7" t="inlineStr">
        <is>
          <t>Yes</t>
        </is>
      </c>
      <c r="G2641" s="8" t="n"/>
    </row>
    <row r="2642">
      <c r="A2642" s="8" t="inlineStr">
        <is>
          <t>PGCV_0029_2563</t>
        </is>
      </c>
      <c r="B2642" s="8" t="inlineStr">
        <is>
          <t>C35485</t>
        </is>
      </c>
      <c r="C2642" s="8" t="n"/>
      <c r="D2642" s="7" t="n">
        <v>29</v>
      </c>
      <c r="E2642" s="7" t="n">
        <v>2563</v>
      </c>
      <c r="F2642" s="7" t="inlineStr">
        <is>
          <t>Yes</t>
        </is>
      </c>
      <c r="G2642" s="8" t="n"/>
    </row>
    <row r="2643">
      <c r="A2643" s="8" t="inlineStr">
        <is>
          <t>PGCV_0029_2564</t>
        </is>
      </c>
      <c r="B2643" s="8" t="inlineStr">
        <is>
          <t>C35543</t>
        </is>
      </c>
      <c r="C2643" s="8" t="n"/>
      <c r="D2643" s="7" t="n">
        <v>29</v>
      </c>
      <c r="E2643" s="7" t="n">
        <v>2564</v>
      </c>
      <c r="F2643" s="7" t="inlineStr">
        <is>
          <t>Yes</t>
        </is>
      </c>
      <c r="G2643" s="8" t="n"/>
    </row>
    <row r="2644">
      <c r="A2644" s="8" t="inlineStr">
        <is>
          <t>PGCV_0029_2565</t>
        </is>
      </c>
      <c r="B2644" s="8" t="inlineStr">
        <is>
          <t>C35628</t>
        </is>
      </c>
      <c r="C2644" s="8" t="n"/>
      <c r="D2644" s="7" t="n">
        <v>29</v>
      </c>
      <c r="E2644" s="7" t="n">
        <v>2565</v>
      </c>
      <c r="F2644" s="7" t="inlineStr">
        <is>
          <t>Yes</t>
        </is>
      </c>
      <c r="G2644" s="8" t="n"/>
    </row>
    <row r="2645">
      <c r="A2645" s="8" t="inlineStr">
        <is>
          <t>PGCV_0029_2566</t>
        </is>
      </c>
      <c r="B2645" s="8" t="inlineStr">
        <is>
          <t>C35673</t>
        </is>
      </c>
      <c r="C2645" s="8" t="n"/>
      <c r="D2645" s="7" t="n">
        <v>29</v>
      </c>
      <c r="E2645" s="7" t="n">
        <v>2566</v>
      </c>
      <c r="F2645" s="7" t="inlineStr">
        <is>
          <t>Yes</t>
        </is>
      </c>
      <c r="G2645" s="8" t="n"/>
    </row>
    <row r="2646">
      <c r="A2646" s="8" t="inlineStr">
        <is>
          <t>PGCV_0029_2567</t>
        </is>
      </c>
      <c r="B2646" s="8" t="inlineStr">
        <is>
          <t>C36025</t>
        </is>
      </c>
      <c r="C2646" s="8" t="n"/>
      <c r="D2646" s="7" t="n">
        <v>29</v>
      </c>
      <c r="E2646" s="7" t="n">
        <v>2567</v>
      </c>
      <c r="F2646" s="7" t="inlineStr">
        <is>
          <t>Yes</t>
        </is>
      </c>
      <c r="G2646" s="8" t="n"/>
    </row>
    <row r="2647">
      <c r="A2647" s="8" t="inlineStr">
        <is>
          <t>PGCV_0029_2568</t>
        </is>
      </c>
      <c r="B2647" s="8" t="inlineStr">
        <is>
          <t>C36035</t>
        </is>
      </c>
      <c r="C2647" s="8" t="n"/>
      <c r="D2647" s="7" t="n">
        <v>29</v>
      </c>
      <c r="E2647" s="7" t="n">
        <v>2568</v>
      </c>
      <c r="F2647" s="7" t="inlineStr">
        <is>
          <t>Yes</t>
        </is>
      </c>
      <c r="G2647" s="8" t="n"/>
    </row>
    <row r="2648">
      <c r="A2648" s="8" t="inlineStr">
        <is>
          <t>PGCV_0029_2569</t>
        </is>
      </c>
      <c r="B2648" s="8" t="inlineStr">
        <is>
          <t>C36064</t>
        </is>
      </c>
      <c r="C2648" s="8" t="n"/>
      <c r="D2648" s="7" t="n">
        <v>29</v>
      </c>
      <c r="E2648" s="7" t="n">
        <v>2569</v>
      </c>
      <c r="F2648" s="7" t="inlineStr">
        <is>
          <t>Yes</t>
        </is>
      </c>
      <c r="G2648" s="8" t="n"/>
    </row>
    <row r="2649">
      <c r="A2649" s="8" t="inlineStr">
        <is>
          <t>PGCV_0029_2570</t>
        </is>
      </c>
      <c r="B2649" s="8" t="inlineStr">
        <is>
          <t>C36074</t>
        </is>
      </c>
      <c r="C2649" s="8" t="n"/>
      <c r="D2649" s="7" t="n">
        <v>29</v>
      </c>
      <c r="E2649" s="7" t="n">
        <v>2570</v>
      </c>
      <c r="F2649" s="7" t="inlineStr">
        <is>
          <t>Yes</t>
        </is>
      </c>
      <c r="G2649" s="8" t="n"/>
    </row>
    <row r="2650">
      <c r="A2650" s="8" t="inlineStr">
        <is>
          <t>PGCV_0029_2571</t>
        </is>
      </c>
      <c r="B2650" s="8" t="inlineStr">
        <is>
          <t>C36081</t>
        </is>
      </c>
      <c r="C2650" s="8" t="n"/>
      <c r="D2650" s="7" t="n">
        <v>29</v>
      </c>
      <c r="E2650" s="7" t="n">
        <v>2571</v>
      </c>
      <c r="F2650" s="7" t="inlineStr">
        <is>
          <t>Yes</t>
        </is>
      </c>
      <c r="G2650" s="8" t="n"/>
    </row>
    <row r="2651">
      <c r="A2651" s="8" t="inlineStr">
        <is>
          <t>PGCV_0029_2572</t>
        </is>
      </c>
      <c r="B2651" s="8" t="inlineStr">
        <is>
          <t>C36154</t>
        </is>
      </c>
      <c r="C2651" s="8" t="n"/>
      <c r="D2651" s="7" t="n">
        <v>29</v>
      </c>
      <c r="E2651" s="7" t="n">
        <v>2572</v>
      </c>
      <c r="F2651" s="7" t="inlineStr">
        <is>
          <t>Yes</t>
        </is>
      </c>
      <c r="G2651" s="8" t="n"/>
    </row>
    <row r="2652">
      <c r="A2652" s="8" t="inlineStr">
        <is>
          <t>PGCV_0029_2573</t>
        </is>
      </c>
      <c r="B2652" s="8" t="inlineStr">
        <is>
          <t>744B116088</t>
        </is>
      </c>
      <c r="C2652" s="8" t="n"/>
      <c r="D2652" s="7" t="n">
        <v>29</v>
      </c>
      <c r="E2652" s="7" t="n">
        <v>2573</v>
      </c>
      <c r="F2652" s="7" t="inlineStr">
        <is>
          <t>Yes</t>
        </is>
      </c>
      <c r="G2652" s="8" t="n"/>
    </row>
    <row r="2653">
      <c r="A2653" s="8" t="inlineStr">
        <is>
          <t>PGCV_0029_2574</t>
        </is>
      </c>
      <c r="B2653" s="8" t="inlineStr">
        <is>
          <t>744B116089</t>
        </is>
      </c>
      <c r="C2653" s="8" t="n"/>
      <c r="D2653" s="7" t="n">
        <v>29</v>
      </c>
      <c r="E2653" s="7" t="n">
        <v>2574</v>
      </c>
      <c r="F2653" s="7" t="inlineStr">
        <is>
          <t>Yes</t>
        </is>
      </c>
      <c r="G2653" s="8" t="n"/>
    </row>
    <row r="2654">
      <c r="A2654" s="8" t="inlineStr">
        <is>
          <t>PGCV_0029_2575</t>
        </is>
      </c>
      <c r="B2654" s="8" t="inlineStr">
        <is>
          <t>744B116091</t>
        </is>
      </c>
      <c r="C2654" s="8" t="n"/>
      <c r="D2654" s="7" t="n">
        <v>29</v>
      </c>
      <c r="E2654" s="7" t="n">
        <v>2575</v>
      </c>
      <c r="F2654" s="7" t="inlineStr">
        <is>
          <t>Yes</t>
        </is>
      </c>
      <c r="G2654" s="8" t="n"/>
    </row>
    <row r="2655">
      <c r="A2655" s="8" t="inlineStr">
        <is>
          <t>PGCV_0029_2576</t>
        </is>
      </c>
      <c r="B2655" s="8" t="inlineStr">
        <is>
          <t>744B116120</t>
        </is>
      </c>
      <c r="C2655" s="8" t="n"/>
      <c r="D2655" s="7" t="n">
        <v>29</v>
      </c>
      <c r="E2655" s="7" t="n">
        <v>2576</v>
      </c>
      <c r="F2655" s="7" t="inlineStr">
        <is>
          <t>Yes</t>
        </is>
      </c>
      <c r="G2655" s="8" t="n"/>
    </row>
    <row r="2656">
      <c r="A2656" s="8" t="inlineStr">
        <is>
          <t>PGCV_0029_2577</t>
        </is>
      </c>
      <c r="B2656" s="8" t="inlineStr">
        <is>
          <t>745B116192</t>
        </is>
      </c>
      <c r="C2656" s="8" t="n"/>
      <c r="D2656" s="7" t="n">
        <v>29</v>
      </c>
      <c r="E2656" s="7" t="n">
        <v>2577</v>
      </c>
      <c r="F2656" s="7" t="inlineStr">
        <is>
          <t>Yes</t>
        </is>
      </c>
      <c r="G2656" s="8" t="n"/>
    </row>
    <row r="2657">
      <c r="A2657" s="8" t="inlineStr">
        <is>
          <t>PGCV_0029_2578</t>
        </is>
      </c>
      <c r="B2657" s="8" t="inlineStr">
        <is>
          <t>745B116244</t>
        </is>
      </c>
      <c r="C2657" s="8" t="n"/>
      <c r="D2657" s="7" t="n">
        <v>29</v>
      </c>
      <c r="E2657" s="7" t="n">
        <v>2578</v>
      </c>
      <c r="F2657" s="7" t="inlineStr">
        <is>
          <t>Yes</t>
        </is>
      </c>
      <c r="G2657" s="8" t="n"/>
    </row>
    <row r="2658">
      <c r="A2658" s="8" t="inlineStr">
        <is>
          <t>PGCV_0029_2579</t>
        </is>
      </c>
      <c r="B2658" s="8" t="inlineStr">
        <is>
          <t>745B116245</t>
        </is>
      </c>
      <c r="C2658" s="8" t="n"/>
      <c r="D2658" s="7" t="n">
        <v>29</v>
      </c>
      <c r="E2658" s="7" t="n">
        <v>2579</v>
      </c>
      <c r="F2658" s="7" t="inlineStr">
        <is>
          <t>Yes</t>
        </is>
      </c>
      <c r="G2658" s="8" t="n"/>
    </row>
    <row r="2659">
      <c r="A2659" s="8" t="inlineStr">
        <is>
          <t>PGCV_0029_2580</t>
        </is>
      </c>
      <c r="B2659" s="8" t="inlineStr">
        <is>
          <t>745B116246</t>
        </is>
      </c>
      <c r="C2659" s="8" t="n"/>
      <c r="D2659" s="7" t="n">
        <v>29</v>
      </c>
      <c r="E2659" s="7" t="n">
        <v>2580</v>
      </c>
      <c r="F2659" s="7" t="inlineStr">
        <is>
          <t>Yes</t>
        </is>
      </c>
      <c r="G2659" s="8" t="n"/>
    </row>
    <row r="2660">
      <c r="A2660" s="8" t="inlineStr">
        <is>
          <t>PGCV_0029_2581</t>
        </is>
      </c>
      <c r="B2660" s="8" t="inlineStr">
        <is>
          <t>745B116266</t>
        </is>
      </c>
      <c r="C2660" s="8" t="n"/>
      <c r="D2660" s="7" t="n">
        <v>29</v>
      </c>
      <c r="E2660" s="7" t="n">
        <v>2581</v>
      </c>
      <c r="F2660" s="7" t="inlineStr">
        <is>
          <t>Yes</t>
        </is>
      </c>
      <c r="G2660" s="8" t="n"/>
    </row>
    <row r="2661">
      <c r="A2661" s="8" t="inlineStr">
        <is>
          <t>PGCV_0029_2582</t>
        </is>
      </c>
      <c r="B2661" s="8" t="inlineStr">
        <is>
          <t>745B116267</t>
        </is>
      </c>
      <c r="C2661" s="8" t="n"/>
      <c r="D2661" s="7" t="n">
        <v>29</v>
      </c>
      <c r="E2661" s="7" t="n">
        <v>2582</v>
      </c>
      <c r="F2661" s="7" t="inlineStr">
        <is>
          <t>Yes</t>
        </is>
      </c>
      <c r="G2661" s="8" t="n"/>
    </row>
    <row r="2662">
      <c r="A2662" s="8" t="inlineStr">
        <is>
          <t>PGCV_0029_2583</t>
        </is>
      </c>
      <c r="B2662" s="8" t="inlineStr">
        <is>
          <t>745B116273</t>
        </is>
      </c>
      <c r="C2662" s="8" t="n"/>
      <c r="D2662" s="7" t="n">
        <v>29</v>
      </c>
      <c r="E2662" s="7" t="n">
        <v>2583</v>
      </c>
      <c r="F2662" s="7" t="inlineStr">
        <is>
          <t>Yes</t>
        </is>
      </c>
      <c r="G2662" s="8" t="n"/>
    </row>
    <row r="2663">
      <c r="A2663" s="8" t="inlineStr">
        <is>
          <t>PGCV_0029_2584</t>
        </is>
      </c>
      <c r="B2663" s="8" t="inlineStr">
        <is>
          <t>745B116303</t>
        </is>
      </c>
      <c r="C2663" s="8" t="n"/>
      <c r="D2663" s="7" t="n">
        <v>29</v>
      </c>
      <c r="E2663" s="7" t="n">
        <v>2584</v>
      </c>
      <c r="F2663" s="7" t="inlineStr">
        <is>
          <t>Yes</t>
        </is>
      </c>
      <c r="G2663" s="8" t="n"/>
    </row>
    <row r="2664">
      <c r="A2664" s="8" t="inlineStr">
        <is>
          <t>PGCV_0029_2585</t>
        </is>
      </c>
      <c r="B2664" s="8" t="inlineStr">
        <is>
          <t>745B116304</t>
        </is>
      </c>
      <c r="C2664" s="8" t="n"/>
      <c r="D2664" s="7" t="n">
        <v>29</v>
      </c>
      <c r="E2664" s="7" t="n">
        <v>2585</v>
      </c>
      <c r="F2664" s="7" t="inlineStr">
        <is>
          <t>Yes</t>
        </is>
      </c>
      <c r="G2664" s="8" t="n"/>
    </row>
    <row r="2665">
      <c r="A2665" s="8" t="inlineStr">
        <is>
          <t>PGCV_0029_2586</t>
        </is>
      </c>
      <c r="B2665" s="8" t="inlineStr">
        <is>
          <t>745B116314</t>
        </is>
      </c>
      <c r="C2665" s="8" t="n"/>
      <c r="D2665" s="7" t="n">
        <v>29</v>
      </c>
      <c r="E2665" s="7" t="n">
        <v>2586</v>
      </c>
      <c r="F2665" s="7" t="inlineStr">
        <is>
          <t>Yes</t>
        </is>
      </c>
      <c r="G2665" s="8" t="n"/>
    </row>
    <row r="2666">
      <c r="A2666" s="8" t="inlineStr">
        <is>
          <t>PGCV_0029_2587</t>
        </is>
      </c>
      <c r="B2666" s="8" t="inlineStr">
        <is>
          <t>746B116362</t>
        </is>
      </c>
      <c r="C2666" s="8" t="n"/>
      <c r="D2666" s="7" t="n">
        <v>29</v>
      </c>
      <c r="E2666" s="7" t="n">
        <v>2587</v>
      </c>
      <c r="F2666" s="7" t="inlineStr">
        <is>
          <t>Yes</t>
        </is>
      </c>
      <c r="G2666" s="8" t="n"/>
    </row>
    <row r="2667">
      <c r="A2667" s="8" t="inlineStr">
        <is>
          <t>PGCV_0029_2588</t>
        </is>
      </c>
      <c r="B2667" s="8" t="inlineStr">
        <is>
          <t>746B116383</t>
        </is>
      </c>
      <c r="C2667" s="8" t="n"/>
      <c r="D2667" s="7" t="n">
        <v>29</v>
      </c>
      <c r="E2667" s="7" t="n">
        <v>2588</v>
      </c>
      <c r="F2667" s="7" t="inlineStr">
        <is>
          <t>Yes</t>
        </is>
      </c>
      <c r="G2667" s="8" t="n"/>
    </row>
    <row r="2668">
      <c r="A2668" s="8" t="inlineStr">
        <is>
          <t>PGCV_0029_2589</t>
        </is>
      </c>
      <c r="B2668" s="8" t="inlineStr">
        <is>
          <t>746B116412</t>
        </is>
      </c>
      <c r="C2668" s="8" t="n"/>
      <c r="D2668" s="7" t="n">
        <v>29</v>
      </c>
      <c r="E2668" s="7" t="n">
        <v>2589</v>
      </c>
      <c r="F2668" s="7" t="inlineStr">
        <is>
          <t>Yes</t>
        </is>
      </c>
      <c r="G2668" s="8" t="n"/>
    </row>
    <row r="2669">
      <c r="A2669" s="8" t="inlineStr">
        <is>
          <t>PGCV_0029_2590</t>
        </is>
      </c>
      <c r="B2669" s="8" t="inlineStr">
        <is>
          <t>746B116413</t>
        </is>
      </c>
      <c r="C2669" s="8" t="n"/>
      <c r="D2669" s="7" t="n">
        <v>29</v>
      </c>
      <c r="E2669" s="7" t="n">
        <v>2590</v>
      </c>
      <c r="F2669" s="7" t="inlineStr">
        <is>
          <t>Yes</t>
        </is>
      </c>
      <c r="G2669" s="8" t="n"/>
    </row>
    <row r="2670">
      <c r="A2670" s="8" t="inlineStr">
        <is>
          <t>PGCV_0029_2591</t>
        </is>
      </c>
      <c r="B2670" s="8" t="inlineStr">
        <is>
          <t>746B116414</t>
        </is>
      </c>
      <c r="C2670" s="8" t="n"/>
      <c r="D2670" s="7" t="n">
        <v>29</v>
      </c>
      <c r="E2670" s="7" t="n">
        <v>2591</v>
      </c>
      <c r="F2670" s="7" t="inlineStr">
        <is>
          <t>Yes</t>
        </is>
      </c>
      <c r="G2670" s="8" t="n"/>
    </row>
    <row r="2671">
      <c r="A2671" s="8" t="inlineStr">
        <is>
          <t>PGCV_0029_2592</t>
        </is>
      </c>
      <c r="B2671" s="8" t="inlineStr">
        <is>
          <t>746B116421</t>
        </is>
      </c>
      <c r="C2671" s="8" t="n"/>
      <c r="D2671" s="7" t="n">
        <v>29</v>
      </c>
      <c r="E2671" s="7" t="n">
        <v>2592</v>
      </c>
      <c r="F2671" s="7" t="inlineStr">
        <is>
          <t>Yes</t>
        </is>
      </c>
      <c r="G2671" s="8" t="n"/>
    </row>
    <row r="2672">
      <c r="A2672" s="8" t="inlineStr">
        <is>
          <t>PGCV_0029_2593</t>
        </is>
      </c>
      <c r="B2672" s="8" t="inlineStr">
        <is>
          <t>746B116438</t>
        </is>
      </c>
      <c r="C2672" s="8" t="n"/>
      <c r="D2672" s="7" t="n">
        <v>29</v>
      </c>
      <c r="E2672" s="7" t="n">
        <v>2593</v>
      </c>
      <c r="F2672" s="7" t="inlineStr">
        <is>
          <t>Yes</t>
        </is>
      </c>
      <c r="G2672" s="8" t="n"/>
    </row>
    <row r="2673">
      <c r="A2673" s="8" t="inlineStr">
        <is>
          <t>PGCV_0029_2594</t>
        </is>
      </c>
      <c r="B2673" s="8" t="inlineStr">
        <is>
          <t>747B116497</t>
        </is>
      </c>
      <c r="C2673" s="8" t="n"/>
      <c r="D2673" s="7" t="n">
        <v>29</v>
      </c>
      <c r="E2673" s="7" t="n">
        <v>2594</v>
      </c>
      <c r="F2673" s="7" t="inlineStr">
        <is>
          <t>Yes</t>
        </is>
      </c>
      <c r="G2673" s="8" t="n"/>
    </row>
    <row r="2674">
      <c r="A2674" s="8" t="inlineStr">
        <is>
          <t>PGCV_0029_2595</t>
        </is>
      </c>
      <c r="B2674" s="8" t="inlineStr">
        <is>
          <t>747B116502</t>
        </is>
      </c>
      <c r="C2674" s="8" t="n"/>
      <c r="D2674" s="7" t="n">
        <v>29</v>
      </c>
      <c r="E2674" s="7" t="n">
        <v>2595</v>
      </c>
      <c r="F2674" s="7" t="inlineStr">
        <is>
          <t>Yes</t>
        </is>
      </c>
      <c r="G2674" s="8" t="n"/>
    </row>
    <row r="2675">
      <c r="A2675" s="8" t="inlineStr">
        <is>
          <t>PGCV_0029_2596</t>
        </is>
      </c>
      <c r="B2675" s="8" t="inlineStr">
        <is>
          <t>747B116517</t>
        </is>
      </c>
      <c r="C2675" s="8" t="n"/>
      <c r="D2675" s="7" t="n">
        <v>29</v>
      </c>
      <c r="E2675" s="7" t="n">
        <v>2596</v>
      </c>
      <c r="F2675" s="7" t="inlineStr">
        <is>
          <t>Yes</t>
        </is>
      </c>
      <c r="G2675" s="8" t="n"/>
    </row>
    <row r="2676">
      <c r="A2676" s="8" t="inlineStr">
        <is>
          <t>PGCV_0029_2597</t>
        </is>
      </c>
      <c r="B2676" s="8" t="inlineStr">
        <is>
          <t>747B116521</t>
        </is>
      </c>
      <c r="C2676" s="8" t="n"/>
      <c r="D2676" s="7" t="n">
        <v>29</v>
      </c>
      <c r="E2676" s="7" t="n">
        <v>2597</v>
      </c>
      <c r="F2676" s="7" t="inlineStr">
        <is>
          <t>Yes</t>
        </is>
      </c>
      <c r="G2676" s="8" t="n"/>
    </row>
    <row r="2677">
      <c r="A2677" s="8" t="inlineStr">
        <is>
          <t>PGCV_0029_2598</t>
        </is>
      </c>
      <c r="B2677" s="8" t="inlineStr">
        <is>
          <t>747B116522</t>
        </is>
      </c>
      <c r="C2677" s="8" t="n"/>
      <c r="D2677" s="7" t="n">
        <v>29</v>
      </c>
      <c r="E2677" s="7" t="n">
        <v>2598</v>
      </c>
      <c r="F2677" s="7" t="inlineStr">
        <is>
          <t>Yes</t>
        </is>
      </c>
      <c r="G2677" s="8" t="n"/>
    </row>
    <row r="2678">
      <c r="A2678" s="8" t="inlineStr">
        <is>
          <t>PGCV_0029_2599</t>
        </is>
      </c>
      <c r="B2678" s="8" t="inlineStr">
        <is>
          <t>747B116523</t>
        </is>
      </c>
      <c r="C2678" s="8" t="n"/>
      <c r="D2678" s="7" t="n">
        <v>29</v>
      </c>
      <c r="E2678" s="7" t="n">
        <v>2599</v>
      </c>
      <c r="F2678" s="7" t="inlineStr">
        <is>
          <t>Yes</t>
        </is>
      </c>
      <c r="G2678" s="8" t="n"/>
    </row>
    <row r="2679">
      <c r="A2679" s="8" t="inlineStr">
        <is>
          <t>PGCV_0029_2600</t>
        </is>
      </c>
      <c r="B2679" s="8" t="inlineStr">
        <is>
          <t>747B116524</t>
        </is>
      </c>
      <c r="C2679" s="8" t="n"/>
      <c r="D2679" s="7" t="n">
        <v>29</v>
      </c>
      <c r="E2679" s="7" t="n">
        <v>2600</v>
      </c>
      <c r="F2679" s="7" t="inlineStr">
        <is>
          <t>Yes</t>
        </is>
      </c>
      <c r="G2679" s="8" t="n"/>
    </row>
    <row r="2680">
      <c r="A2680" s="8" t="inlineStr">
        <is>
          <t>PGCV_0029_2601</t>
        </is>
      </c>
      <c r="B2680" s="8" t="inlineStr">
        <is>
          <t>747B116525</t>
        </is>
      </c>
      <c r="C2680" s="8" t="n"/>
      <c r="D2680" s="7" t="n">
        <v>29</v>
      </c>
      <c r="E2680" s="7" t="n">
        <v>2601</v>
      </c>
      <c r="F2680" s="7" t="inlineStr">
        <is>
          <t>Yes</t>
        </is>
      </c>
      <c r="G2680" s="8" t="n"/>
    </row>
    <row r="2681">
      <c r="A2681" s="8" t="inlineStr">
        <is>
          <t>PGCV_0029_2602</t>
        </is>
      </c>
      <c r="B2681" s="8" t="inlineStr">
        <is>
          <t>747B116526</t>
        </is>
      </c>
      <c r="C2681" s="8" t="n"/>
      <c r="D2681" s="7" t="n">
        <v>29</v>
      </c>
      <c r="E2681" s="7" t="n">
        <v>2602</v>
      </c>
      <c r="F2681" s="7" t="inlineStr">
        <is>
          <t>Yes</t>
        </is>
      </c>
      <c r="G2681" s="8" t="n"/>
    </row>
    <row r="2682">
      <c r="A2682" s="8" t="inlineStr">
        <is>
          <t>PGCV_0029_2603</t>
        </is>
      </c>
      <c r="B2682" s="8" t="inlineStr">
        <is>
          <t>747B116541</t>
        </is>
      </c>
      <c r="C2682" s="8" t="n"/>
      <c r="D2682" s="7" t="n">
        <v>29</v>
      </c>
      <c r="E2682" s="7" t="n">
        <v>2603</v>
      </c>
      <c r="F2682" s="7" t="inlineStr">
        <is>
          <t>Yes</t>
        </is>
      </c>
      <c r="G2682" s="8" t="n"/>
    </row>
    <row r="2683">
      <c r="A2683" s="8" t="inlineStr">
        <is>
          <t>PGCV_0029_2604</t>
        </is>
      </c>
      <c r="B2683" s="8" t="inlineStr">
        <is>
          <t>747B116582</t>
        </is>
      </c>
      <c r="C2683" s="8" t="n"/>
      <c r="D2683" s="7" t="n">
        <v>29</v>
      </c>
      <c r="E2683" s="7" t="n">
        <v>2604</v>
      </c>
      <c r="F2683" s="7" t="inlineStr">
        <is>
          <t>Yes</t>
        </is>
      </c>
      <c r="G2683" s="8" t="n"/>
    </row>
    <row r="2684">
      <c r="A2684" s="8" t="inlineStr">
        <is>
          <t>PGCV_0029_2605</t>
        </is>
      </c>
      <c r="B2684" s="8" t="inlineStr">
        <is>
          <t>747B116605</t>
        </is>
      </c>
      <c r="C2684" s="8" t="n"/>
      <c r="D2684" s="7" t="n">
        <v>29</v>
      </c>
      <c r="E2684" s="7" t="n">
        <v>2605</v>
      </c>
      <c r="F2684" s="7" t="inlineStr">
        <is>
          <t>Yes</t>
        </is>
      </c>
      <c r="G2684" s="8" t="n"/>
    </row>
    <row r="2685">
      <c r="A2685" s="8" t="inlineStr">
        <is>
          <t>PGCV_0029_2606</t>
        </is>
      </c>
      <c r="B2685" s="8" t="inlineStr">
        <is>
          <t>748B116668</t>
        </is>
      </c>
      <c r="C2685" s="8" t="n"/>
      <c r="D2685" s="7" t="n">
        <v>29</v>
      </c>
      <c r="E2685" s="7" t="n">
        <v>2606</v>
      </c>
      <c r="F2685" s="7" t="inlineStr">
        <is>
          <t>Yes</t>
        </is>
      </c>
      <c r="G2685" s="8" t="n"/>
    </row>
    <row r="2686">
      <c r="A2686" s="8" t="inlineStr">
        <is>
          <t>PGCV_0029_2607</t>
        </is>
      </c>
      <c r="B2686" s="8" t="inlineStr">
        <is>
          <t>748B116681</t>
        </is>
      </c>
      <c r="C2686" s="8" t="n"/>
      <c r="D2686" s="7" t="n">
        <v>29</v>
      </c>
      <c r="E2686" s="7" t="n">
        <v>2607</v>
      </c>
      <c r="F2686" s="7" t="inlineStr">
        <is>
          <t>Yes</t>
        </is>
      </c>
      <c r="G2686" s="8" t="n"/>
    </row>
    <row r="2687">
      <c r="A2687" s="8" t="inlineStr">
        <is>
          <t>PGCV_0029_2608</t>
        </is>
      </c>
      <c r="B2687" s="8" t="inlineStr">
        <is>
          <t>748B116683</t>
        </is>
      </c>
      <c r="C2687" s="8" t="n"/>
      <c r="D2687" s="7" t="n">
        <v>29</v>
      </c>
      <c r="E2687" s="7" t="n">
        <v>2608</v>
      </c>
      <c r="F2687" s="7" t="inlineStr">
        <is>
          <t>Yes</t>
        </is>
      </c>
      <c r="G2687" s="8" t="n"/>
    </row>
    <row r="2688">
      <c r="A2688" s="8" t="inlineStr">
        <is>
          <t>PGCV_0029_2609</t>
        </is>
      </c>
      <c r="B2688" s="8" t="inlineStr">
        <is>
          <t>748B116685</t>
        </is>
      </c>
      <c r="C2688" s="8" t="n"/>
      <c r="D2688" s="7" t="n">
        <v>29</v>
      </c>
      <c r="E2688" s="7" t="n">
        <v>2609</v>
      </c>
      <c r="F2688" s="7" t="inlineStr">
        <is>
          <t>Yes</t>
        </is>
      </c>
      <c r="G2688" s="8" t="n"/>
    </row>
    <row r="2689">
      <c r="A2689" s="8" t="inlineStr">
        <is>
          <t>PGCV_0029_2610</t>
        </is>
      </c>
      <c r="B2689" s="8" t="inlineStr">
        <is>
          <t>748B116687</t>
        </is>
      </c>
      <c r="C2689" s="8" t="n"/>
      <c r="D2689" s="7" t="n">
        <v>29</v>
      </c>
      <c r="E2689" s="7" t="n">
        <v>2610</v>
      </c>
      <c r="F2689" s="7" t="inlineStr">
        <is>
          <t>Yes</t>
        </is>
      </c>
      <c r="G2689" s="8" t="n"/>
    </row>
    <row r="2690">
      <c r="A2690" s="8" t="inlineStr">
        <is>
          <t>PGCV_0029_2611</t>
        </is>
      </c>
      <c r="B2690" s="8" t="inlineStr">
        <is>
          <t>748B116688</t>
        </is>
      </c>
      <c r="C2690" s="8" t="n"/>
      <c r="D2690" s="7" t="n">
        <v>29</v>
      </c>
      <c r="E2690" s="7" t="n">
        <v>2611</v>
      </c>
      <c r="F2690" s="7" t="inlineStr">
        <is>
          <t>No</t>
        </is>
      </c>
      <c r="G2690" s="8" t="n"/>
    </row>
    <row r="2691">
      <c r="A2691" s="8" t="inlineStr">
        <is>
          <t>PGCV_0029_2612</t>
        </is>
      </c>
      <c r="B2691" s="8" t="inlineStr">
        <is>
          <t>748B116689</t>
        </is>
      </c>
      <c r="C2691" s="8" t="n"/>
      <c r="D2691" s="7" t="n">
        <v>29</v>
      </c>
      <c r="E2691" s="7" t="n">
        <v>2612</v>
      </c>
      <c r="F2691" s="7" t="inlineStr">
        <is>
          <t>Yes</t>
        </is>
      </c>
      <c r="G2691" s="8" t="n"/>
    </row>
    <row r="2692">
      <c r="A2692" s="8" t="inlineStr">
        <is>
          <t>PGCV_0029_2613</t>
        </is>
      </c>
      <c r="B2692" s="8" t="inlineStr">
        <is>
          <t>748B116700</t>
        </is>
      </c>
      <c r="C2692" s="8" t="n"/>
      <c r="D2692" s="7" t="n">
        <v>29</v>
      </c>
      <c r="E2692" s="7" t="n">
        <v>2613</v>
      </c>
      <c r="F2692" s="7" t="inlineStr">
        <is>
          <t>No</t>
        </is>
      </c>
      <c r="G2692" s="8" t="n"/>
    </row>
    <row r="2693">
      <c r="A2693" s="8" t="inlineStr">
        <is>
          <t>PGCV_0029_2614</t>
        </is>
      </c>
      <c r="B2693" s="8" t="inlineStr">
        <is>
          <t>749B116746</t>
        </is>
      </c>
      <c r="C2693" s="8" t="n"/>
      <c r="D2693" s="7" t="n">
        <v>29</v>
      </c>
      <c r="E2693" s="7" t="n">
        <v>2614</v>
      </c>
      <c r="F2693" s="7" t="inlineStr">
        <is>
          <t>Yes</t>
        </is>
      </c>
      <c r="G2693" s="8" t="n"/>
    </row>
    <row r="2694">
      <c r="A2694" s="8" t="inlineStr">
        <is>
          <t>PGCV_0029_2615</t>
        </is>
      </c>
      <c r="B2694" s="8" t="inlineStr">
        <is>
          <t>749B116803</t>
        </is>
      </c>
      <c r="C2694" s="8" t="n"/>
      <c r="D2694" s="7" t="n">
        <v>29</v>
      </c>
      <c r="E2694" s="7" t="n">
        <v>2615</v>
      </c>
      <c r="F2694" s="7" t="inlineStr">
        <is>
          <t>Yes</t>
        </is>
      </c>
      <c r="G2694" s="8" t="n"/>
    </row>
    <row r="2695">
      <c r="A2695" s="8" t="inlineStr">
        <is>
          <t>PGCV_0029_2616</t>
        </is>
      </c>
      <c r="B2695" s="8" t="inlineStr">
        <is>
          <t>749B116819</t>
        </is>
      </c>
      <c r="C2695" s="8" t="n"/>
      <c r="D2695" s="7" t="n">
        <v>29</v>
      </c>
      <c r="E2695" s="7" t="n">
        <v>2616</v>
      </c>
      <c r="F2695" s="7" t="inlineStr">
        <is>
          <t>No</t>
        </is>
      </c>
      <c r="G2695" s="8" t="n"/>
    </row>
    <row r="2696">
      <c r="A2696" s="8" t="inlineStr">
        <is>
          <t>PGCV_0029_2617</t>
        </is>
      </c>
      <c r="B2696" s="8" t="inlineStr">
        <is>
          <t>749B116838</t>
        </is>
      </c>
      <c r="C2696" s="8" t="n"/>
      <c r="D2696" s="7" t="n">
        <v>29</v>
      </c>
      <c r="E2696" s="7" t="n">
        <v>2617</v>
      </c>
      <c r="F2696" s="7" t="inlineStr">
        <is>
          <t>Yes</t>
        </is>
      </c>
      <c r="G2696" s="8" t="n"/>
    </row>
    <row r="2697">
      <c r="A2697" s="8" t="inlineStr">
        <is>
          <t>PGCV_0029_2618</t>
        </is>
      </c>
      <c r="B2697" s="8" t="inlineStr">
        <is>
          <t>749B116839</t>
        </is>
      </c>
      <c r="C2697" s="8" t="n"/>
      <c r="D2697" s="7" t="n">
        <v>29</v>
      </c>
      <c r="E2697" s="7" t="n">
        <v>2618</v>
      </c>
      <c r="F2697" s="7" t="inlineStr">
        <is>
          <t>Yes</t>
        </is>
      </c>
      <c r="G2697" s="8" t="n"/>
    </row>
    <row r="2698">
      <c r="A2698" s="8" t="inlineStr">
        <is>
          <t>PGCV_0029_2619</t>
        </is>
      </c>
      <c r="B2698" s="8" t="inlineStr">
        <is>
          <t>749B116841</t>
        </is>
      </c>
      <c r="C2698" s="8" t="n"/>
      <c r="D2698" s="7" t="n">
        <v>29</v>
      </c>
      <c r="E2698" s="7" t="n">
        <v>2619</v>
      </c>
      <c r="F2698" s="7" t="inlineStr">
        <is>
          <t>Yes</t>
        </is>
      </c>
      <c r="G2698" s="8" t="n"/>
    </row>
    <row r="2699">
      <c r="A2699" s="8" t="inlineStr">
        <is>
          <t>PGCV_0029_2620</t>
        </is>
      </c>
      <c r="B2699" s="8" t="inlineStr">
        <is>
          <t>749B116854</t>
        </is>
      </c>
      <c r="C2699" s="8" t="n"/>
      <c r="D2699" s="7" t="n">
        <v>29</v>
      </c>
      <c r="E2699" s="7" t="n">
        <v>2620</v>
      </c>
      <c r="F2699" s="7" t="inlineStr">
        <is>
          <t>Yes</t>
        </is>
      </c>
      <c r="G2699" s="8" t="n"/>
    </row>
    <row r="2700">
      <c r="A2700" s="8" t="inlineStr">
        <is>
          <t>PGCV_0029_2621</t>
        </is>
      </c>
      <c r="B2700" s="8" t="inlineStr">
        <is>
          <t>750B116888</t>
        </is>
      </c>
      <c r="C2700" s="8" t="n"/>
      <c r="D2700" s="7" t="n">
        <v>29</v>
      </c>
      <c r="E2700" s="7" t="n">
        <v>2621</v>
      </c>
      <c r="F2700" s="7" t="inlineStr">
        <is>
          <t>Yes</t>
        </is>
      </c>
      <c r="G2700" s="8" t="n"/>
    </row>
    <row r="2701">
      <c r="A2701" s="8" t="inlineStr">
        <is>
          <t>PGCV_0029_2622</t>
        </is>
      </c>
      <c r="B2701" s="8" t="inlineStr">
        <is>
          <t>750B116923</t>
        </is>
      </c>
      <c r="C2701" s="8" t="n"/>
      <c r="D2701" s="7" t="n">
        <v>29</v>
      </c>
      <c r="E2701" s="7" t="n">
        <v>2622</v>
      </c>
      <c r="F2701" s="7" t="inlineStr">
        <is>
          <t>Yes</t>
        </is>
      </c>
      <c r="G2701" s="8" t="n"/>
    </row>
    <row r="2702">
      <c r="A2702" s="8" t="inlineStr">
        <is>
          <t>PGCV_0029_2623</t>
        </is>
      </c>
      <c r="B2702" s="8" t="inlineStr">
        <is>
          <t>750B116930</t>
        </is>
      </c>
      <c r="C2702" s="8" t="n"/>
      <c r="D2702" s="7" t="n">
        <v>29</v>
      </c>
      <c r="E2702" s="7" t="n">
        <v>2623</v>
      </c>
      <c r="F2702" s="7" t="inlineStr">
        <is>
          <t>Yes</t>
        </is>
      </c>
      <c r="G2702" s="8" t="n"/>
    </row>
    <row r="2703">
      <c r="A2703" s="8" t="inlineStr">
        <is>
          <t>PGCV_0029_2624</t>
        </is>
      </c>
      <c r="B2703" s="8" t="inlineStr">
        <is>
          <t>750B116926</t>
        </is>
      </c>
      <c r="C2703" s="8" t="n"/>
      <c r="D2703" s="7" t="n">
        <v>29</v>
      </c>
      <c r="E2703" s="7" t="n">
        <v>2624</v>
      </c>
      <c r="F2703" s="7" t="inlineStr">
        <is>
          <t>Yes</t>
        </is>
      </c>
      <c r="G2703" s="8" t="n"/>
    </row>
    <row r="2704">
      <c r="A2704" s="8" t="inlineStr">
        <is>
          <t>PGCV_0029_2625</t>
        </is>
      </c>
      <c r="B2704" s="8" t="inlineStr">
        <is>
          <t>750B116948</t>
        </is>
      </c>
      <c r="C2704" s="8" t="n"/>
      <c r="D2704" s="7" t="n">
        <v>29</v>
      </c>
      <c r="E2704" s="7" t="n">
        <v>2625</v>
      </c>
      <c r="F2704" s="7" t="inlineStr">
        <is>
          <t>Yes</t>
        </is>
      </c>
      <c r="G2704" s="8" t="n"/>
    </row>
    <row r="2705">
      <c r="A2705" s="8" t="inlineStr">
        <is>
          <t>PGCV_0030_2554</t>
        </is>
      </c>
      <c r="B2705" s="8" t="inlineStr">
        <is>
          <t>22-41072</t>
        </is>
      </c>
      <c r="C2705" s="8" t="n"/>
      <c r="D2705" s="7" t="n">
        <v>30</v>
      </c>
      <c r="E2705" s="7" t="n">
        <v>2554</v>
      </c>
      <c r="F2705" s="7" t="inlineStr">
        <is>
          <t>Yes</t>
        </is>
      </c>
      <c r="G2705" s="8" t="n"/>
    </row>
    <row r="2706">
      <c r="A2706" s="8" t="inlineStr">
        <is>
          <t>PGCV_0030_2555</t>
        </is>
      </c>
      <c r="B2706" s="8" t="inlineStr">
        <is>
          <t>22-41079</t>
        </is>
      </c>
      <c r="C2706" s="8" t="n"/>
      <c r="D2706" s="7" t="n">
        <v>30</v>
      </c>
      <c r="E2706" s="7" t="n">
        <v>2555</v>
      </c>
      <c r="F2706" s="7" t="inlineStr">
        <is>
          <t>No</t>
        </is>
      </c>
      <c r="G2706" s="8" t="n"/>
    </row>
    <row r="2707">
      <c r="A2707" s="8" t="inlineStr">
        <is>
          <t>PGCV_0030_2626</t>
        </is>
      </c>
      <c r="B2707" s="8" t="inlineStr">
        <is>
          <t>COVID-SNL-22-81759</t>
        </is>
      </c>
      <c r="C2707" s="8" t="n"/>
      <c r="D2707" s="7" t="n">
        <v>30</v>
      </c>
      <c r="E2707" s="7" t="n">
        <v>2626</v>
      </c>
      <c r="F2707" s="7" t="inlineStr">
        <is>
          <t>Yes</t>
        </is>
      </c>
      <c r="G2707" s="8" t="n"/>
    </row>
    <row r="2708">
      <c r="A2708" s="8" t="inlineStr">
        <is>
          <t>PGCV_0030_2627</t>
        </is>
      </c>
      <c r="B2708" s="8" t="inlineStr">
        <is>
          <t>COVID-SNL-22-81764</t>
        </is>
      </c>
      <c r="C2708" s="8" t="n"/>
      <c r="D2708" s="7" t="n">
        <v>30</v>
      </c>
      <c r="E2708" s="7" t="n">
        <v>2627</v>
      </c>
      <c r="F2708" s="7" t="inlineStr">
        <is>
          <t>Yes</t>
        </is>
      </c>
      <c r="G2708" s="8" t="n"/>
    </row>
    <row r="2709">
      <c r="A2709" s="8" t="inlineStr">
        <is>
          <t>PGCV_0030_2628</t>
        </is>
      </c>
      <c r="B2709" s="8" t="inlineStr">
        <is>
          <t>COVID-SNL-22-81671</t>
        </is>
      </c>
      <c r="C2709" s="8" t="n"/>
      <c r="D2709" s="7" t="n">
        <v>30</v>
      </c>
      <c r="E2709" s="7" t="n">
        <v>2628</v>
      </c>
      <c r="F2709" s="7" t="inlineStr">
        <is>
          <t>Yes</t>
        </is>
      </c>
      <c r="G2709" s="8" t="n"/>
    </row>
    <row r="2710">
      <c r="A2710" s="8" t="inlineStr">
        <is>
          <t>PGCV_0030_2629</t>
        </is>
      </c>
      <c r="B2710" s="8" t="inlineStr">
        <is>
          <t>COVID-SNL-22-81693</t>
        </is>
      </c>
      <c r="C2710" s="8" t="n"/>
      <c r="D2710" s="7" t="n">
        <v>30</v>
      </c>
      <c r="E2710" s="7" t="n">
        <v>2629</v>
      </c>
      <c r="F2710" s="7" t="inlineStr">
        <is>
          <t>Yes</t>
        </is>
      </c>
      <c r="G2710" s="8" t="n"/>
    </row>
    <row r="2711">
      <c r="A2711" s="8" t="inlineStr">
        <is>
          <t>PGCV_0030_2630</t>
        </is>
      </c>
      <c r="B2711" s="8" t="inlineStr">
        <is>
          <t>COVID-SNL-22-81782</t>
        </is>
      </c>
      <c r="C2711" s="8" t="n"/>
      <c r="D2711" s="7" t="n">
        <v>30</v>
      </c>
      <c r="E2711" s="7" t="n">
        <v>2630</v>
      </c>
      <c r="F2711" s="7" t="inlineStr">
        <is>
          <t>Yes</t>
        </is>
      </c>
      <c r="G2711" s="8" t="n"/>
    </row>
    <row r="2712">
      <c r="A2712" s="8" t="inlineStr">
        <is>
          <t>PGCV_0030_2631</t>
        </is>
      </c>
      <c r="B2712" s="8" t="inlineStr">
        <is>
          <t>COVID-SNL-22-81811</t>
        </is>
      </c>
      <c r="C2712" s="8" t="n"/>
      <c r="D2712" s="7" t="n">
        <v>30</v>
      </c>
      <c r="E2712" s="7" t="n">
        <v>2631</v>
      </c>
      <c r="F2712" s="7" t="inlineStr">
        <is>
          <t>Yes</t>
        </is>
      </c>
      <c r="G2712" s="8" t="n"/>
    </row>
    <row r="2713">
      <c r="A2713" s="8" t="inlineStr">
        <is>
          <t>PGCV_0030_2632</t>
        </is>
      </c>
      <c r="B2713" s="8" t="inlineStr">
        <is>
          <t>COVID-SNL-22-81834</t>
        </is>
      </c>
      <c r="C2713" s="8" t="n"/>
      <c r="D2713" s="7" t="n">
        <v>30</v>
      </c>
      <c r="E2713" s="7" t="n">
        <v>2632</v>
      </c>
      <c r="F2713" s="7" t="inlineStr">
        <is>
          <t>Yes</t>
        </is>
      </c>
      <c r="G2713" s="8" t="n"/>
    </row>
    <row r="2714">
      <c r="A2714" s="8" t="inlineStr">
        <is>
          <t>PGCV_0030_2633</t>
        </is>
      </c>
      <c r="B2714" s="8" t="inlineStr">
        <is>
          <t>COVID-SNL-22-82046</t>
        </is>
      </c>
      <c r="C2714" s="8" t="n"/>
      <c r="D2714" s="7" t="n">
        <v>30</v>
      </c>
      <c r="E2714" s="7" t="n">
        <v>2633</v>
      </c>
      <c r="F2714" s="7" t="inlineStr">
        <is>
          <t>Yes</t>
        </is>
      </c>
      <c r="G2714" s="8" t="n"/>
    </row>
    <row r="2715">
      <c r="A2715" s="8" t="inlineStr">
        <is>
          <t>PGCV_0030_2634</t>
        </is>
      </c>
      <c r="B2715" s="8" t="inlineStr">
        <is>
          <t>COVID-SNL-22-82052</t>
        </is>
      </c>
      <c r="C2715" s="8" t="n"/>
      <c r="D2715" s="7" t="n">
        <v>30</v>
      </c>
      <c r="E2715" s="7" t="n">
        <v>2634</v>
      </c>
      <c r="F2715" s="7" t="inlineStr">
        <is>
          <t>Yes</t>
        </is>
      </c>
      <c r="G2715" s="8" t="n"/>
    </row>
    <row r="2716">
      <c r="A2716" s="8" t="inlineStr">
        <is>
          <t>PGCV_0030_2635</t>
        </is>
      </c>
      <c r="B2716" s="8" t="inlineStr">
        <is>
          <t>COVID-SNL-22-81893</t>
        </is>
      </c>
      <c r="C2716" s="8" t="n"/>
      <c r="D2716" s="7" t="n">
        <v>30</v>
      </c>
      <c r="E2716" s="7" t="n">
        <v>2635</v>
      </c>
      <c r="F2716" s="7" t="inlineStr">
        <is>
          <t>Yes</t>
        </is>
      </c>
      <c r="G2716" s="8" t="n"/>
    </row>
    <row r="2717">
      <c r="A2717" s="8" t="inlineStr">
        <is>
          <t>PGCV_0030_2636</t>
        </is>
      </c>
      <c r="B2717" s="8" t="inlineStr">
        <is>
          <t>COVID-SNL-22-81995</t>
        </is>
      </c>
      <c r="C2717" s="8" t="n"/>
      <c r="D2717" s="7" t="n">
        <v>30</v>
      </c>
      <c r="E2717" s="7" t="n">
        <v>2636</v>
      </c>
      <c r="F2717" s="7" t="inlineStr">
        <is>
          <t>Yes</t>
        </is>
      </c>
      <c r="G2717" s="8" t="n"/>
    </row>
    <row r="2718">
      <c r="A2718" s="8" t="inlineStr">
        <is>
          <t>PGCV_0030_2637</t>
        </is>
      </c>
      <c r="B2718" s="8" t="inlineStr">
        <is>
          <t>COVID-SNL-22-81997</t>
        </is>
      </c>
      <c r="C2718" s="8" t="n"/>
      <c r="D2718" s="7" t="n">
        <v>30</v>
      </c>
      <c r="E2718" s="7" t="n">
        <v>2637</v>
      </c>
      <c r="F2718" s="7" t="inlineStr">
        <is>
          <t>Yes</t>
        </is>
      </c>
      <c r="G2718" s="8" t="n"/>
    </row>
    <row r="2719">
      <c r="A2719" s="8" t="inlineStr">
        <is>
          <t>PGCV_0030_2638</t>
        </is>
      </c>
      <c r="B2719" s="8" t="inlineStr">
        <is>
          <t>COVID-SNL-22-81998</t>
        </is>
      </c>
      <c r="C2719" s="8" t="n"/>
      <c r="D2719" s="7" t="n">
        <v>30</v>
      </c>
      <c r="E2719" s="7" t="n">
        <v>2638</v>
      </c>
      <c r="F2719" s="7" t="inlineStr">
        <is>
          <t>Yes</t>
        </is>
      </c>
      <c r="G2719" s="8" t="n"/>
    </row>
    <row r="2720">
      <c r="A2720" s="8" t="inlineStr">
        <is>
          <t>PGCV_0030_2639</t>
        </is>
      </c>
      <c r="B2720" s="8" t="inlineStr">
        <is>
          <t>COVID-SNL-22-82014</t>
        </is>
      </c>
      <c r="C2720" s="8" t="n"/>
      <c r="D2720" s="7" t="n">
        <v>30</v>
      </c>
      <c r="E2720" s="7" t="n">
        <v>2639</v>
      </c>
      <c r="F2720" s="7" t="inlineStr">
        <is>
          <t>Yes</t>
        </is>
      </c>
      <c r="G2720" s="8" t="n"/>
    </row>
    <row r="2721">
      <c r="A2721" s="8" t="inlineStr">
        <is>
          <t>PGCV_0030_2640</t>
        </is>
      </c>
      <c r="B2721" s="8" t="inlineStr">
        <is>
          <t>COVID-SNL-22-82090</t>
        </is>
      </c>
      <c r="C2721" s="8" t="n"/>
      <c r="D2721" s="7" t="n">
        <v>30</v>
      </c>
      <c r="E2721" s="7" t="n">
        <v>2640</v>
      </c>
      <c r="F2721" s="7" t="inlineStr">
        <is>
          <t>Yes</t>
        </is>
      </c>
      <c r="G2721" s="8" t="n"/>
    </row>
    <row r="2722">
      <c r="A2722" s="8" t="inlineStr">
        <is>
          <t>PGCV_0030_2641</t>
        </is>
      </c>
      <c r="B2722" s="8" t="inlineStr">
        <is>
          <t>COVID-SNL-22-82093</t>
        </is>
      </c>
      <c r="C2722" s="8" t="n"/>
      <c r="D2722" s="7" t="n">
        <v>30</v>
      </c>
      <c r="E2722" s="7" t="n">
        <v>2641</v>
      </c>
      <c r="F2722" s="7" t="inlineStr">
        <is>
          <t>Yes</t>
        </is>
      </c>
      <c r="G2722" s="8" t="n"/>
    </row>
    <row r="2723">
      <c r="A2723" s="8" t="inlineStr">
        <is>
          <t>PGCV_0030_2642</t>
        </is>
      </c>
      <c r="B2723" s="8" t="inlineStr">
        <is>
          <t>COVID-SNL-22-81939</t>
        </is>
      </c>
      <c r="C2723" s="8" t="n"/>
      <c r="D2723" s="7" t="n">
        <v>30</v>
      </c>
      <c r="E2723" s="7" t="n">
        <v>2642</v>
      </c>
      <c r="F2723" s="7" t="inlineStr">
        <is>
          <t>Yes</t>
        </is>
      </c>
      <c r="G2723" s="8" t="n"/>
    </row>
    <row r="2724">
      <c r="A2724" s="8" t="inlineStr">
        <is>
          <t>PGCV_0030_2643</t>
        </is>
      </c>
      <c r="B2724" s="8" t="inlineStr">
        <is>
          <t>COVID-SNL-22-81970</t>
        </is>
      </c>
      <c r="C2724" s="8" t="n"/>
      <c r="D2724" s="7" t="n">
        <v>30</v>
      </c>
      <c r="E2724" s="7" t="n">
        <v>2643</v>
      </c>
      <c r="F2724" s="7" t="inlineStr">
        <is>
          <t>Yes</t>
        </is>
      </c>
      <c r="G2724" s="8" t="n"/>
    </row>
    <row r="2725">
      <c r="A2725" s="8" t="inlineStr">
        <is>
          <t>PGCV_0030_2644</t>
        </is>
      </c>
      <c r="B2725" s="8" t="inlineStr">
        <is>
          <t>COVID-SNL-22-82124</t>
        </is>
      </c>
      <c r="C2725" s="8" t="n"/>
      <c r="D2725" s="7" t="n">
        <v>30</v>
      </c>
      <c r="E2725" s="7" t="n">
        <v>2644</v>
      </c>
      <c r="F2725" s="7" t="inlineStr">
        <is>
          <t>Yes</t>
        </is>
      </c>
      <c r="G2725" s="8" t="n"/>
    </row>
    <row r="2726">
      <c r="A2726" s="8" t="inlineStr">
        <is>
          <t>PGCV_0030_2645</t>
        </is>
      </c>
      <c r="B2726" s="8" t="inlineStr">
        <is>
          <t>COVID-SNL-22-82244</t>
        </is>
      </c>
      <c r="C2726" s="8" t="n"/>
      <c r="D2726" s="7" t="n">
        <v>30</v>
      </c>
      <c r="E2726" s="7" t="n">
        <v>2645</v>
      </c>
      <c r="F2726" s="7" t="inlineStr">
        <is>
          <t>Yes</t>
        </is>
      </c>
      <c r="G2726" s="8" t="n"/>
    </row>
    <row r="2727">
      <c r="A2727" s="8" t="inlineStr">
        <is>
          <t>PGCV_0030_2646</t>
        </is>
      </c>
      <c r="B2727" s="8" t="inlineStr">
        <is>
          <t>COVID-SNL-22-82290</t>
        </is>
      </c>
      <c r="C2727" s="8" t="n"/>
      <c r="D2727" s="7" t="n">
        <v>30</v>
      </c>
      <c r="E2727" s="7" t="n">
        <v>2646</v>
      </c>
      <c r="F2727" s="7" t="inlineStr">
        <is>
          <t>Yes</t>
        </is>
      </c>
      <c r="G2727" s="8" t="n"/>
    </row>
    <row r="2728">
      <c r="A2728" s="8" t="inlineStr">
        <is>
          <t>PGCV_0030_2647</t>
        </is>
      </c>
      <c r="B2728" s="8" t="inlineStr">
        <is>
          <t>COVID-SNL-22-82329</t>
        </is>
      </c>
      <c r="C2728" s="8" t="n"/>
      <c r="D2728" s="7" t="n">
        <v>30</v>
      </c>
      <c r="E2728" s="7" t="n">
        <v>2647</v>
      </c>
      <c r="F2728" s="7" t="inlineStr">
        <is>
          <t>Yes</t>
        </is>
      </c>
      <c r="G2728" s="8" t="n"/>
    </row>
    <row r="2729">
      <c r="A2729" s="8" t="inlineStr">
        <is>
          <t>PGCV_0030_2648</t>
        </is>
      </c>
      <c r="B2729" s="8" t="inlineStr">
        <is>
          <t>COVID-SNL-22-82349</t>
        </is>
      </c>
      <c r="C2729" s="8" t="n"/>
      <c r="D2729" s="7" t="n">
        <v>30</v>
      </c>
      <c r="E2729" s="7" t="n">
        <v>2648</v>
      </c>
      <c r="F2729" s="7" t="inlineStr">
        <is>
          <t>Yes</t>
        </is>
      </c>
      <c r="G2729" s="8" t="n"/>
    </row>
    <row r="2730">
      <c r="A2730" s="8" t="inlineStr">
        <is>
          <t>PGCV_0030_2649</t>
        </is>
      </c>
      <c r="B2730" s="8" t="inlineStr">
        <is>
          <t>COVID-SNL-22-82350</t>
        </is>
      </c>
      <c r="C2730" s="8" t="n"/>
      <c r="D2730" s="7" t="n">
        <v>30</v>
      </c>
      <c r="E2730" s="7" t="n">
        <v>2649</v>
      </c>
      <c r="F2730" s="7" t="inlineStr">
        <is>
          <t>Yes</t>
        </is>
      </c>
      <c r="G2730" s="8" t="n"/>
    </row>
    <row r="2731">
      <c r="A2731" s="8" t="inlineStr">
        <is>
          <t>PGCV_0030_2650</t>
        </is>
      </c>
      <c r="B2731" s="8" t="inlineStr">
        <is>
          <t>COVID-SNL-22-82389</t>
        </is>
      </c>
      <c r="C2731" s="8" t="n"/>
      <c r="D2731" s="7" t="n">
        <v>30</v>
      </c>
      <c r="E2731" s="7" t="n">
        <v>2650</v>
      </c>
      <c r="F2731" s="7" t="inlineStr">
        <is>
          <t>Yes</t>
        </is>
      </c>
      <c r="G2731" s="8" t="n"/>
    </row>
    <row r="2732">
      <c r="A2732" s="8" t="inlineStr">
        <is>
          <t>PGCV_0030_2651</t>
        </is>
      </c>
      <c r="B2732" s="8" t="inlineStr">
        <is>
          <t>COVID-SNL-22-82390</t>
        </is>
      </c>
      <c r="C2732" s="8" t="n"/>
      <c r="D2732" s="7" t="n">
        <v>30</v>
      </c>
      <c r="E2732" s="7" t="n">
        <v>2651</v>
      </c>
      <c r="F2732" s="7" t="inlineStr">
        <is>
          <t>Yes</t>
        </is>
      </c>
      <c r="G2732" s="8" t="n"/>
    </row>
    <row r="2733">
      <c r="A2733" s="8" t="inlineStr">
        <is>
          <t>PGCV_0030_2652</t>
        </is>
      </c>
      <c r="B2733" s="8" t="inlineStr">
        <is>
          <t>COVID-SNL-22-82394</t>
        </is>
      </c>
      <c r="C2733" s="8" t="n"/>
      <c r="D2733" s="7" t="n">
        <v>30</v>
      </c>
      <c r="E2733" s="7" t="n">
        <v>2652</v>
      </c>
      <c r="F2733" s="7" t="inlineStr">
        <is>
          <t>Yes</t>
        </is>
      </c>
      <c r="G2733" s="8" t="n"/>
    </row>
    <row r="2734">
      <c r="A2734" s="8" t="inlineStr">
        <is>
          <t>PGCV_0030_2653</t>
        </is>
      </c>
      <c r="B2734" s="8" t="inlineStr">
        <is>
          <t>COVID-SNL-22-82395</t>
        </is>
      </c>
      <c r="C2734" s="8" t="n"/>
      <c r="D2734" s="7" t="n">
        <v>30</v>
      </c>
      <c r="E2734" s="7" t="n">
        <v>2653</v>
      </c>
      <c r="F2734" s="7" t="inlineStr">
        <is>
          <t>Yes</t>
        </is>
      </c>
      <c r="G2734" s="8" t="n"/>
    </row>
    <row r="2735">
      <c r="A2735" s="8" t="inlineStr">
        <is>
          <t>PGCV_0030_2654</t>
        </is>
      </c>
      <c r="B2735" s="8" t="inlineStr">
        <is>
          <t>COVID-SNL-22-82414</t>
        </is>
      </c>
      <c r="C2735" s="8" t="n"/>
      <c r="D2735" s="7" t="n">
        <v>30</v>
      </c>
      <c r="E2735" s="7" t="n">
        <v>2654</v>
      </c>
      <c r="F2735" s="7" t="inlineStr">
        <is>
          <t>Yes</t>
        </is>
      </c>
      <c r="G2735" s="8" t="n"/>
    </row>
    <row r="2736">
      <c r="A2736" s="8" t="inlineStr">
        <is>
          <t>PGCV_0030_2655</t>
        </is>
      </c>
      <c r="B2736" s="8" t="inlineStr">
        <is>
          <t>COVID-SNL-22-82426</t>
        </is>
      </c>
      <c r="C2736" s="8" t="n"/>
      <c r="D2736" s="7" t="n">
        <v>30</v>
      </c>
      <c r="E2736" s="7" t="n">
        <v>2655</v>
      </c>
      <c r="F2736" s="7" t="inlineStr">
        <is>
          <t>Yes</t>
        </is>
      </c>
      <c r="G2736" s="8" t="n"/>
    </row>
    <row r="2737">
      <c r="A2737" s="8" t="inlineStr">
        <is>
          <t>PGCV_0030_2656</t>
        </is>
      </c>
      <c r="B2737" s="8" t="inlineStr">
        <is>
          <t>COVID-SNL-22-82482</t>
        </is>
      </c>
      <c r="C2737" s="8" t="n"/>
      <c r="D2737" s="7" t="n">
        <v>30</v>
      </c>
      <c r="E2737" s="7" t="n">
        <v>2656</v>
      </c>
      <c r="F2737" s="7" t="inlineStr">
        <is>
          <t>Yes</t>
        </is>
      </c>
      <c r="G2737" s="8" t="n"/>
    </row>
    <row r="2738">
      <c r="A2738" s="8" t="inlineStr">
        <is>
          <t>PGCV_0030_2657</t>
        </is>
      </c>
      <c r="B2738" s="8" t="inlineStr">
        <is>
          <t>COVID-SNL-22-82492</t>
        </is>
      </c>
      <c r="C2738" s="8" t="n"/>
      <c r="D2738" s="7" t="n">
        <v>30</v>
      </c>
      <c r="E2738" s="7" t="n">
        <v>2657</v>
      </c>
      <c r="F2738" s="7" t="inlineStr">
        <is>
          <t>Yes</t>
        </is>
      </c>
      <c r="G2738" s="8" t="n"/>
    </row>
    <row r="2739">
      <c r="A2739" s="8" t="inlineStr">
        <is>
          <t>PGCV_0030_2658</t>
        </is>
      </c>
      <c r="B2739" s="8" t="inlineStr">
        <is>
          <t>COVID-SNL-22-82512</t>
        </is>
      </c>
      <c r="C2739" s="8" t="n"/>
      <c r="D2739" s="7" t="n">
        <v>30</v>
      </c>
      <c r="E2739" s="7" t="n">
        <v>2658</v>
      </c>
      <c r="F2739" s="7" t="inlineStr">
        <is>
          <t>Yes</t>
        </is>
      </c>
      <c r="G2739" s="8" t="n"/>
    </row>
    <row r="2740">
      <c r="A2740" s="8" t="inlineStr">
        <is>
          <t>PGCV_0030_2659</t>
        </is>
      </c>
      <c r="B2740" s="8" t="inlineStr">
        <is>
          <t>COVID-SNL-22-82520</t>
        </is>
      </c>
      <c r="C2740" s="8" t="n"/>
      <c r="D2740" s="7" t="n">
        <v>30</v>
      </c>
      <c r="E2740" s="7" t="n">
        <v>2659</v>
      </c>
      <c r="F2740" s="7" t="inlineStr">
        <is>
          <t>Yes</t>
        </is>
      </c>
      <c r="G2740" s="8" t="n"/>
    </row>
    <row r="2741">
      <c r="A2741" s="8" t="inlineStr">
        <is>
          <t>PGCV_0030_2660</t>
        </is>
      </c>
      <c r="B2741" s="8" t="inlineStr">
        <is>
          <t>COVID-SNL-22-82535</t>
        </is>
      </c>
      <c r="C2741" s="8" t="n"/>
      <c r="D2741" s="7" t="n">
        <v>30</v>
      </c>
      <c r="E2741" s="7" t="n">
        <v>2660</v>
      </c>
      <c r="F2741" s="7" t="inlineStr">
        <is>
          <t>Yes</t>
        </is>
      </c>
      <c r="G2741" s="8" t="n"/>
    </row>
    <row r="2742">
      <c r="A2742" s="8" t="inlineStr">
        <is>
          <t>PGCV_0030_2661</t>
        </is>
      </c>
      <c r="B2742" s="8" t="inlineStr">
        <is>
          <t>COVID-SNL-22-82604</t>
        </is>
      </c>
      <c r="C2742" s="8" t="n"/>
      <c r="D2742" s="7" t="n">
        <v>30</v>
      </c>
      <c r="E2742" s="7" t="n">
        <v>2661</v>
      </c>
      <c r="F2742" s="7" t="inlineStr">
        <is>
          <t>Yes</t>
        </is>
      </c>
      <c r="G2742" s="8" t="n"/>
    </row>
    <row r="2743">
      <c r="A2743" s="8" t="inlineStr">
        <is>
          <t>PGCV_0030_2662</t>
        </is>
      </c>
      <c r="B2743" s="8" t="inlineStr">
        <is>
          <t>COVID-SNL-22-82620</t>
        </is>
      </c>
      <c r="C2743" s="8" t="n"/>
      <c r="D2743" s="7" t="n">
        <v>30</v>
      </c>
      <c r="E2743" s="7" t="n">
        <v>2662</v>
      </c>
      <c r="F2743" s="7" t="inlineStr">
        <is>
          <t>Yes</t>
        </is>
      </c>
      <c r="G2743" s="8" t="n"/>
    </row>
    <row r="2744">
      <c r="A2744" s="8" t="inlineStr">
        <is>
          <t>PGCV_0030_2663</t>
        </is>
      </c>
      <c r="B2744" s="8" t="inlineStr">
        <is>
          <t>COVID-SNL-22-82624</t>
        </is>
      </c>
      <c r="C2744" s="8" t="n"/>
      <c r="D2744" s="7" t="n">
        <v>30</v>
      </c>
      <c r="E2744" s="7" t="n">
        <v>2663</v>
      </c>
      <c r="F2744" s="7" t="inlineStr">
        <is>
          <t>Yes</t>
        </is>
      </c>
      <c r="G2744" s="8" t="n"/>
    </row>
    <row r="2745">
      <c r="A2745" s="8" t="inlineStr">
        <is>
          <t>PGCV_0030_2664</t>
        </is>
      </c>
      <c r="B2745" s="8" t="inlineStr">
        <is>
          <t>COVID-SNL-22-82631</t>
        </is>
      </c>
      <c r="C2745" s="8" t="n"/>
      <c r="D2745" s="7" t="n">
        <v>30</v>
      </c>
      <c r="E2745" s="7" t="n">
        <v>2664</v>
      </c>
      <c r="F2745" s="7" t="inlineStr">
        <is>
          <t>Yes</t>
        </is>
      </c>
      <c r="G2745" s="8" t="n"/>
    </row>
    <row r="2746">
      <c r="A2746" s="8" t="inlineStr">
        <is>
          <t>PGCV_0030_2665</t>
        </is>
      </c>
      <c r="B2746" s="8" t="inlineStr">
        <is>
          <t>COVID-SNL-22-82638</t>
        </is>
      </c>
      <c r="C2746" s="8" t="n"/>
      <c r="D2746" s="7" t="n">
        <v>30</v>
      </c>
      <c r="E2746" s="7" t="n">
        <v>2665</v>
      </c>
      <c r="F2746" s="7" t="inlineStr">
        <is>
          <t>Yes</t>
        </is>
      </c>
      <c r="G2746" s="8" t="n"/>
    </row>
    <row r="2747">
      <c r="A2747" s="8" t="inlineStr">
        <is>
          <t>PGCV_0030_2666</t>
        </is>
      </c>
      <c r="B2747" s="8" t="inlineStr">
        <is>
          <t>COVID-SNL-22-82673</t>
        </is>
      </c>
      <c r="C2747" s="8" t="n"/>
      <c r="D2747" s="7" t="n">
        <v>30</v>
      </c>
      <c r="E2747" s="7" t="n">
        <v>2666</v>
      </c>
      <c r="F2747" s="7" t="inlineStr">
        <is>
          <t>Yes</t>
        </is>
      </c>
      <c r="G2747" s="8" t="n"/>
    </row>
    <row r="2748">
      <c r="A2748" s="8" t="inlineStr">
        <is>
          <t>PGCV_0030_2667</t>
        </is>
      </c>
      <c r="B2748" s="8" t="inlineStr">
        <is>
          <t>COVID-SNL-22-82679</t>
        </is>
      </c>
      <c r="C2748" s="8" t="n"/>
      <c r="D2748" s="7" t="n">
        <v>30</v>
      </c>
      <c r="E2748" s="7" t="n">
        <v>2667</v>
      </c>
      <c r="F2748" s="7" t="inlineStr">
        <is>
          <t>Yes</t>
        </is>
      </c>
      <c r="G2748" s="8" t="n"/>
    </row>
    <row r="2749">
      <c r="A2749" s="8" t="inlineStr">
        <is>
          <t>PGCV_0030_2668</t>
        </is>
      </c>
      <c r="B2749" s="8" t="inlineStr">
        <is>
          <t>COVID-SNL-22-82756</t>
        </is>
      </c>
      <c r="C2749" s="8" t="n"/>
      <c r="D2749" s="7" t="n">
        <v>30</v>
      </c>
      <c r="E2749" s="7" t="n">
        <v>2668</v>
      </c>
      <c r="F2749" s="7" t="inlineStr">
        <is>
          <t>Yes</t>
        </is>
      </c>
      <c r="G2749" s="8" t="n"/>
    </row>
    <row r="2750">
      <c r="A2750" s="8" t="inlineStr">
        <is>
          <t>PGCV_0030_2669</t>
        </is>
      </c>
      <c r="B2750" s="8" t="inlineStr">
        <is>
          <t>COVID-SNL-22-82791</t>
        </is>
      </c>
      <c r="C2750" s="8" t="n"/>
      <c r="D2750" s="7" t="n">
        <v>30</v>
      </c>
      <c r="E2750" s="7" t="n">
        <v>2669</v>
      </c>
      <c r="F2750" s="7" t="inlineStr">
        <is>
          <t>Yes</t>
        </is>
      </c>
      <c r="G2750" s="8" t="n"/>
    </row>
    <row r="2751">
      <c r="A2751" s="8" t="inlineStr">
        <is>
          <t>PGCV_0030_2670</t>
        </is>
      </c>
      <c r="B2751" s="8" t="inlineStr">
        <is>
          <t>COVID-SNL-22-82807</t>
        </is>
      </c>
      <c r="C2751" s="8" t="n"/>
      <c r="D2751" s="7" t="n">
        <v>30</v>
      </c>
      <c r="E2751" s="7" t="n">
        <v>2670</v>
      </c>
      <c r="F2751" s="7" t="inlineStr">
        <is>
          <t>Yes</t>
        </is>
      </c>
      <c r="G2751" s="8" t="n"/>
    </row>
    <row r="2752">
      <c r="A2752" s="8" t="inlineStr">
        <is>
          <t>PGCV_0030_2671</t>
        </is>
      </c>
      <c r="B2752" s="8" t="inlineStr">
        <is>
          <t>COVID-SNL-22-82813</t>
        </is>
      </c>
      <c r="C2752" s="8" t="n"/>
      <c r="D2752" s="7" t="n">
        <v>30</v>
      </c>
      <c r="E2752" s="7" t="n">
        <v>2671</v>
      </c>
      <c r="F2752" s="7" t="inlineStr">
        <is>
          <t>Yes</t>
        </is>
      </c>
      <c r="G2752" s="8" t="n"/>
    </row>
    <row r="2753">
      <c r="A2753" s="8" t="inlineStr">
        <is>
          <t>PGCV_0030_2672</t>
        </is>
      </c>
      <c r="B2753" s="8" t="inlineStr">
        <is>
          <t>COVID-SNL-22-82867</t>
        </is>
      </c>
      <c r="C2753" s="8" t="n"/>
      <c r="D2753" s="7" t="n">
        <v>30</v>
      </c>
      <c r="E2753" s="7" t="n">
        <v>2672</v>
      </c>
      <c r="F2753" s="7" t="inlineStr">
        <is>
          <t>Yes</t>
        </is>
      </c>
      <c r="G2753" s="8" t="n"/>
    </row>
    <row r="2754">
      <c r="A2754" s="8" t="inlineStr">
        <is>
          <t>PGCV_0030_2673</t>
        </is>
      </c>
      <c r="B2754" s="8" t="inlineStr">
        <is>
          <t>COVID-SNL-22-82874</t>
        </is>
      </c>
      <c r="C2754" s="8" t="n"/>
      <c r="D2754" s="7" t="n">
        <v>30</v>
      </c>
      <c r="E2754" s="7" t="n">
        <v>2673</v>
      </c>
      <c r="F2754" s="7" t="inlineStr">
        <is>
          <t>Yes</t>
        </is>
      </c>
      <c r="G2754" s="8" t="n"/>
    </row>
    <row r="2755">
      <c r="A2755" s="8" t="inlineStr">
        <is>
          <t>PGCV_0030_2674</t>
        </is>
      </c>
      <c r="B2755" s="8" t="inlineStr">
        <is>
          <t>COVID-SNL-22-82882</t>
        </is>
      </c>
      <c r="C2755" s="8" t="n"/>
      <c r="D2755" s="7" t="n">
        <v>30</v>
      </c>
      <c r="E2755" s="7" t="n">
        <v>2674</v>
      </c>
      <c r="F2755" s="7" t="inlineStr">
        <is>
          <t>Yes</t>
        </is>
      </c>
      <c r="G2755" s="8" t="n"/>
    </row>
    <row r="2756">
      <c r="A2756" s="8" t="inlineStr">
        <is>
          <t>PGCV_0030_2675</t>
        </is>
      </c>
      <c r="B2756" s="8" t="inlineStr">
        <is>
          <t>COVID-SNL-22-82900</t>
        </is>
      </c>
      <c r="C2756" s="8" t="n"/>
      <c r="D2756" s="7" t="n">
        <v>30</v>
      </c>
      <c r="E2756" s="7" t="n">
        <v>2675</v>
      </c>
      <c r="F2756" s="7" t="inlineStr">
        <is>
          <t>Yes</t>
        </is>
      </c>
      <c r="G2756" s="8" t="n"/>
    </row>
    <row r="2757">
      <c r="A2757" s="8" t="inlineStr">
        <is>
          <t>PGCV_0030_2676</t>
        </is>
      </c>
      <c r="B2757" s="8" t="inlineStr">
        <is>
          <t>COVID-SNL-22-82907</t>
        </is>
      </c>
      <c r="C2757" s="8" t="n"/>
      <c r="D2757" s="7" t="n">
        <v>30</v>
      </c>
      <c r="E2757" s="7" t="n">
        <v>2676</v>
      </c>
      <c r="F2757" s="7" t="inlineStr">
        <is>
          <t>Yes</t>
        </is>
      </c>
      <c r="G2757" s="8" t="n"/>
    </row>
    <row r="2758">
      <c r="A2758" s="8" t="inlineStr">
        <is>
          <t>PGCV_0030_2677</t>
        </is>
      </c>
      <c r="B2758" s="8" t="inlineStr">
        <is>
          <t>COVID-SNL-22-82912</t>
        </is>
      </c>
      <c r="C2758" s="8" t="n"/>
      <c r="D2758" s="7" t="n">
        <v>30</v>
      </c>
      <c r="E2758" s="7" t="n">
        <v>2677</v>
      </c>
      <c r="F2758" s="7" t="inlineStr">
        <is>
          <t>Yes</t>
        </is>
      </c>
      <c r="G2758" s="8" t="n"/>
    </row>
    <row r="2759">
      <c r="A2759" s="8" t="inlineStr">
        <is>
          <t>PGCV_0030_2678</t>
        </is>
      </c>
      <c r="B2759" s="8" t="inlineStr">
        <is>
          <t>COVID-SNL-22-82918</t>
        </is>
      </c>
      <c r="C2759" s="8" t="n"/>
      <c r="D2759" s="7" t="n">
        <v>30</v>
      </c>
      <c r="E2759" s="7" t="n">
        <v>2678</v>
      </c>
      <c r="F2759" s="7" t="inlineStr">
        <is>
          <t>Yes</t>
        </is>
      </c>
      <c r="G2759" s="8" t="n"/>
    </row>
    <row r="2760">
      <c r="A2760" s="8" t="inlineStr">
        <is>
          <t>PGCV_0030_2679</t>
        </is>
      </c>
      <c r="B2760" s="8" t="inlineStr">
        <is>
          <t>COVID-SNL-22-82998</t>
        </is>
      </c>
      <c r="C2760" s="8" t="n"/>
      <c r="D2760" s="7" t="n">
        <v>30</v>
      </c>
      <c r="E2760" s="7" t="n">
        <v>2679</v>
      </c>
      <c r="F2760" s="7" t="inlineStr">
        <is>
          <t>Yes</t>
        </is>
      </c>
      <c r="G2760" s="8" t="n"/>
    </row>
    <row r="2761">
      <c r="A2761" s="8" t="inlineStr">
        <is>
          <t>PGCV_0030_2680</t>
        </is>
      </c>
      <c r="B2761" s="8" t="inlineStr">
        <is>
          <t>COVID-SNL-22-83016</t>
        </is>
      </c>
      <c r="C2761" s="8" t="n"/>
      <c r="D2761" s="7" t="n">
        <v>30</v>
      </c>
      <c r="E2761" s="7" t="n">
        <v>2680</v>
      </c>
      <c r="F2761" s="7" t="inlineStr">
        <is>
          <t>Yes</t>
        </is>
      </c>
      <c r="G2761" s="8" t="n"/>
    </row>
    <row r="2762">
      <c r="A2762" s="8" t="inlineStr">
        <is>
          <t>PGCV_0030_2681</t>
        </is>
      </c>
      <c r="B2762" s="8" t="inlineStr">
        <is>
          <t>COVID-SNL-22-83022</t>
        </is>
      </c>
      <c r="C2762" s="8" t="n"/>
      <c r="D2762" s="7" t="n">
        <v>30</v>
      </c>
      <c r="E2762" s="7" t="n">
        <v>2681</v>
      </c>
      <c r="F2762" s="7" t="inlineStr">
        <is>
          <t>Yes</t>
        </is>
      </c>
      <c r="G2762" s="8" t="n"/>
    </row>
    <row r="2763">
      <c r="A2763" s="8" t="inlineStr">
        <is>
          <t>PGCV_0030_2682</t>
        </is>
      </c>
      <c r="B2763" s="8" t="inlineStr">
        <is>
          <t>COVID-SNL-22-83023</t>
        </is>
      </c>
      <c r="C2763" s="8" t="n"/>
      <c r="D2763" s="7" t="n">
        <v>30</v>
      </c>
      <c r="E2763" s="7" t="n">
        <v>2682</v>
      </c>
      <c r="F2763" s="7" t="inlineStr">
        <is>
          <t>Yes</t>
        </is>
      </c>
      <c r="G2763" s="8" t="n"/>
    </row>
    <row r="2764">
      <c r="A2764" s="8" t="inlineStr">
        <is>
          <t>PGCV_0030_2683</t>
        </is>
      </c>
      <c r="B2764" s="8" t="inlineStr">
        <is>
          <t>COVID-SNL-22-83025</t>
        </is>
      </c>
      <c r="C2764" s="8" t="n"/>
      <c r="D2764" s="7" t="n">
        <v>30</v>
      </c>
      <c r="E2764" s="7" t="n">
        <v>2683</v>
      </c>
      <c r="F2764" s="7" t="inlineStr">
        <is>
          <t>Yes</t>
        </is>
      </c>
      <c r="G2764" s="8" t="n"/>
    </row>
    <row r="2765">
      <c r="A2765" s="8" t="inlineStr">
        <is>
          <t>PGCV_0030_2684</t>
        </is>
      </c>
      <c r="B2765" s="8" t="inlineStr">
        <is>
          <t>COVID-SNL-22-83028</t>
        </is>
      </c>
      <c r="C2765" s="8" t="n"/>
      <c r="D2765" s="7" t="n">
        <v>30</v>
      </c>
      <c r="E2765" s="7" t="n">
        <v>2684</v>
      </c>
      <c r="F2765" s="7" t="inlineStr">
        <is>
          <t>Yes</t>
        </is>
      </c>
      <c r="G2765" s="8" t="n"/>
    </row>
    <row r="2766">
      <c r="A2766" s="8" t="inlineStr">
        <is>
          <t>PGCV_0030_2685</t>
        </is>
      </c>
      <c r="B2766" s="8" t="inlineStr">
        <is>
          <t>COVID-SNL-22-83037</t>
        </is>
      </c>
      <c r="C2766" s="8" t="n"/>
      <c r="D2766" s="7" t="n">
        <v>30</v>
      </c>
      <c r="E2766" s="7" t="n">
        <v>2685</v>
      </c>
      <c r="F2766" s="7" t="inlineStr">
        <is>
          <t>Yes</t>
        </is>
      </c>
      <c r="G2766" s="8" t="n"/>
    </row>
    <row r="2767">
      <c r="A2767" s="8" t="inlineStr">
        <is>
          <t>PGCV_0030_2686</t>
        </is>
      </c>
      <c r="B2767" s="8" t="inlineStr">
        <is>
          <t>COVID-SNL-22-83042</t>
        </is>
      </c>
      <c r="C2767" s="8" t="n"/>
      <c r="D2767" s="7" t="n">
        <v>30</v>
      </c>
      <c r="E2767" s="7" t="n">
        <v>2686</v>
      </c>
      <c r="F2767" s="7" t="inlineStr">
        <is>
          <t>Yes</t>
        </is>
      </c>
      <c r="G2767" s="8" t="n"/>
    </row>
    <row r="2768">
      <c r="A2768" s="8" t="inlineStr">
        <is>
          <t>PGCV_0030_2687</t>
        </is>
      </c>
      <c r="B2768" s="8" t="inlineStr">
        <is>
          <t>COVID-SNL-22-83169</t>
        </is>
      </c>
      <c r="C2768" s="8" t="n"/>
      <c r="D2768" s="7" t="n">
        <v>30</v>
      </c>
      <c r="E2768" s="7" t="n">
        <v>2687</v>
      </c>
      <c r="F2768" s="7" t="inlineStr">
        <is>
          <t>No</t>
        </is>
      </c>
      <c r="G2768" s="8" t="n"/>
    </row>
    <row r="2769">
      <c r="A2769" s="8" t="inlineStr">
        <is>
          <t>PGCV_0030_2688</t>
        </is>
      </c>
      <c r="B2769" s="8" t="inlineStr">
        <is>
          <t>COVID-SNL-22-83177</t>
        </is>
      </c>
      <c r="C2769" s="8" t="n"/>
      <c r="D2769" s="7" t="n">
        <v>30</v>
      </c>
      <c r="E2769" s="7" t="n">
        <v>2688</v>
      </c>
      <c r="F2769" s="7" t="inlineStr">
        <is>
          <t>Yes</t>
        </is>
      </c>
      <c r="G2769" s="8" t="n"/>
    </row>
    <row r="2770">
      <c r="A2770" s="8" t="inlineStr">
        <is>
          <t>PGCV_0030_2689</t>
        </is>
      </c>
      <c r="B2770" s="8" t="inlineStr">
        <is>
          <t>COVID-SNL-22-83185</t>
        </is>
      </c>
      <c r="C2770" s="8" t="n"/>
      <c r="D2770" s="7" t="n">
        <v>30</v>
      </c>
      <c r="E2770" s="7" t="n">
        <v>2689</v>
      </c>
      <c r="F2770" s="7" t="inlineStr">
        <is>
          <t>Yes</t>
        </is>
      </c>
      <c r="G2770" s="8" t="n"/>
    </row>
    <row r="2771">
      <c r="A2771" s="8" t="inlineStr">
        <is>
          <t>PGCV_0030_2690</t>
        </is>
      </c>
      <c r="B2771" s="8" t="inlineStr">
        <is>
          <t>COVID-SNL-22-83186</t>
        </is>
      </c>
      <c r="C2771" s="8" t="n"/>
      <c r="D2771" s="7" t="n">
        <v>30</v>
      </c>
      <c r="E2771" s="7" t="n">
        <v>2690</v>
      </c>
      <c r="F2771" s="7" t="inlineStr">
        <is>
          <t>Yes</t>
        </is>
      </c>
      <c r="G2771" s="8" t="n"/>
    </row>
    <row r="2772">
      <c r="A2772" s="8" t="inlineStr">
        <is>
          <t>PGCV_0030_2691</t>
        </is>
      </c>
      <c r="B2772" s="8" t="inlineStr">
        <is>
          <t>COVID-SNL-22-83188</t>
        </is>
      </c>
      <c r="C2772" s="8" t="n"/>
      <c r="D2772" s="7" t="n">
        <v>30</v>
      </c>
      <c r="E2772" s="7" t="n">
        <v>2691</v>
      </c>
      <c r="F2772" s="7" t="inlineStr">
        <is>
          <t>Yes</t>
        </is>
      </c>
      <c r="G2772" s="8" t="n"/>
    </row>
    <row r="2773">
      <c r="A2773" s="8" t="inlineStr">
        <is>
          <t>PGCV_0030_2692</t>
        </is>
      </c>
      <c r="B2773" s="8" t="inlineStr">
        <is>
          <t>COVID-SNL-22-83192</t>
        </is>
      </c>
      <c r="C2773" s="8" t="n"/>
      <c r="D2773" s="7" t="n">
        <v>30</v>
      </c>
      <c r="E2773" s="7" t="n">
        <v>2692</v>
      </c>
      <c r="F2773" s="7" t="inlineStr">
        <is>
          <t>Yes</t>
        </is>
      </c>
      <c r="G2773" s="8" t="n"/>
    </row>
    <row r="2774">
      <c r="A2774" s="8" t="inlineStr">
        <is>
          <t>PGCV_0030_2693</t>
        </is>
      </c>
      <c r="B2774" s="8" t="inlineStr">
        <is>
          <t>COVID-SNL-22-83049</t>
        </is>
      </c>
      <c r="C2774" s="8" t="n"/>
      <c r="D2774" s="7" t="n">
        <v>30</v>
      </c>
      <c r="E2774" s="7" t="n">
        <v>2693</v>
      </c>
      <c r="F2774" s="7" t="inlineStr">
        <is>
          <t>Yes</t>
        </is>
      </c>
      <c r="G2774" s="8" t="n"/>
    </row>
    <row r="2775">
      <c r="A2775" s="8" t="inlineStr">
        <is>
          <t>PGCV_0030_2694</t>
        </is>
      </c>
      <c r="B2775" s="8" t="inlineStr">
        <is>
          <t>COVID-SNL-22-83055</t>
        </is>
      </c>
      <c r="C2775" s="8" t="n"/>
      <c r="D2775" s="7" t="n">
        <v>30</v>
      </c>
      <c r="E2775" s="7" t="n">
        <v>2694</v>
      </c>
      <c r="F2775" s="7" t="inlineStr">
        <is>
          <t>Yes</t>
        </is>
      </c>
      <c r="G2775" s="8" t="n"/>
    </row>
    <row r="2776">
      <c r="A2776" s="8" t="inlineStr">
        <is>
          <t>PGCV_0030_2695</t>
        </is>
      </c>
      <c r="B2776" s="8" t="inlineStr">
        <is>
          <t>COVID-SNL-22-83061</t>
        </is>
      </c>
      <c r="C2776" s="8" t="n"/>
      <c r="D2776" s="7" t="n">
        <v>30</v>
      </c>
      <c r="E2776" s="7" t="n">
        <v>2695</v>
      </c>
      <c r="F2776" s="7" t="inlineStr">
        <is>
          <t>Yes</t>
        </is>
      </c>
      <c r="G2776" s="8" t="n"/>
    </row>
    <row r="2777">
      <c r="A2777" s="8" t="inlineStr">
        <is>
          <t>PGCV_0030_2696</t>
        </is>
      </c>
      <c r="B2777" s="8" t="inlineStr">
        <is>
          <t>COVID-SNL-22-83062</t>
        </is>
      </c>
      <c r="C2777" s="8" t="n"/>
      <c r="D2777" s="7" t="n">
        <v>30</v>
      </c>
      <c r="E2777" s="7" t="n">
        <v>2696</v>
      </c>
      <c r="F2777" s="7" t="inlineStr">
        <is>
          <t>Yes</t>
        </is>
      </c>
      <c r="G2777" s="8" t="n"/>
    </row>
    <row r="2778">
      <c r="A2778" s="8" t="inlineStr">
        <is>
          <t>PGCV_0030_2697</t>
        </is>
      </c>
      <c r="B2778" s="8" t="inlineStr">
        <is>
          <t>COVID-SNL-22-83075</t>
        </is>
      </c>
      <c r="C2778" s="8" t="n"/>
      <c r="D2778" s="7" t="n">
        <v>30</v>
      </c>
      <c r="E2778" s="7" t="n">
        <v>2697</v>
      </c>
      <c r="F2778" s="7" t="inlineStr">
        <is>
          <t>Yes</t>
        </is>
      </c>
      <c r="G2778" s="8" t="n"/>
    </row>
    <row r="2779">
      <c r="A2779" s="8" t="inlineStr">
        <is>
          <t>PGCV_0030_2698</t>
        </is>
      </c>
      <c r="B2779" s="8" t="inlineStr">
        <is>
          <t>COVID-SNL-22-83084</t>
        </is>
      </c>
      <c r="C2779" s="8" t="n"/>
      <c r="D2779" s="7" t="n">
        <v>30</v>
      </c>
      <c r="E2779" s="7" t="n">
        <v>2698</v>
      </c>
      <c r="F2779" s="7" t="inlineStr">
        <is>
          <t>Yes</t>
        </is>
      </c>
      <c r="G2779" s="8" t="n"/>
    </row>
    <row r="2780">
      <c r="A2780" s="8" t="inlineStr">
        <is>
          <t>PGCV_0030_2699</t>
        </is>
      </c>
      <c r="B2780" s="8" t="inlineStr">
        <is>
          <t>COVID-SNL-22-83129</t>
        </is>
      </c>
      <c r="C2780" s="8" t="n"/>
      <c r="D2780" s="7" t="n">
        <v>30</v>
      </c>
      <c r="E2780" s="7" t="n">
        <v>2699</v>
      </c>
      <c r="F2780" s="7" t="inlineStr">
        <is>
          <t>Yes</t>
        </is>
      </c>
      <c r="G2780" s="8" t="n"/>
    </row>
    <row r="2781">
      <c r="A2781" s="8" t="inlineStr">
        <is>
          <t>PGCV_0030_2700</t>
        </is>
      </c>
      <c r="B2781" s="8" t="inlineStr">
        <is>
          <t>COVID-SNL-22-83132</t>
        </is>
      </c>
      <c r="C2781" s="8" t="n"/>
      <c r="D2781" s="7" t="n">
        <v>30</v>
      </c>
      <c r="E2781" s="7" t="n">
        <v>2700</v>
      </c>
      <c r="F2781" s="7" t="inlineStr">
        <is>
          <t>Yes</t>
        </is>
      </c>
      <c r="G2781" s="8" t="n"/>
    </row>
    <row r="2782">
      <c r="A2782" s="8" t="inlineStr">
        <is>
          <t>PGCV_0030_2701</t>
        </is>
      </c>
      <c r="B2782" s="8" t="inlineStr">
        <is>
          <t>COVID-SNL-22-83141</t>
        </is>
      </c>
      <c r="C2782" s="8" t="n"/>
      <c r="D2782" s="7" t="n">
        <v>30</v>
      </c>
      <c r="E2782" s="7" t="n">
        <v>2701</v>
      </c>
      <c r="F2782" s="7" t="inlineStr">
        <is>
          <t>Yes</t>
        </is>
      </c>
      <c r="G2782" s="8" t="n"/>
    </row>
    <row r="2783">
      <c r="A2783" s="8" t="inlineStr">
        <is>
          <t>PGCV_0030_2702</t>
        </is>
      </c>
      <c r="B2783" s="8" t="inlineStr">
        <is>
          <t>COVID-SNL-22-83083</t>
        </is>
      </c>
      <c r="C2783" s="8" t="n"/>
      <c r="D2783" s="7" t="n">
        <v>30</v>
      </c>
      <c r="E2783" s="7" t="n">
        <v>2702</v>
      </c>
      <c r="F2783" s="7" t="inlineStr">
        <is>
          <t>Yes</t>
        </is>
      </c>
      <c r="G2783" s="8" t="n"/>
    </row>
    <row r="2784">
      <c r="A2784" s="8" t="inlineStr">
        <is>
          <t>PGCV_0030_2703</t>
        </is>
      </c>
      <c r="B2784" s="8" t="inlineStr">
        <is>
          <t>COVID-SNL-22-83355</t>
        </is>
      </c>
      <c r="C2784" s="8" t="n"/>
      <c r="D2784" s="7" t="n">
        <v>30</v>
      </c>
      <c r="E2784" s="7" t="n">
        <v>2703</v>
      </c>
      <c r="F2784" s="7" t="inlineStr">
        <is>
          <t>Yes</t>
        </is>
      </c>
      <c r="G2784" s="8" t="n"/>
    </row>
    <row r="2785">
      <c r="A2785" s="8" t="inlineStr">
        <is>
          <t>PGCV_0030_2704</t>
        </is>
      </c>
      <c r="B2785" s="8" t="inlineStr">
        <is>
          <t>COVID-SNL-22-83365</t>
        </is>
      </c>
      <c r="C2785" s="8" t="n"/>
      <c r="D2785" s="7" t="n">
        <v>30</v>
      </c>
      <c r="E2785" s="7" t="n">
        <v>2704</v>
      </c>
      <c r="F2785" s="7" t="inlineStr">
        <is>
          <t>Yes</t>
        </is>
      </c>
      <c r="G2785" s="8" t="n"/>
    </row>
    <row r="2786">
      <c r="A2786" s="8" t="inlineStr">
        <is>
          <t>PGCV_0030_2705</t>
        </is>
      </c>
      <c r="B2786" s="8" t="inlineStr">
        <is>
          <t>COVID-SNL-22-83384</t>
        </is>
      </c>
      <c r="C2786" s="8" t="n"/>
      <c r="D2786" s="7" t="n">
        <v>30</v>
      </c>
      <c r="E2786" s="7" t="n">
        <v>2705</v>
      </c>
      <c r="F2786" s="7" t="inlineStr">
        <is>
          <t>Yes</t>
        </is>
      </c>
      <c r="G2786" s="8" t="n"/>
    </row>
    <row r="2787">
      <c r="A2787" s="8" t="inlineStr">
        <is>
          <t>PGCV_0030_2706</t>
        </is>
      </c>
      <c r="B2787" s="8" t="inlineStr">
        <is>
          <t>COVID-SNL-22-83409</t>
        </is>
      </c>
      <c r="C2787" s="8" t="n"/>
      <c r="D2787" s="7" t="n">
        <v>30</v>
      </c>
      <c r="E2787" s="7" t="n">
        <v>2706</v>
      </c>
      <c r="F2787" s="7" t="inlineStr">
        <is>
          <t>Yes</t>
        </is>
      </c>
      <c r="G2787" s="8" t="n"/>
    </row>
    <row r="2788">
      <c r="A2788" s="8" t="inlineStr">
        <is>
          <t>PGCV_0030_2707</t>
        </is>
      </c>
      <c r="B2788" s="8" t="inlineStr">
        <is>
          <t>COVID-SNL-22-83425</t>
        </is>
      </c>
      <c r="C2788" s="8" t="n"/>
      <c r="D2788" s="7" t="n">
        <v>30</v>
      </c>
      <c r="E2788" s="7" t="n">
        <v>2707</v>
      </c>
      <c r="F2788" s="7" t="inlineStr">
        <is>
          <t>Yes</t>
        </is>
      </c>
      <c r="G2788" s="8" t="n"/>
    </row>
    <row r="2789">
      <c r="A2789" s="8" t="inlineStr">
        <is>
          <t>PGCV_0030_2708</t>
        </is>
      </c>
      <c r="B2789" s="8" t="inlineStr">
        <is>
          <t>COVID-SNL-22-83432</t>
        </is>
      </c>
      <c r="C2789" s="8" t="n"/>
      <c r="D2789" s="7" t="n">
        <v>30</v>
      </c>
      <c r="E2789" s="7" t="n">
        <v>2708</v>
      </c>
      <c r="F2789" s="7" t="inlineStr">
        <is>
          <t>Yes</t>
        </is>
      </c>
      <c r="G2789" s="8" t="n"/>
    </row>
    <row r="2790">
      <c r="A2790" s="8" t="inlineStr">
        <is>
          <t>PGCV_0030_2709</t>
        </is>
      </c>
      <c r="B2790" s="8" t="inlineStr">
        <is>
          <t>COVID-SNL-22-83433</t>
        </is>
      </c>
      <c r="C2790" s="8" t="n"/>
      <c r="D2790" s="7" t="n">
        <v>30</v>
      </c>
      <c r="E2790" s="7" t="n">
        <v>2709</v>
      </c>
      <c r="F2790" s="7" t="inlineStr">
        <is>
          <t>Yes</t>
        </is>
      </c>
      <c r="G2790" s="8" t="n"/>
    </row>
    <row r="2791">
      <c r="A2791" s="8" t="inlineStr">
        <is>
          <t>PGCV_0030_2710</t>
        </is>
      </c>
      <c r="B2791" s="8" t="inlineStr">
        <is>
          <t>COVID-SNL-22-83435</t>
        </is>
      </c>
      <c r="C2791" s="8" t="n"/>
      <c r="D2791" s="7" t="n">
        <v>30</v>
      </c>
      <c r="E2791" s="7" t="n">
        <v>2710</v>
      </c>
      <c r="F2791" s="7" t="inlineStr">
        <is>
          <t>Yes</t>
        </is>
      </c>
      <c r="G2791" s="8" t="n"/>
    </row>
    <row r="2792">
      <c r="A2792" s="8" t="inlineStr">
        <is>
          <t>PGCV_0030_2711</t>
        </is>
      </c>
      <c r="B2792" s="8" t="inlineStr">
        <is>
          <t>COVID-SNL-22-83453</t>
        </is>
      </c>
      <c r="C2792" s="8" t="n"/>
      <c r="D2792" s="7" t="n">
        <v>30</v>
      </c>
      <c r="E2792" s="7" t="n">
        <v>2711</v>
      </c>
      <c r="F2792" s="7" t="inlineStr">
        <is>
          <t>Yes</t>
        </is>
      </c>
      <c r="G2792" s="8" t="n"/>
    </row>
    <row r="2793">
      <c r="A2793" s="8" t="inlineStr">
        <is>
          <t>PGCV_0030_2712</t>
        </is>
      </c>
      <c r="B2793" s="8" t="inlineStr">
        <is>
          <t>COVID-SNL-22-83310</t>
        </is>
      </c>
      <c r="C2793" s="8" t="n"/>
      <c r="D2793" s="7" t="n">
        <v>30</v>
      </c>
      <c r="E2793" s="7" t="n">
        <v>2712</v>
      </c>
      <c r="F2793" s="7" t="inlineStr">
        <is>
          <t>Yes</t>
        </is>
      </c>
      <c r="G2793" s="8" t="n"/>
    </row>
    <row r="2794">
      <c r="A2794" s="8" t="inlineStr">
        <is>
          <t>PGCV_0030_2713</t>
        </is>
      </c>
      <c r="B2794" s="8" t="inlineStr">
        <is>
          <t>COVID-SNL-22-83311</t>
        </is>
      </c>
      <c r="C2794" s="8" t="n"/>
      <c r="D2794" s="7" t="n">
        <v>30</v>
      </c>
      <c r="E2794" s="7" t="n">
        <v>2713</v>
      </c>
      <c r="F2794" s="7" t="inlineStr">
        <is>
          <t>Yes</t>
        </is>
      </c>
      <c r="G2794" s="8" t="n"/>
    </row>
    <row r="2795">
      <c r="A2795" s="8" t="inlineStr">
        <is>
          <t>PGCV_0030_2714</t>
        </is>
      </c>
      <c r="B2795" s="8" t="inlineStr">
        <is>
          <t>COVID-SNL-22-83313</t>
        </is>
      </c>
      <c r="C2795" s="8" t="n"/>
      <c r="D2795" s="7" t="n">
        <v>30</v>
      </c>
      <c r="E2795" s="7" t="n">
        <v>2714</v>
      </c>
      <c r="F2795" s="7" t="inlineStr">
        <is>
          <t>Yes</t>
        </is>
      </c>
      <c r="G2795" s="8" t="n"/>
    </row>
    <row r="2796">
      <c r="A2796" s="8" t="inlineStr">
        <is>
          <t>PGCV_0030_2715</t>
        </is>
      </c>
      <c r="B2796" s="8" t="inlineStr">
        <is>
          <t>COVID-SNL-22-83329</t>
        </is>
      </c>
      <c r="C2796" s="8" t="n"/>
      <c r="D2796" s="7" t="n">
        <v>30</v>
      </c>
      <c r="E2796" s="7" t="n">
        <v>2715</v>
      </c>
      <c r="F2796" s="7" t="inlineStr">
        <is>
          <t>Yes</t>
        </is>
      </c>
      <c r="G2796" s="8" t="n"/>
    </row>
    <row r="2797">
      <c r="A2797" s="8" t="inlineStr">
        <is>
          <t>PGCV_0030_2716</t>
        </is>
      </c>
      <c r="B2797" s="8" t="inlineStr">
        <is>
          <t>COVID-SNL-22-83347</t>
        </is>
      </c>
      <c r="C2797" s="8" t="n"/>
      <c r="D2797" s="7" t="n">
        <v>30</v>
      </c>
      <c r="E2797" s="7" t="n">
        <v>2716</v>
      </c>
      <c r="F2797" s="7" t="inlineStr">
        <is>
          <t>Yes</t>
        </is>
      </c>
      <c r="G2797" s="8" t="n"/>
    </row>
    <row r="2798">
      <c r="A2798" s="8" t="inlineStr">
        <is>
          <t>PGCV_0030_2717</t>
        </is>
      </c>
      <c r="B2798" s="8" t="inlineStr">
        <is>
          <t>COVID-SNL-22-83487</t>
        </is>
      </c>
      <c r="C2798" s="8" t="n"/>
      <c r="D2798" s="7" t="n">
        <v>30</v>
      </c>
      <c r="E2798" s="7" t="n">
        <v>2717</v>
      </c>
      <c r="F2798" s="7" t="inlineStr">
        <is>
          <t>Yes</t>
        </is>
      </c>
      <c r="G2798" s="8" t="n"/>
    </row>
    <row r="2799">
      <c r="A2799" s="8" t="inlineStr">
        <is>
          <t>PGCV_0030_2718</t>
        </is>
      </c>
      <c r="B2799" s="8" t="inlineStr">
        <is>
          <t>COVID-SNL-22-83522</t>
        </is>
      </c>
      <c r="C2799" s="8" t="n"/>
      <c r="D2799" s="7" t="n">
        <v>30</v>
      </c>
      <c r="E2799" s="7" t="n">
        <v>2718</v>
      </c>
      <c r="F2799" s="7" t="inlineStr">
        <is>
          <t>Yes</t>
        </is>
      </c>
      <c r="G2799" s="8" t="n"/>
    </row>
    <row r="2800">
      <c r="A2800" s="8" t="inlineStr">
        <is>
          <t>PGCV_0030_2719</t>
        </is>
      </c>
      <c r="B2800" s="8" t="inlineStr">
        <is>
          <t>COVID-SNL-22-83463</t>
        </is>
      </c>
      <c r="C2800" s="8" t="n"/>
      <c r="D2800" s="7" t="n">
        <v>30</v>
      </c>
      <c r="E2800" s="7" t="n">
        <v>2719</v>
      </c>
      <c r="F2800" s="7" t="inlineStr">
        <is>
          <t>Yes</t>
        </is>
      </c>
      <c r="G2800" s="8" t="n"/>
    </row>
    <row r="2801">
      <c r="A2801" s="8" t="inlineStr">
        <is>
          <t>PGCV_0030_2720</t>
        </is>
      </c>
      <c r="B2801" s="8" t="inlineStr">
        <is>
          <t>COVID-SNL-22-83682</t>
        </is>
      </c>
      <c r="C2801" s="8" t="n"/>
      <c r="D2801" s="7" t="n">
        <v>30</v>
      </c>
      <c r="E2801" s="7" t="n">
        <v>2720</v>
      </c>
      <c r="F2801" s="7" t="inlineStr">
        <is>
          <t>Yes</t>
        </is>
      </c>
      <c r="G2801" s="8" t="n"/>
    </row>
    <row r="2802">
      <c r="A2802" s="8" t="inlineStr">
        <is>
          <t>PGCV_0030_2721</t>
        </is>
      </c>
      <c r="B2802" s="8" t="inlineStr">
        <is>
          <t>COVID-SNL-22-83715</t>
        </is>
      </c>
      <c r="C2802" s="8" t="n"/>
      <c r="D2802" s="7" t="n">
        <v>30</v>
      </c>
      <c r="E2802" s="7" t="n">
        <v>2721</v>
      </c>
      <c r="F2802" s="7" t="inlineStr">
        <is>
          <t>Yes</t>
        </is>
      </c>
      <c r="G2802" s="8" t="n"/>
    </row>
    <row r="2803">
      <c r="A2803" s="8" t="inlineStr">
        <is>
          <t>PGCV_0030_2722</t>
        </is>
      </c>
      <c r="B2803" s="8" t="inlineStr">
        <is>
          <t>COVID-SNL-22-83736</t>
        </is>
      </c>
      <c r="C2803" s="8" t="n"/>
      <c r="D2803" s="7" t="n">
        <v>30</v>
      </c>
      <c r="E2803" s="7" t="n">
        <v>2722</v>
      </c>
      <c r="F2803" s="7" t="inlineStr">
        <is>
          <t>Yes</t>
        </is>
      </c>
      <c r="G2803" s="8" t="n"/>
    </row>
    <row r="2804">
      <c r="A2804" s="8" t="inlineStr">
        <is>
          <t>PGCV_0030_2723</t>
        </is>
      </c>
      <c r="B2804" s="8" t="inlineStr">
        <is>
          <t>COVID-SNL-22-83739</t>
        </is>
      </c>
      <c r="C2804" s="8" t="n"/>
      <c r="D2804" s="7" t="n">
        <v>30</v>
      </c>
      <c r="E2804" s="7" t="n">
        <v>2723</v>
      </c>
      <c r="F2804" s="7" t="inlineStr">
        <is>
          <t>No</t>
        </is>
      </c>
      <c r="G2804" s="8" t="n"/>
    </row>
    <row r="2805">
      <c r="A2805" s="8" t="inlineStr">
        <is>
          <t>PGCV_0030_2724</t>
        </is>
      </c>
      <c r="B2805" s="8" t="inlineStr">
        <is>
          <t>COVID-SNL-22-83756</t>
        </is>
      </c>
      <c r="C2805" s="8" t="n"/>
      <c r="D2805" s="7" t="n">
        <v>30</v>
      </c>
      <c r="E2805" s="7" t="n">
        <v>2724</v>
      </c>
      <c r="F2805" s="7" t="inlineStr">
        <is>
          <t>Yes</t>
        </is>
      </c>
      <c r="G2805" s="8" t="n"/>
    </row>
    <row r="2806">
      <c r="A2806" s="8" t="inlineStr">
        <is>
          <t>PGCV_0030_2725</t>
        </is>
      </c>
      <c r="B2806" s="8" t="inlineStr">
        <is>
          <t>COVID-SNL-22-83757</t>
        </is>
      </c>
      <c r="C2806" s="8" t="n"/>
      <c r="D2806" s="7" t="n">
        <v>30</v>
      </c>
      <c r="E2806" s="7" t="n">
        <v>2725</v>
      </c>
      <c r="F2806" s="7" t="inlineStr">
        <is>
          <t>Yes</t>
        </is>
      </c>
      <c r="G2806" s="8" t="n"/>
    </row>
    <row r="2807">
      <c r="A2807" s="8" t="inlineStr">
        <is>
          <t>PGCV_0030_2726</t>
        </is>
      </c>
      <c r="B2807" s="8" t="inlineStr">
        <is>
          <t>COVID-SNL-22-83801</t>
        </is>
      </c>
      <c r="C2807" s="8" t="n"/>
      <c r="D2807" s="7" t="n">
        <v>30</v>
      </c>
      <c r="E2807" s="7" t="n">
        <v>2726</v>
      </c>
      <c r="F2807" s="7" t="inlineStr">
        <is>
          <t>Yes</t>
        </is>
      </c>
      <c r="G2807" s="8" t="n"/>
    </row>
    <row r="2808">
      <c r="A2808" s="8" t="inlineStr">
        <is>
          <t>PGCV_0030_2727</t>
        </is>
      </c>
      <c r="B2808" s="8" t="inlineStr">
        <is>
          <t>COVID-SNL-22-83845</t>
        </is>
      </c>
      <c r="C2808" s="8" t="n"/>
      <c r="D2808" s="7" t="n">
        <v>30</v>
      </c>
      <c r="E2808" s="7" t="n">
        <v>2727</v>
      </c>
      <c r="F2808" s="7" t="inlineStr">
        <is>
          <t>Yes</t>
        </is>
      </c>
      <c r="G2808" s="8" t="n"/>
    </row>
    <row r="2809">
      <c r="A2809" s="8" t="inlineStr">
        <is>
          <t>PGCV_0030_2728</t>
        </is>
      </c>
      <c r="B2809" s="8" t="inlineStr">
        <is>
          <t>COVID-SNL-22-84015</t>
        </is>
      </c>
      <c r="C2809" s="8" t="n"/>
      <c r="D2809" s="7" t="n">
        <v>30</v>
      </c>
      <c r="E2809" s="7" t="n">
        <v>2728</v>
      </c>
      <c r="F2809" s="7" t="inlineStr">
        <is>
          <t>Yes</t>
        </is>
      </c>
      <c r="G2809" s="8" t="n"/>
    </row>
    <row r="2810">
      <c r="A2810" s="8" t="inlineStr">
        <is>
          <t>PGCV_0030_2729</t>
        </is>
      </c>
      <c r="B2810" s="8" t="inlineStr">
        <is>
          <t>COVID-SNL-22-84020</t>
        </is>
      </c>
      <c r="C2810" s="8" t="n"/>
      <c r="D2810" s="7" t="n">
        <v>30</v>
      </c>
      <c r="E2810" s="7" t="n">
        <v>2729</v>
      </c>
      <c r="F2810" s="7" t="inlineStr">
        <is>
          <t>Yes</t>
        </is>
      </c>
      <c r="G2810" s="8" t="n"/>
    </row>
    <row r="2811">
      <c r="A2811" s="8" t="inlineStr">
        <is>
          <t>PGCV_0030_2730</t>
        </is>
      </c>
      <c r="B2811" s="8" t="inlineStr">
        <is>
          <t>COVID-SNL-22-84031</t>
        </is>
      </c>
      <c r="C2811" s="8" t="n"/>
      <c r="D2811" s="7" t="n">
        <v>30</v>
      </c>
      <c r="E2811" s="7" t="n">
        <v>2730</v>
      </c>
      <c r="F2811" s="7" t="inlineStr">
        <is>
          <t>Yes</t>
        </is>
      </c>
      <c r="G2811" s="8" t="n"/>
    </row>
    <row r="2812">
      <c r="A2812" s="8" t="inlineStr">
        <is>
          <t>PGCV_0030_2731</t>
        </is>
      </c>
      <c r="B2812" s="8" t="inlineStr">
        <is>
          <t>COVID-SNL-22-84034</t>
        </is>
      </c>
      <c r="C2812" s="8" t="n"/>
      <c r="D2812" s="7" t="n">
        <v>30</v>
      </c>
      <c r="E2812" s="7" t="n">
        <v>2731</v>
      </c>
      <c r="F2812" s="7" t="inlineStr">
        <is>
          <t>Yes</t>
        </is>
      </c>
      <c r="G2812" s="8" t="n"/>
    </row>
    <row r="2813">
      <c r="A2813" s="8" t="inlineStr">
        <is>
          <t>PGCV_0030_2732</t>
        </is>
      </c>
      <c r="B2813" s="8" t="inlineStr">
        <is>
          <t>COVID-SNL-22-83879</t>
        </is>
      </c>
      <c r="C2813" s="8" t="n"/>
      <c r="D2813" s="7" t="n">
        <v>30</v>
      </c>
      <c r="E2813" s="7" t="n">
        <v>2732</v>
      </c>
      <c r="F2813" s="7" t="inlineStr">
        <is>
          <t>Yes</t>
        </is>
      </c>
      <c r="G2813" s="8" t="n"/>
    </row>
    <row r="2814">
      <c r="A2814" s="8" t="inlineStr">
        <is>
          <t>PGCV_0030_2733</t>
        </is>
      </c>
      <c r="B2814" s="8" t="inlineStr">
        <is>
          <t>COVID-SNL-22-83887</t>
        </is>
      </c>
      <c r="C2814" s="8" t="n"/>
      <c r="D2814" s="7" t="n">
        <v>30</v>
      </c>
      <c r="E2814" s="7" t="n">
        <v>2733</v>
      </c>
      <c r="F2814" s="7" t="inlineStr">
        <is>
          <t>Yes</t>
        </is>
      </c>
      <c r="G2814" s="8" t="n"/>
    </row>
    <row r="2815">
      <c r="A2815" s="8" t="inlineStr">
        <is>
          <t>PGCV_0030_2734</t>
        </is>
      </c>
      <c r="B2815" s="8" t="inlineStr">
        <is>
          <t>COVID-SNL-22-83902</t>
        </is>
      </c>
      <c r="C2815" s="8" t="n"/>
      <c r="D2815" s="7" t="n">
        <v>30</v>
      </c>
      <c r="E2815" s="7" t="n">
        <v>2734</v>
      </c>
      <c r="F2815" s="7" t="inlineStr">
        <is>
          <t>Yes</t>
        </is>
      </c>
      <c r="G2815" s="8" t="n"/>
    </row>
    <row r="2816">
      <c r="A2816" s="8" t="inlineStr">
        <is>
          <t>PGCV_0030_2735</t>
        </is>
      </c>
      <c r="B2816" s="8" t="inlineStr">
        <is>
          <t>COVID-SNL-22-83940</t>
        </is>
      </c>
      <c r="C2816" s="8" t="n"/>
      <c r="D2816" s="7" t="n">
        <v>30</v>
      </c>
      <c r="E2816" s="7" t="n">
        <v>2735</v>
      </c>
      <c r="F2816" s="7" t="inlineStr">
        <is>
          <t>Yes</t>
        </is>
      </c>
      <c r="G2816" s="8" t="n"/>
    </row>
    <row r="2817">
      <c r="A2817" s="8" t="inlineStr">
        <is>
          <t>PGCV_0030_2736</t>
        </is>
      </c>
      <c r="B2817" s="8" t="inlineStr">
        <is>
          <t>COVID-SNL-22-83957</t>
        </is>
      </c>
      <c r="C2817" s="8" t="n"/>
      <c r="D2817" s="7" t="n">
        <v>30</v>
      </c>
      <c r="E2817" s="7" t="n">
        <v>2736</v>
      </c>
      <c r="F2817" s="7" t="inlineStr">
        <is>
          <t>Yes</t>
        </is>
      </c>
      <c r="G2817" s="8" t="n"/>
    </row>
    <row r="2818">
      <c r="A2818" s="8" t="inlineStr">
        <is>
          <t>PGCV_0030_2737</t>
        </is>
      </c>
      <c r="B2818" s="8" t="inlineStr">
        <is>
          <t>COVID-SNL-22-83992</t>
        </is>
      </c>
      <c r="C2818" s="8" t="n"/>
      <c r="D2818" s="7" t="n">
        <v>30</v>
      </c>
      <c r="E2818" s="7" t="n">
        <v>2737</v>
      </c>
      <c r="F2818" s="7" t="inlineStr">
        <is>
          <t>Yes</t>
        </is>
      </c>
      <c r="G2818" s="8" t="n"/>
    </row>
    <row r="2819">
      <c r="A2819" s="8" t="inlineStr">
        <is>
          <t>PGCV_0030_2738</t>
        </is>
      </c>
      <c r="B2819" s="8" t="inlineStr">
        <is>
          <t>COVID-SNL-22-83993</t>
        </is>
      </c>
      <c r="C2819" s="8" t="n"/>
      <c r="D2819" s="7" t="n">
        <v>30</v>
      </c>
      <c r="E2819" s="7" t="n">
        <v>2738</v>
      </c>
      <c r="F2819" s="7" t="inlineStr">
        <is>
          <t>Yes</t>
        </is>
      </c>
      <c r="G2819" s="8" t="n"/>
    </row>
    <row r="2820">
      <c r="A2820" s="8" t="inlineStr">
        <is>
          <t>PGCV_0030_2739</t>
        </is>
      </c>
      <c r="B2820" s="8" t="inlineStr">
        <is>
          <t>COVID-SNL-22-83994</t>
        </is>
      </c>
      <c r="C2820" s="8" t="n"/>
      <c r="D2820" s="7" t="n">
        <v>30</v>
      </c>
      <c r="E2820" s="7" t="n">
        <v>2739</v>
      </c>
      <c r="F2820" s="7" t="inlineStr">
        <is>
          <t>Yes</t>
        </is>
      </c>
      <c r="G2820" s="8" t="n"/>
    </row>
    <row r="2821">
      <c r="A2821" s="8" t="inlineStr">
        <is>
          <t>PGCV_0030_2740</t>
        </is>
      </c>
      <c r="B2821" s="8" t="inlineStr">
        <is>
          <t>COVID-SNL-22-83995</t>
        </is>
      </c>
      <c r="C2821" s="8" t="n"/>
      <c r="D2821" s="7" t="n">
        <v>30</v>
      </c>
      <c r="E2821" s="7" t="n">
        <v>2740</v>
      </c>
      <c r="F2821" s="7" t="inlineStr">
        <is>
          <t>Yes</t>
        </is>
      </c>
      <c r="G2821" s="8" t="n"/>
    </row>
    <row r="2822">
      <c r="A2822" s="8" t="inlineStr">
        <is>
          <t>PGCV_0030_2741</t>
        </is>
      </c>
      <c r="B2822" s="8" t="inlineStr">
        <is>
          <t>COVID-SNL-22-83996</t>
        </is>
      </c>
      <c r="C2822" s="8" t="n"/>
      <c r="D2822" s="7" t="n">
        <v>30</v>
      </c>
      <c r="E2822" s="7" t="n">
        <v>2741</v>
      </c>
      <c r="F2822" s="7" t="inlineStr">
        <is>
          <t>Yes</t>
        </is>
      </c>
      <c r="G2822" s="8" t="n"/>
    </row>
    <row r="2823">
      <c r="A2823" s="8" t="inlineStr">
        <is>
          <t>PGCV_0030_2742</t>
        </is>
      </c>
      <c r="B2823" s="8" t="inlineStr">
        <is>
          <t>COVID-SNL-22-84056</t>
        </is>
      </c>
      <c r="C2823" s="8" t="n"/>
      <c r="D2823" s="7" t="n">
        <v>30</v>
      </c>
      <c r="E2823" s="7" t="n">
        <v>2742</v>
      </c>
      <c r="F2823" s="7" t="inlineStr">
        <is>
          <t>Yes</t>
        </is>
      </c>
      <c r="G2823" s="8" t="n"/>
    </row>
    <row r="2824">
      <c r="A2824" s="8" t="inlineStr">
        <is>
          <t>PGCV_0030_2743</t>
        </is>
      </c>
      <c r="B2824" s="8" t="inlineStr">
        <is>
          <t>COVID-SNL-22-84105</t>
        </is>
      </c>
      <c r="C2824" s="8" t="n"/>
      <c r="D2824" s="7" t="n">
        <v>30</v>
      </c>
      <c r="E2824" s="7" t="n">
        <v>2743</v>
      </c>
      <c r="F2824" s="7" t="inlineStr">
        <is>
          <t>Yes</t>
        </is>
      </c>
      <c r="G2824" s="8" t="n"/>
    </row>
    <row r="2825">
      <c r="A2825" s="8" t="inlineStr">
        <is>
          <t>PGCV_0030_2744</t>
        </is>
      </c>
      <c r="B2825" s="8" t="inlineStr">
        <is>
          <t>COVID-SNL-22-81722</t>
        </is>
      </c>
      <c r="C2825" s="8" t="n"/>
      <c r="D2825" s="7" t="n">
        <v>30</v>
      </c>
      <c r="E2825" s="7" t="n">
        <v>2744</v>
      </c>
      <c r="F2825" s="7" t="inlineStr">
        <is>
          <t>Yes</t>
        </is>
      </c>
      <c r="G2825" s="8" t="n"/>
    </row>
    <row r="2826">
      <c r="A2826" s="8" t="inlineStr">
        <is>
          <t>PGCV_0030_2745</t>
        </is>
      </c>
      <c r="B2826" s="8" t="inlineStr">
        <is>
          <t>COVID-SNL-22-81723</t>
        </is>
      </c>
      <c r="C2826" s="8" t="n"/>
      <c r="D2826" s="7" t="n">
        <v>30</v>
      </c>
      <c r="E2826" s="7" t="n">
        <v>2745</v>
      </c>
      <c r="F2826" s="7" t="inlineStr">
        <is>
          <t>Yes</t>
        </is>
      </c>
      <c r="G2826" s="8" t="n"/>
    </row>
    <row r="2827">
      <c r="A2827" s="8" t="inlineStr">
        <is>
          <t>PGCV_0030_2746</t>
        </is>
      </c>
      <c r="B2827" s="8" t="inlineStr">
        <is>
          <t>COVID-SNL-22-81822</t>
        </is>
      </c>
      <c r="C2827" s="8" t="n"/>
      <c r="D2827" s="7" t="n">
        <v>30</v>
      </c>
      <c r="E2827" s="7" t="n">
        <v>2746</v>
      </c>
      <c r="F2827" s="7" t="inlineStr">
        <is>
          <t>No</t>
        </is>
      </c>
      <c r="G2827" s="8" t="n"/>
    </row>
    <row r="2828">
      <c r="A2828" s="8" t="inlineStr">
        <is>
          <t>PGCV_0030_2747</t>
        </is>
      </c>
      <c r="B2828" s="8" t="inlineStr">
        <is>
          <t>COVID-SNL-22-81860</t>
        </is>
      </c>
      <c r="C2828" s="8" t="n"/>
      <c r="D2828" s="7" t="n">
        <v>30</v>
      </c>
      <c r="E2828" s="7" t="n">
        <v>2747</v>
      </c>
      <c r="F2828" s="7" t="inlineStr">
        <is>
          <t>No</t>
        </is>
      </c>
      <c r="G2828" s="8" t="n"/>
    </row>
    <row r="2829">
      <c r="A2829" s="8" t="inlineStr">
        <is>
          <t>PGCV_0030_2748</t>
        </is>
      </c>
      <c r="B2829" s="8" t="inlineStr">
        <is>
          <t>COVID-SNL-22-82345</t>
        </is>
      </c>
      <c r="C2829" s="8" t="n"/>
      <c r="D2829" s="7" t="n">
        <v>30</v>
      </c>
      <c r="E2829" s="7" t="n">
        <v>2748</v>
      </c>
      <c r="F2829" s="7" t="inlineStr">
        <is>
          <t>Yes</t>
        </is>
      </c>
      <c r="G2829" s="8" t="n"/>
    </row>
    <row r="2830">
      <c r="A2830" s="8" t="inlineStr">
        <is>
          <t>PGCV_0030_2749</t>
        </is>
      </c>
      <c r="B2830" s="8" t="inlineStr">
        <is>
          <t>COVID-SNL-22-82357</t>
        </is>
      </c>
      <c r="C2830" s="8" t="n"/>
      <c r="D2830" s="7" t="n">
        <v>30</v>
      </c>
      <c r="E2830" s="7" t="n">
        <v>2749</v>
      </c>
      <c r="F2830" s="7" t="inlineStr">
        <is>
          <t>Yes</t>
        </is>
      </c>
      <c r="G2830" s="8" t="n"/>
    </row>
    <row r="2831">
      <c r="A2831" s="8" t="inlineStr">
        <is>
          <t>PGCV_0030_2750</t>
        </is>
      </c>
      <c r="B2831" s="8" t="inlineStr">
        <is>
          <t>COVID-SNL-22-82367</t>
        </is>
      </c>
      <c r="C2831" s="8" t="n"/>
      <c r="D2831" s="7" t="n">
        <v>30</v>
      </c>
      <c r="E2831" s="7" t="n">
        <v>2750</v>
      </c>
      <c r="F2831" s="7" t="inlineStr">
        <is>
          <t>No</t>
        </is>
      </c>
      <c r="G2831" s="8" t="n"/>
    </row>
    <row r="2832">
      <c r="A2832" s="8" t="inlineStr">
        <is>
          <t>PGCV_0030_2751</t>
        </is>
      </c>
      <c r="B2832" s="8" t="inlineStr">
        <is>
          <t>COVID-SNL-22-82615</t>
        </is>
      </c>
      <c r="C2832" s="8" t="n"/>
      <c r="D2832" s="7" t="n">
        <v>30</v>
      </c>
      <c r="E2832" s="7" t="n">
        <v>2751</v>
      </c>
      <c r="F2832" s="7" t="inlineStr">
        <is>
          <t>Yes</t>
        </is>
      </c>
      <c r="G2832" s="8" t="n"/>
    </row>
    <row r="2833">
      <c r="A2833" s="8" t="inlineStr">
        <is>
          <t>PGCV_0030_2752</t>
        </is>
      </c>
      <c r="B2833" s="8" t="inlineStr">
        <is>
          <t>COVID-SNL-22-82809</t>
        </is>
      </c>
      <c r="C2833" s="8" t="n"/>
      <c r="D2833" s="7" t="n">
        <v>30</v>
      </c>
      <c r="E2833" s="7" t="n">
        <v>2752</v>
      </c>
      <c r="F2833" s="7" t="inlineStr">
        <is>
          <t>Yes</t>
        </is>
      </c>
      <c r="G2833" s="8" t="n"/>
    </row>
    <row r="2834">
      <c r="A2834" s="8" t="inlineStr">
        <is>
          <t>PGCV_0030_2753</t>
        </is>
      </c>
      <c r="B2834" s="8" t="inlineStr">
        <is>
          <t>COVID-SNL-22-82880</t>
        </is>
      </c>
      <c r="C2834" s="8" t="n"/>
      <c r="D2834" s="7" t="n">
        <v>30</v>
      </c>
      <c r="E2834" s="7" t="n">
        <v>2753</v>
      </c>
      <c r="F2834" s="7" t="inlineStr">
        <is>
          <t>Yes</t>
        </is>
      </c>
      <c r="G2834" s="8" t="n"/>
    </row>
    <row r="2835">
      <c r="A2835" s="8" t="inlineStr">
        <is>
          <t>PGCV_0030_2754</t>
        </is>
      </c>
      <c r="B2835" s="8" t="inlineStr">
        <is>
          <t>COVID-SNL-22-82909</t>
        </is>
      </c>
      <c r="C2835" s="8" t="n"/>
      <c r="D2835" s="7" t="n">
        <v>30</v>
      </c>
      <c r="E2835" s="7" t="n">
        <v>2754</v>
      </c>
      <c r="F2835" s="7" t="inlineStr">
        <is>
          <t>Yes</t>
        </is>
      </c>
      <c r="G2835" s="8" t="n"/>
    </row>
    <row r="2836">
      <c r="A2836" s="8" t="inlineStr">
        <is>
          <t>PGCV_0030_2755</t>
        </is>
      </c>
      <c r="B2836" s="8" t="inlineStr">
        <is>
          <t>COVID-SNL-22-82962</t>
        </is>
      </c>
      <c r="C2836" s="8" t="n"/>
      <c r="D2836" s="7" t="n">
        <v>30</v>
      </c>
      <c r="E2836" s="7" t="n">
        <v>2755</v>
      </c>
      <c r="F2836" s="7" t="inlineStr">
        <is>
          <t>No</t>
        </is>
      </c>
      <c r="G2836" s="8" t="n"/>
    </row>
    <row r="2837">
      <c r="A2837" s="8" t="inlineStr">
        <is>
          <t>PGCV_0030_2756</t>
        </is>
      </c>
      <c r="B2837" s="8" t="inlineStr">
        <is>
          <t>COVID-SNL-22-82973</t>
        </is>
      </c>
      <c r="C2837" s="8" t="n"/>
      <c r="D2837" s="7" t="n">
        <v>30</v>
      </c>
      <c r="E2837" s="7" t="n">
        <v>2756</v>
      </c>
      <c r="F2837" s="7" t="inlineStr">
        <is>
          <t>No</t>
        </is>
      </c>
      <c r="G2837" s="8" t="n"/>
    </row>
    <row r="2838">
      <c r="A2838" s="8" t="inlineStr">
        <is>
          <t>PGCV_0030_2757</t>
        </is>
      </c>
      <c r="B2838" s="8" t="inlineStr">
        <is>
          <t>COVID-SNL-22-82977</t>
        </is>
      </c>
      <c r="C2838" s="8" t="n"/>
      <c r="D2838" s="7" t="n">
        <v>30</v>
      </c>
      <c r="E2838" s="7" t="n">
        <v>2757</v>
      </c>
      <c r="F2838" s="7" t="inlineStr">
        <is>
          <t>No</t>
        </is>
      </c>
      <c r="G2838" s="8" t="n"/>
    </row>
    <row r="2839">
      <c r="A2839" s="8" t="inlineStr">
        <is>
          <t>PGCV_0030_2758</t>
        </is>
      </c>
      <c r="B2839" s="8" t="inlineStr">
        <is>
          <t>COVID-SNL-22-83057</t>
        </is>
      </c>
      <c r="C2839" s="8" t="n"/>
      <c r="D2839" s="7" t="n">
        <v>30</v>
      </c>
      <c r="E2839" s="7" t="n">
        <v>2758</v>
      </c>
      <c r="F2839" s="7" t="inlineStr">
        <is>
          <t>Yes</t>
        </is>
      </c>
      <c r="G2839" s="8" t="n"/>
    </row>
    <row r="2840">
      <c r="A2840" s="8" t="inlineStr">
        <is>
          <t>PGCV_0030_2759</t>
        </is>
      </c>
      <c r="B2840" s="8" t="inlineStr">
        <is>
          <t>COVID-SNL-22-83099</t>
        </is>
      </c>
      <c r="C2840" s="8" t="n"/>
      <c r="D2840" s="7" t="n">
        <v>30</v>
      </c>
      <c r="E2840" s="7" t="n">
        <v>2759</v>
      </c>
      <c r="F2840" s="7" t="inlineStr">
        <is>
          <t>No</t>
        </is>
      </c>
      <c r="G2840" s="8" t="n"/>
    </row>
    <row r="2841">
      <c r="A2841" s="8" t="inlineStr">
        <is>
          <t>PGCV_0030_2760</t>
        </is>
      </c>
      <c r="B2841" s="8" t="inlineStr">
        <is>
          <t>COVID-SNL-22-83102</t>
        </is>
      </c>
      <c r="C2841" s="8" t="n"/>
      <c r="D2841" s="7" t="n">
        <v>30</v>
      </c>
      <c r="E2841" s="7" t="n">
        <v>2760</v>
      </c>
      <c r="F2841" s="7" t="inlineStr">
        <is>
          <t>No</t>
        </is>
      </c>
      <c r="G2841" s="8" t="n"/>
    </row>
    <row r="2842">
      <c r="A2842" s="8" t="inlineStr">
        <is>
          <t>PGCV_0030_2761</t>
        </is>
      </c>
      <c r="B2842" s="8" t="inlineStr">
        <is>
          <t>COVID-SNL-22-83255</t>
        </is>
      </c>
      <c r="C2842" s="8" t="n"/>
      <c r="D2842" s="7" t="n">
        <v>30</v>
      </c>
      <c r="E2842" s="7" t="n">
        <v>2761</v>
      </c>
      <c r="F2842" s="7" t="inlineStr">
        <is>
          <t>Yes</t>
        </is>
      </c>
      <c r="G2842" s="8" t="n"/>
    </row>
    <row r="2843">
      <c r="A2843" s="8" t="inlineStr">
        <is>
          <t>PGCV_0030_2762</t>
        </is>
      </c>
      <c r="B2843" s="8" t="inlineStr">
        <is>
          <t>COVID-SNL-22-83293</t>
        </is>
      </c>
      <c r="C2843" s="8" t="n"/>
      <c r="D2843" s="7" t="n">
        <v>30</v>
      </c>
      <c r="E2843" s="7" t="n">
        <v>2762</v>
      </c>
      <c r="F2843" s="7" t="inlineStr">
        <is>
          <t>Yes</t>
        </is>
      </c>
      <c r="G2843" s="8" t="n"/>
    </row>
    <row r="2844">
      <c r="A2844" s="8" t="inlineStr">
        <is>
          <t>PGCV_0030_2763</t>
        </is>
      </c>
      <c r="B2844" s="8" t="inlineStr">
        <is>
          <t>COVID-SNL-22-83295</t>
        </is>
      </c>
      <c r="C2844" s="8" t="n"/>
      <c r="D2844" s="7" t="n">
        <v>30</v>
      </c>
      <c r="E2844" s="7" t="n">
        <v>2763</v>
      </c>
      <c r="F2844" s="7" t="inlineStr">
        <is>
          <t>No</t>
        </is>
      </c>
      <c r="G2844" s="8" t="n"/>
    </row>
    <row r="2845">
      <c r="A2845" s="8" t="inlineStr">
        <is>
          <t>PGCV_0030_2764</t>
        </is>
      </c>
      <c r="B2845" s="8" t="inlineStr">
        <is>
          <t>COVID-SNL-22-83320</t>
        </is>
      </c>
      <c r="C2845" s="8" t="n"/>
      <c r="D2845" s="7" t="n">
        <v>30</v>
      </c>
      <c r="E2845" s="7" t="n">
        <v>2764</v>
      </c>
      <c r="F2845" s="7" t="inlineStr">
        <is>
          <t>Yes</t>
        </is>
      </c>
      <c r="G2845" s="8" t="n"/>
    </row>
    <row r="2846">
      <c r="A2846" s="8" t="inlineStr">
        <is>
          <t>PGCV_0030_2765</t>
        </is>
      </c>
      <c r="B2846" s="8" t="inlineStr">
        <is>
          <t>COVID-SNL-22-83551</t>
        </is>
      </c>
      <c r="C2846" s="8" t="n"/>
      <c r="D2846" s="7" t="n">
        <v>30</v>
      </c>
      <c r="E2846" s="7" t="n">
        <v>2765</v>
      </c>
      <c r="F2846" s="7" t="inlineStr">
        <is>
          <t>Yes</t>
        </is>
      </c>
      <c r="G2846" s="8" t="n"/>
    </row>
    <row r="2847">
      <c r="A2847" s="8" t="inlineStr">
        <is>
          <t>PGCV_0030_2766</t>
        </is>
      </c>
      <c r="B2847" s="8" t="inlineStr">
        <is>
          <t>COVID-SNL-22-83519</t>
        </is>
      </c>
      <c r="C2847" s="8" t="n"/>
      <c r="D2847" s="7" t="n">
        <v>30</v>
      </c>
      <c r="E2847" s="7" t="n">
        <v>2766</v>
      </c>
      <c r="F2847" s="7" t="inlineStr">
        <is>
          <t>Yes</t>
        </is>
      </c>
      <c r="G2847" s="8" t="n"/>
    </row>
    <row r="2848">
      <c r="A2848" s="8" t="inlineStr">
        <is>
          <t>PGCV_0030_2767</t>
        </is>
      </c>
      <c r="B2848" s="8" t="inlineStr">
        <is>
          <t>COVID-SNL-22-83621</t>
        </is>
      </c>
      <c r="C2848" s="8" t="n"/>
      <c r="D2848" s="7" t="n">
        <v>30</v>
      </c>
      <c r="E2848" s="7" t="n">
        <v>2767</v>
      </c>
      <c r="F2848" s="7" t="inlineStr">
        <is>
          <t>Yes</t>
        </is>
      </c>
      <c r="G2848" s="8" t="n"/>
    </row>
    <row r="2849">
      <c r="A2849" s="8" t="inlineStr">
        <is>
          <t>PGCV_0030_2768</t>
        </is>
      </c>
      <c r="B2849" s="8" t="inlineStr">
        <is>
          <t>COVID-SNL-22-83580</t>
        </is>
      </c>
      <c r="C2849" s="8" t="n"/>
      <c r="D2849" s="7" t="n">
        <v>30</v>
      </c>
      <c r="E2849" s="7" t="n">
        <v>2768</v>
      </c>
      <c r="F2849" s="7" t="inlineStr">
        <is>
          <t>Yes</t>
        </is>
      </c>
      <c r="G2849" s="8" t="n"/>
    </row>
    <row r="2850">
      <c r="A2850" s="8" t="inlineStr">
        <is>
          <t>PGCV_0030_2769</t>
        </is>
      </c>
      <c r="B2850" s="8" t="inlineStr">
        <is>
          <t>COVID-SNL-22-84123</t>
        </is>
      </c>
      <c r="C2850" s="8" t="n"/>
      <c r="D2850" s="7" t="n">
        <v>30</v>
      </c>
      <c r="E2850" s="7" t="n">
        <v>2769</v>
      </c>
      <c r="F2850" s="7" t="inlineStr">
        <is>
          <t>Yes</t>
        </is>
      </c>
      <c r="G2850" s="8" t="n"/>
    </row>
    <row r="2851">
      <c r="A2851" s="8" t="inlineStr">
        <is>
          <t>PGCV_0030_2770</t>
        </is>
      </c>
      <c r="B2851" s="8" t="inlineStr">
        <is>
          <t>COVID-SNL-22-84128</t>
        </is>
      </c>
      <c r="C2851" s="8" t="n"/>
      <c r="D2851" s="7" t="n">
        <v>30</v>
      </c>
      <c r="E2851" s="7" t="n">
        <v>2770</v>
      </c>
      <c r="F2851" s="7" t="inlineStr">
        <is>
          <t>Yes</t>
        </is>
      </c>
      <c r="G2851" s="8" t="n"/>
    </row>
    <row r="2852">
      <c r="A2852" s="8" t="inlineStr">
        <is>
          <t>PGCV_0030_2771</t>
        </is>
      </c>
      <c r="B2852" s="8" t="inlineStr">
        <is>
          <t>COVID-SNL-22-84135</t>
        </is>
      </c>
      <c r="C2852" s="8" t="n"/>
      <c r="D2852" s="7" t="n">
        <v>30</v>
      </c>
      <c r="E2852" s="7" t="n">
        <v>2771</v>
      </c>
      <c r="F2852" s="7" t="inlineStr">
        <is>
          <t>Yes</t>
        </is>
      </c>
      <c r="G2852" s="8" t="n"/>
    </row>
    <row r="2853">
      <c r="A2853" s="8" t="inlineStr">
        <is>
          <t>PGCV_0030_2772</t>
        </is>
      </c>
      <c r="B2853" s="8" t="inlineStr">
        <is>
          <t>COVID-SNL-22-84154</t>
        </is>
      </c>
      <c r="C2853" s="8" t="n"/>
      <c r="D2853" s="7" t="n">
        <v>30</v>
      </c>
      <c r="E2853" s="7" t="n">
        <v>2772</v>
      </c>
      <c r="F2853" s="7" t="inlineStr">
        <is>
          <t>Yes</t>
        </is>
      </c>
      <c r="G2853" s="8" t="n"/>
    </row>
    <row r="2854">
      <c r="A2854" s="8" t="inlineStr">
        <is>
          <t>PGCV_0030_2773</t>
        </is>
      </c>
      <c r="B2854" s="8" t="inlineStr">
        <is>
          <t>COVID-SNL-22-84168</t>
        </is>
      </c>
      <c r="C2854" s="8" t="n"/>
      <c r="D2854" s="7" t="n">
        <v>30</v>
      </c>
      <c r="E2854" s="7" t="n">
        <v>2773</v>
      </c>
      <c r="F2854" s="7" t="inlineStr">
        <is>
          <t>Yes</t>
        </is>
      </c>
      <c r="G2854" s="8" t="n"/>
    </row>
    <row r="2855">
      <c r="A2855" s="8" t="inlineStr">
        <is>
          <t>PGCV_0030_2774</t>
        </is>
      </c>
      <c r="B2855" s="8" t="inlineStr">
        <is>
          <t>COVID-SNL-22-84177</t>
        </is>
      </c>
      <c r="C2855" s="8" t="n"/>
      <c r="D2855" s="7" t="n">
        <v>30</v>
      </c>
      <c r="E2855" s="7" t="n">
        <v>2774</v>
      </c>
      <c r="F2855" s="7" t="inlineStr">
        <is>
          <t>Yes</t>
        </is>
      </c>
      <c r="G2855" s="8" t="n"/>
    </row>
    <row r="2856">
      <c r="A2856" s="8" t="inlineStr">
        <is>
          <t>PGCV_0030_2775</t>
        </is>
      </c>
      <c r="B2856" s="8" t="inlineStr">
        <is>
          <t>COVID-SNL-22-84182</t>
        </is>
      </c>
      <c r="C2856" s="8" t="n"/>
      <c r="D2856" s="7" t="n">
        <v>30</v>
      </c>
      <c r="E2856" s="7" t="n">
        <v>2775</v>
      </c>
      <c r="F2856" s="7" t="inlineStr">
        <is>
          <t>Yes</t>
        </is>
      </c>
      <c r="G2856" s="8" t="n"/>
    </row>
    <row r="2857">
      <c r="A2857" s="8" t="inlineStr">
        <is>
          <t>PGCV_0030_2776</t>
        </is>
      </c>
      <c r="B2857" s="8" t="inlineStr">
        <is>
          <t>COVID-SNL-22-84186</t>
        </is>
      </c>
      <c r="C2857" s="8" t="n"/>
      <c r="D2857" s="7" t="n">
        <v>30</v>
      </c>
      <c r="E2857" s="7" t="n">
        <v>2776</v>
      </c>
      <c r="F2857" s="7" t="inlineStr">
        <is>
          <t>Yes</t>
        </is>
      </c>
      <c r="G2857" s="8" t="n"/>
    </row>
    <row r="2858">
      <c r="A2858" s="8" t="inlineStr">
        <is>
          <t>PGCV_0030_2777</t>
        </is>
      </c>
      <c r="B2858" s="8" t="inlineStr">
        <is>
          <t>COVID-SNL-22-84241</t>
        </is>
      </c>
      <c r="C2858" s="8" t="n"/>
      <c r="D2858" s="7" t="n">
        <v>30</v>
      </c>
      <c r="E2858" s="7" t="n">
        <v>2777</v>
      </c>
      <c r="F2858" s="7" t="inlineStr">
        <is>
          <t>Yes</t>
        </is>
      </c>
      <c r="G2858" s="8" t="n"/>
    </row>
    <row r="2859">
      <c r="A2859" s="8" t="inlineStr">
        <is>
          <t>PGCV_0030_2778</t>
        </is>
      </c>
      <c r="B2859" s="8" t="inlineStr">
        <is>
          <t>COVID-SNL-22-84243</t>
        </is>
      </c>
      <c r="C2859" s="8" t="n"/>
      <c r="D2859" s="7" t="n">
        <v>30</v>
      </c>
      <c r="E2859" s="7" t="n">
        <v>2778</v>
      </c>
      <c r="F2859" s="7" t="inlineStr">
        <is>
          <t>Yes</t>
        </is>
      </c>
      <c r="G2859" s="8" t="n"/>
    </row>
    <row r="2860">
      <c r="A2860" s="8" t="inlineStr">
        <is>
          <t>PGCV_0030_2779</t>
        </is>
      </c>
      <c r="B2860" s="8" t="inlineStr">
        <is>
          <t>COVID-SNL-22-84246</t>
        </is>
      </c>
      <c r="C2860" s="8" t="n"/>
      <c r="D2860" s="7" t="n">
        <v>30</v>
      </c>
      <c r="E2860" s="7" t="n">
        <v>2779</v>
      </c>
      <c r="F2860" s="7" t="inlineStr">
        <is>
          <t>Yes</t>
        </is>
      </c>
      <c r="G2860" s="8" t="n"/>
    </row>
    <row r="2861">
      <c r="A2861" s="8" t="inlineStr">
        <is>
          <t>PGCV_0030_2780</t>
        </is>
      </c>
      <c r="B2861" s="8" t="inlineStr">
        <is>
          <t>COVID-SNL-22-84297</t>
        </is>
      </c>
      <c r="C2861" s="8" t="n"/>
      <c r="D2861" s="7" t="n">
        <v>30</v>
      </c>
      <c r="E2861" s="7" t="n">
        <v>2780</v>
      </c>
      <c r="F2861" s="7" t="inlineStr">
        <is>
          <t>Yes</t>
        </is>
      </c>
      <c r="G2861" s="8" t="n"/>
    </row>
    <row r="2862">
      <c r="A2862" s="8" t="inlineStr">
        <is>
          <t>PGCV_0030_2781</t>
        </is>
      </c>
      <c r="B2862" s="8" t="inlineStr">
        <is>
          <t>COVID-SNL-22-84315</t>
        </is>
      </c>
      <c r="C2862" s="8" t="n"/>
      <c r="D2862" s="7" t="n">
        <v>30</v>
      </c>
      <c r="E2862" s="7" t="n">
        <v>2781</v>
      </c>
      <c r="F2862" s="7" t="inlineStr">
        <is>
          <t>Yes</t>
        </is>
      </c>
      <c r="G2862" s="8" t="n"/>
    </row>
    <row r="2863">
      <c r="A2863" s="8" t="inlineStr">
        <is>
          <t>PGCV_0030_2782</t>
        </is>
      </c>
      <c r="B2863" s="8" t="inlineStr">
        <is>
          <t>COVID-SNL-22-84340</t>
        </is>
      </c>
      <c r="C2863" s="8" t="n"/>
      <c r="D2863" s="7" t="n">
        <v>30</v>
      </c>
      <c r="E2863" s="7" t="n">
        <v>2782</v>
      </c>
      <c r="F2863" s="7" t="inlineStr">
        <is>
          <t>Yes</t>
        </is>
      </c>
      <c r="G2863" s="8" t="n"/>
    </row>
    <row r="2864">
      <c r="A2864" s="8" t="inlineStr">
        <is>
          <t>PGCV_0030_2783</t>
        </is>
      </c>
      <c r="B2864" s="8" t="inlineStr">
        <is>
          <t>COVID-SNL-22-84357</t>
        </is>
      </c>
      <c r="C2864" s="8" t="n"/>
      <c r="D2864" s="7" t="n">
        <v>30</v>
      </c>
      <c r="E2864" s="7" t="n">
        <v>2783</v>
      </c>
      <c r="F2864" s="7" t="inlineStr">
        <is>
          <t>Yes</t>
        </is>
      </c>
      <c r="G2864" s="8" t="n"/>
    </row>
    <row r="2865">
      <c r="A2865" s="8" t="inlineStr">
        <is>
          <t>PGCV_0030_2784</t>
        </is>
      </c>
      <c r="B2865" s="8" t="inlineStr">
        <is>
          <t>COVID-SNL-22-84371</t>
        </is>
      </c>
      <c r="C2865" s="8" t="n"/>
      <c r="D2865" s="7" t="n">
        <v>30</v>
      </c>
      <c r="E2865" s="7" t="n">
        <v>2784</v>
      </c>
      <c r="F2865" s="7" t="inlineStr">
        <is>
          <t>Yes</t>
        </is>
      </c>
      <c r="G2865" s="8" t="n"/>
    </row>
    <row r="2866">
      <c r="A2866" s="8" t="inlineStr">
        <is>
          <t>PGCV_0030_2785</t>
        </is>
      </c>
      <c r="B2866" s="8" t="inlineStr">
        <is>
          <t>COVID-SNL-22-84373</t>
        </is>
      </c>
      <c r="C2866" s="8" t="n"/>
      <c r="D2866" s="7" t="n">
        <v>30</v>
      </c>
      <c r="E2866" s="7" t="n">
        <v>2785</v>
      </c>
      <c r="F2866" s="7" t="inlineStr">
        <is>
          <t>Yes</t>
        </is>
      </c>
      <c r="G2866" s="8" t="n"/>
    </row>
    <row r="2867">
      <c r="A2867" s="8" t="inlineStr">
        <is>
          <t>PGCV_0030_2786</t>
        </is>
      </c>
      <c r="B2867" s="8" t="inlineStr">
        <is>
          <t>COVID-SNL-22-84376</t>
        </is>
      </c>
      <c r="C2867" s="8" t="n"/>
      <c r="D2867" s="7" t="n">
        <v>30</v>
      </c>
      <c r="E2867" s="7" t="n">
        <v>2786</v>
      </c>
      <c r="F2867" s="7" t="inlineStr">
        <is>
          <t>Yes</t>
        </is>
      </c>
      <c r="G2867" s="8" t="n"/>
    </row>
    <row r="2868">
      <c r="A2868" s="8" t="inlineStr">
        <is>
          <t>PGCV_0030_2787</t>
        </is>
      </c>
      <c r="B2868" s="8" t="inlineStr">
        <is>
          <t>COVID-SNL-22-84385</t>
        </is>
      </c>
      <c r="C2868" s="8" t="n"/>
      <c r="D2868" s="7" t="n">
        <v>30</v>
      </c>
      <c r="E2868" s="7" t="n">
        <v>2787</v>
      </c>
      <c r="F2868" s="7" t="inlineStr">
        <is>
          <t>Yes</t>
        </is>
      </c>
      <c r="G2868" s="8" t="n"/>
    </row>
    <row r="2869">
      <c r="A2869" s="8" t="inlineStr">
        <is>
          <t>PGCV_0030_2788</t>
        </is>
      </c>
      <c r="B2869" s="8" t="inlineStr">
        <is>
          <t>COVID-SNL-22-84390</t>
        </is>
      </c>
      <c r="C2869" s="8" t="n"/>
      <c r="D2869" s="7" t="n">
        <v>30</v>
      </c>
      <c r="E2869" s="7" t="n">
        <v>2788</v>
      </c>
      <c r="F2869" s="7" t="inlineStr">
        <is>
          <t>Yes</t>
        </is>
      </c>
      <c r="G2869" s="8" t="n"/>
    </row>
    <row r="2870">
      <c r="A2870" s="8" t="inlineStr">
        <is>
          <t>PGCV_0030_2789</t>
        </is>
      </c>
      <c r="B2870" s="8" t="inlineStr">
        <is>
          <t>COVID-SNL-22-84397</t>
        </is>
      </c>
      <c r="C2870" s="8" t="n"/>
      <c r="D2870" s="7" t="n">
        <v>30</v>
      </c>
      <c r="E2870" s="7" t="n">
        <v>2789</v>
      </c>
      <c r="F2870" s="7" t="inlineStr">
        <is>
          <t>Yes</t>
        </is>
      </c>
      <c r="G2870" s="8" t="n"/>
    </row>
    <row r="2871">
      <c r="A2871" s="8" t="inlineStr">
        <is>
          <t>PGCV_0030_2790</t>
        </is>
      </c>
      <c r="B2871" s="8" t="inlineStr">
        <is>
          <t>COVID-SNL-22-84425</t>
        </is>
      </c>
      <c r="C2871" s="8" t="n"/>
      <c r="D2871" s="7" t="n">
        <v>30</v>
      </c>
      <c r="E2871" s="7" t="n">
        <v>2790</v>
      </c>
      <c r="F2871" s="7" t="inlineStr">
        <is>
          <t>Yes</t>
        </is>
      </c>
      <c r="G2871" s="8" t="n"/>
    </row>
    <row r="2872">
      <c r="A2872" s="8" t="inlineStr">
        <is>
          <t>PGCV_0030_2791</t>
        </is>
      </c>
      <c r="B2872" s="8" t="inlineStr">
        <is>
          <t>COVID-SNL-22-84452</t>
        </is>
      </c>
      <c r="C2872" s="8" t="n"/>
      <c r="D2872" s="7" t="n">
        <v>30</v>
      </c>
      <c r="E2872" s="7" t="n">
        <v>2791</v>
      </c>
      <c r="F2872" s="7" t="inlineStr">
        <is>
          <t>Yes</t>
        </is>
      </c>
      <c r="G2872" s="8" t="n"/>
    </row>
    <row r="2873">
      <c r="A2873" s="8" t="inlineStr">
        <is>
          <t>PGCV_0030_2792</t>
        </is>
      </c>
      <c r="B2873" s="8" t="inlineStr">
        <is>
          <t>COVID-SNL-22-84456</t>
        </is>
      </c>
      <c r="C2873" s="8" t="n"/>
      <c r="D2873" s="7" t="n">
        <v>30</v>
      </c>
      <c r="E2873" s="7" t="n">
        <v>2792</v>
      </c>
      <c r="F2873" s="7" t="inlineStr">
        <is>
          <t>Yes</t>
        </is>
      </c>
      <c r="G2873" s="8" t="n"/>
    </row>
    <row r="2874">
      <c r="A2874" s="8" t="inlineStr">
        <is>
          <t>PGCV_0030_2793</t>
        </is>
      </c>
      <c r="B2874" s="8" t="inlineStr">
        <is>
          <t>COVID-SNL-22-84466</t>
        </is>
      </c>
      <c r="C2874" s="8" t="n"/>
      <c r="D2874" s="7" t="n">
        <v>30</v>
      </c>
      <c r="E2874" s="7" t="n">
        <v>2793</v>
      </c>
      <c r="F2874" s="7" t="inlineStr">
        <is>
          <t>Yes</t>
        </is>
      </c>
      <c r="G2874" s="8" t="n"/>
    </row>
    <row r="2875">
      <c r="A2875" s="8" t="inlineStr">
        <is>
          <t>PGCV_0030_2794</t>
        </is>
      </c>
      <c r="B2875" s="8" t="inlineStr">
        <is>
          <t>COVID-SNL-22-84481</t>
        </is>
      </c>
      <c r="C2875" s="8" t="n"/>
      <c r="D2875" s="7" t="n">
        <v>30</v>
      </c>
      <c r="E2875" s="7" t="n">
        <v>2794</v>
      </c>
      <c r="F2875" s="7" t="inlineStr">
        <is>
          <t>Yes</t>
        </is>
      </c>
      <c r="G2875" s="8" t="n"/>
    </row>
    <row r="2876">
      <c r="A2876" s="8" t="inlineStr">
        <is>
          <t>PGCV_0030_2795</t>
        </is>
      </c>
      <c r="B2876" s="8" t="inlineStr">
        <is>
          <t>22-41265</t>
        </is>
      </c>
      <c r="C2876" s="8" t="n"/>
      <c r="D2876" s="7" t="n">
        <v>30</v>
      </c>
      <c r="E2876" s="7" t="n">
        <v>2795</v>
      </c>
      <c r="F2876" s="7" t="inlineStr">
        <is>
          <t>Yes</t>
        </is>
      </c>
      <c r="G2876" s="8" t="n"/>
    </row>
    <row r="2877">
      <c r="A2877" s="8" t="inlineStr">
        <is>
          <t>PGCV_0030_2796</t>
        </is>
      </c>
      <c r="B2877" s="8" t="inlineStr">
        <is>
          <t>22-41297</t>
        </is>
      </c>
      <c r="C2877" s="8" t="n"/>
      <c r="D2877" s="7" t="n">
        <v>30</v>
      </c>
      <c r="E2877" s="7" t="n">
        <v>2796</v>
      </c>
      <c r="F2877" s="7" t="inlineStr">
        <is>
          <t>Yes</t>
        </is>
      </c>
      <c r="G2877" s="8" t="n"/>
    </row>
    <row r="2878">
      <c r="A2878" s="8" t="inlineStr">
        <is>
          <t>PGCV_0030_2797</t>
        </is>
      </c>
      <c r="B2878" s="8" t="inlineStr">
        <is>
          <t>22-41303</t>
        </is>
      </c>
      <c r="C2878" s="8" t="n"/>
      <c r="D2878" s="7" t="n">
        <v>30</v>
      </c>
      <c r="E2878" s="7" t="n">
        <v>2797</v>
      </c>
      <c r="F2878" s="7" t="inlineStr">
        <is>
          <t>Yes</t>
        </is>
      </c>
      <c r="G2878" s="8" t="n"/>
    </row>
    <row r="2879">
      <c r="A2879" s="8" t="inlineStr">
        <is>
          <t>PGCV_0030_2798</t>
        </is>
      </c>
      <c r="B2879" s="8" t="inlineStr">
        <is>
          <t>22-41308</t>
        </is>
      </c>
      <c r="C2879" s="8" t="n"/>
      <c r="D2879" s="7" t="n">
        <v>30</v>
      </c>
      <c r="E2879" s="7" t="n">
        <v>2798</v>
      </c>
      <c r="F2879" s="7" t="inlineStr">
        <is>
          <t>Yes</t>
        </is>
      </c>
      <c r="G2879" s="8" t="n"/>
    </row>
    <row r="2880">
      <c r="A2880" s="8" t="inlineStr">
        <is>
          <t>PGCV_0030_2799</t>
        </is>
      </c>
      <c r="B2880" s="8" t="inlineStr">
        <is>
          <t>22-41309</t>
        </is>
      </c>
      <c r="C2880" s="8" t="n"/>
      <c r="D2880" s="7" t="n">
        <v>30</v>
      </c>
      <c r="E2880" s="7" t="n">
        <v>2799</v>
      </c>
      <c r="F2880" s="7" t="inlineStr">
        <is>
          <t>Yes</t>
        </is>
      </c>
      <c r="G2880" s="8" t="n"/>
    </row>
    <row r="2881">
      <c r="A2881" s="8" t="inlineStr">
        <is>
          <t>PGCV_0030_2800</t>
        </is>
      </c>
      <c r="B2881" s="8" t="inlineStr">
        <is>
          <t>22-41310</t>
        </is>
      </c>
      <c r="C2881" s="8" t="n"/>
      <c r="D2881" s="7" t="n">
        <v>30</v>
      </c>
      <c r="E2881" s="7" t="n">
        <v>2800</v>
      </c>
      <c r="F2881" s="7" t="inlineStr">
        <is>
          <t>Yes</t>
        </is>
      </c>
      <c r="G2881" s="8" t="n"/>
    </row>
    <row r="2882">
      <c r="A2882" s="8" t="inlineStr">
        <is>
          <t>PGCV_0030_2801</t>
        </is>
      </c>
      <c r="B2882" s="8" t="inlineStr">
        <is>
          <t>22-41353</t>
        </is>
      </c>
      <c r="C2882" s="8" t="n"/>
      <c r="D2882" s="7" t="n">
        <v>30</v>
      </c>
      <c r="E2882" s="7" t="n">
        <v>2801</v>
      </c>
      <c r="F2882" s="7" t="inlineStr">
        <is>
          <t>Yes</t>
        </is>
      </c>
      <c r="G2882" s="8" t="n"/>
    </row>
    <row r="2883">
      <c r="A2883" s="8" t="inlineStr">
        <is>
          <t>PGCV_0030_2802</t>
        </is>
      </c>
      <c r="B2883" s="8" t="inlineStr">
        <is>
          <t>22-41397</t>
        </is>
      </c>
      <c r="C2883" s="8" t="n"/>
      <c r="D2883" s="7" t="n">
        <v>30</v>
      </c>
      <c r="E2883" s="7" t="n">
        <v>2802</v>
      </c>
      <c r="F2883" s="7" t="inlineStr">
        <is>
          <t>Yes</t>
        </is>
      </c>
      <c r="G2883" s="8" t="n"/>
    </row>
    <row r="2884">
      <c r="A2884" s="8" t="inlineStr">
        <is>
          <t>PGCV_0030_2803</t>
        </is>
      </c>
      <c r="B2884" s="8" t="inlineStr">
        <is>
          <t>22-41398</t>
        </is>
      </c>
      <c r="C2884" s="8" t="n"/>
      <c r="D2884" s="7" t="n">
        <v>30</v>
      </c>
      <c r="E2884" s="7" t="n">
        <v>2803</v>
      </c>
      <c r="F2884" s="7" t="inlineStr">
        <is>
          <t>Yes</t>
        </is>
      </c>
      <c r="G2884" s="8" t="n"/>
    </row>
    <row r="2885">
      <c r="A2885" s="8" t="inlineStr">
        <is>
          <t>PGCV_0030_2804</t>
        </is>
      </c>
      <c r="B2885" s="8" t="inlineStr">
        <is>
          <t>22-41430</t>
        </is>
      </c>
      <c r="C2885" s="8" t="n"/>
      <c r="D2885" s="7" t="n">
        <v>30</v>
      </c>
      <c r="E2885" s="7" t="n">
        <v>2804</v>
      </c>
      <c r="F2885" s="7" t="inlineStr">
        <is>
          <t>Yes</t>
        </is>
      </c>
      <c r="G2885" s="8" t="n"/>
    </row>
    <row r="2886">
      <c r="A2886" s="8" t="inlineStr">
        <is>
          <t>PGCV_0030_2805</t>
        </is>
      </c>
      <c r="B2886" s="8" t="inlineStr">
        <is>
          <t>22-41438</t>
        </is>
      </c>
      <c r="C2886" s="8" t="n"/>
      <c r="D2886" s="7" t="n">
        <v>30</v>
      </c>
      <c r="E2886" s="7" t="n">
        <v>2805</v>
      </c>
      <c r="F2886" s="7" t="inlineStr">
        <is>
          <t>Yes</t>
        </is>
      </c>
      <c r="G2886" s="8" t="n"/>
    </row>
    <row r="2887">
      <c r="A2887" s="8" t="inlineStr">
        <is>
          <t>PGCV_0030_2806</t>
        </is>
      </c>
      <c r="B2887" s="8" t="inlineStr">
        <is>
          <t>22-41509</t>
        </is>
      </c>
      <c r="C2887" s="8" t="n"/>
      <c r="D2887" s="7" t="n">
        <v>30</v>
      </c>
      <c r="E2887" s="7" t="n">
        <v>2806</v>
      </c>
      <c r="F2887" s="7" t="inlineStr">
        <is>
          <t>Yes</t>
        </is>
      </c>
      <c r="G2887" s="8" t="n"/>
    </row>
    <row r="2888">
      <c r="A2888" s="8" t="inlineStr">
        <is>
          <t>PGCV_0030_2807</t>
        </is>
      </c>
      <c r="B2888" s="8" t="inlineStr">
        <is>
          <t>22-41631</t>
        </is>
      </c>
      <c r="C2888" s="8" t="n"/>
      <c r="D2888" s="7" t="n">
        <v>30</v>
      </c>
      <c r="E2888" s="7" t="n">
        <v>2807</v>
      </c>
      <c r="F2888" s="7" t="inlineStr">
        <is>
          <t>Yes</t>
        </is>
      </c>
      <c r="G2888" s="8" t="n"/>
    </row>
    <row r="2889">
      <c r="A2889" s="8" t="inlineStr">
        <is>
          <t>PGCV_0030_2808</t>
        </is>
      </c>
      <c r="B2889" s="8" t="inlineStr">
        <is>
          <t>22-41685</t>
        </is>
      </c>
      <c r="C2889" s="8" t="n"/>
      <c r="D2889" s="7" t="n">
        <v>30</v>
      </c>
      <c r="E2889" s="7" t="n">
        <v>2808</v>
      </c>
      <c r="F2889" s="7" t="inlineStr">
        <is>
          <t>Yes</t>
        </is>
      </c>
      <c r="G2889" s="8" t="n"/>
    </row>
    <row r="2890">
      <c r="A2890" s="8" t="inlineStr">
        <is>
          <t>PGCV_0030_2809</t>
        </is>
      </c>
      <c r="B2890" s="8" t="inlineStr">
        <is>
          <t>22-41745</t>
        </is>
      </c>
      <c r="C2890" s="8" t="n"/>
      <c r="D2890" s="7" t="n">
        <v>30</v>
      </c>
      <c r="E2890" s="7" t="n">
        <v>2809</v>
      </c>
      <c r="F2890" s="7" t="inlineStr">
        <is>
          <t>Yes</t>
        </is>
      </c>
      <c r="G2890" s="8" t="n"/>
    </row>
    <row r="2891">
      <c r="A2891" s="8" t="inlineStr">
        <is>
          <t>PGCV_0030_2810</t>
        </is>
      </c>
      <c r="B2891" s="8" t="inlineStr">
        <is>
          <t>22-41771</t>
        </is>
      </c>
      <c r="C2891" s="8" t="n"/>
      <c r="D2891" s="7" t="n">
        <v>30</v>
      </c>
      <c r="E2891" s="7" t="n">
        <v>2810</v>
      </c>
      <c r="F2891" s="7" t="inlineStr">
        <is>
          <t>Yes</t>
        </is>
      </c>
      <c r="G2891" s="8" t="n"/>
    </row>
    <row r="2892">
      <c r="A2892" s="8" t="inlineStr">
        <is>
          <t>PGCV_0030_2811</t>
        </is>
      </c>
      <c r="B2892" s="8" t="inlineStr">
        <is>
          <t>22-41800</t>
        </is>
      </c>
      <c r="C2892" s="8" t="n"/>
      <c r="D2892" s="7" t="n">
        <v>30</v>
      </c>
      <c r="E2892" s="7" t="n">
        <v>2811</v>
      </c>
      <c r="F2892" s="7" t="inlineStr">
        <is>
          <t>Yes</t>
        </is>
      </c>
      <c r="G2892" s="8" t="n"/>
    </row>
    <row r="2893">
      <c r="A2893" s="8" t="inlineStr">
        <is>
          <t>PGCV_0030_2812</t>
        </is>
      </c>
      <c r="B2893" s="8" t="inlineStr">
        <is>
          <t>22-41833</t>
        </is>
      </c>
      <c r="C2893" s="8" t="n"/>
      <c r="D2893" s="7" t="n">
        <v>30</v>
      </c>
      <c r="E2893" s="7" t="n">
        <v>2812</v>
      </c>
      <c r="F2893" s="7" t="inlineStr">
        <is>
          <t>Yes</t>
        </is>
      </c>
      <c r="G2893" s="8" t="n"/>
    </row>
    <row r="2894">
      <c r="A2894" s="8" t="inlineStr">
        <is>
          <t>PGCV_0030_2813</t>
        </is>
      </c>
      <c r="B2894" s="8" t="inlineStr">
        <is>
          <t>C36249</t>
        </is>
      </c>
      <c r="C2894" s="8" t="n"/>
      <c r="D2894" s="7" t="n">
        <v>30</v>
      </c>
      <c r="E2894" s="7" t="n">
        <v>2813</v>
      </c>
      <c r="F2894" s="7" t="inlineStr">
        <is>
          <t>Yes</t>
        </is>
      </c>
      <c r="G2894" s="8" t="n"/>
    </row>
    <row r="2895">
      <c r="A2895" s="8" t="inlineStr">
        <is>
          <t>PGCV_0030_2814</t>
        </is>
      </c>
      <c r="B2895" s="8" t="inlineStr">
        <is>
          <t>C36265</t>
        </is>
      </c>
      <c r="C2895" s="8" t="n"/>
      <c r="D2895" s="7" t="n">
        <v>30</v>
      </c>
      <c r="E2895" s="7" t="n">
        <v>2814</v>
      </c>
      <c r="F2895" s="7" t="inlineStr">
        <is>
          <t>Yes</t>
        </is>
      </c>
      <c r="G2895" s="8" t="n"/>
    </row>
    <row r="2896">
      <c r="A2896" s="8" t="inlineStr">
        <is>
          <t>PGCV_0030_2815</t>
        </is>
      </c>
      <c r="B2896" s="8" t="inlineStr">
        <is>
          <t>C36293</t>
        </is>
      </c>
      <c r="C2896" s="8" t="n"/>
      <c r="D2896" s="7" t="n">
        <v>30</v>
      </c>
      <c r="E2896" s="7" t="n">
        <v>2815</v>
      </c>
      <c r="F2896" s="7" t="inlineStr">
        <is>
          <t>Yes</t>
        </is>
      </c>
      <c r="G2896" s="8" t="n"/>
    </row>
    <row r="2897">
      <c r="A2897" s="8" t="inlineStr">
        <is>
          <t>PGCV_0030_2816</t>
        </is>
      </c>
      <c r="B2897" s="8" t="inlineStr">
        <is>
          <t>C36300</t>
        </is>
      </c>
      <c r="C2897" s="8" t="n"/>
      <c r="D2897" s="7" t="n">
        <v>30</v>
      </c>
      <c r="E2897" s="7" t="n">
        <v>2816</v>
      </c>
      <c r="F2897" s="7" t="inlineStr">
        <is>
          <t>Yes</t>
        </is>
      </c>
      <c r="G2897" s="8" t="n"/>
    </row>
    <row r="2898">
      <c r="A2898" s="8" t="inlineStr">
        <is>
          <t>PGCV_0030_2817</t>
        </is>
      </c>
      <c r="B2898" s="8" t="inlineStr">
        <is>
          <t>C36393</t>
        </is>
      </c>
      <c r="C2898" s="8" t="n"/>
      <c r="D2898" s="7" t="n">
        <v>30</v>
      </c>
      <c r="E2898" s="7" t="n">
        <v>2817</v>
      </c>
      <c r="F2898" s="7" t="inlineStr">
        <is>
          <t>Yes</t>
        </is>
      </c>
      <c r="G2898" s="8" t="n"/>
    </row>
    <row r="2899">
      <c r="A2899" s="8" t="inlineStr">
        <is>
          <t>PGCV_0030_2819</t>
        </is>
      </c>
      <c r="B2899" s="8" t="inlineStr">
        <is>
          <t>C36436</t>
        </is>
      </c>
      <c r="C2899" s="8" t="n"/>
      <c r="D2899" s="7" t="n">
        <v>30</v>
      </c>
      <c r="E2899" s="7" t="n">
        <v>2819</v>
      </c>
      <c r="F2899" s="7" t="inlineStr">
        <is>
          <t>Yes</t>
        </is>
      </c>
      <c r="G2899" s="8" t="n"/>
    </row>
    <row r="2900">
      <c r="A2900" s="8" t="inlineStr">
        <is>
          <t>PGCV_0030_2820</t>
        </is>
      </c>
      <c r="B2900" s="8" t="inlineStr">
        <is>
          <t>C36547</t>
        </is>
      </c>
      <c r="C2900" s="8" t="n"/>
      <c r="D2900" s="7" t="n">
        <v>30</v>
      </c>
      <c r="E2900" s="7" t="n">
        <v>2820</v>
      </c>
      <c r="F2900" s="7" t="inlineStr">
        <is>
          <t>Yes</t>
        </is>
      </c>
      <c r="G2900" s="8" t="n"/>
    </row>
    <row r="2901">
      <c r="A2901" s="8" t="inlineStr">
        <is>
          <t>PGCV_0030_2821</t>
        </is>
      </c>
      <c r="B2901" s="8" t="inlineStr">
        <is>
          <t>C36551</t>
        </is>
      </c>
      <c r="C2901" s="8" t="n"/>
      <c r="D2901" s="7" t="n">
        <v>30</v>
      </c>
      <c r="E2901" s="7" t="n">
        <v>2821</v>
      </c>
      <c r="F2901" s="7" t="inlineStr">
        <is>
          <t>Yes</t>
        </is>
      </c>
      <c r="G2901" s="8" t="n"/>
    </row>
    <row r="2902">
      <c r="A2902" s="8" t="inlineStr">
        <is>
          <t>PGCV_0030_2822</t>
        </is>
      </c>
      <c r="B2902" s="8" t="inlineStr">
        <is>
          <t>C36560</t>
        </is>
      </c>
      <c r="C2902" s="8" t="n"/>
      <c r="D2902" s="7" t="n">
        <v>30</v>
      </c>
      <c r="E2902" s="7" t="n">
        <v>2822</v>
      </c>
      <c r="F2902" s="7" t="inlineStr">
        <is>
          <t>Yes</t>
        </is>
      </c>
      <c r="G2902" s="8" t="n"/>
    </row>
    <row r="2903">
      <c r="A2903" s="8" t="inlineStr">
        <is>
          <t>PGCV_0030_2823</t>
        </is>
      </c>
      <c r="B2903" s="8" t="inlineStr">
        <is>
          <t>C36820</t>
        </is>
      </c>
      <c r="C2903" s="8" t="n"/>
      <c r="D2903" s="7" t="n">
        <v>30</v>
      </c>
      <c r="E2903" s="7" t="n">
        <v>2823</v>
      </c>
      <c r="F2903" s="7" t="inlineStr">
        <is>
          <t>Yes</t>
        </is>
      </c>
      <c r="G2903" s="8" t="n"/>
    </row>
    <row r="2904">
      <c r="A2904" s="8" t="inlineStr">
        <is>
          <t>PGCV_0030_2824</t>
        </is>
      </c>
      <c r="B2904" s="8" t="inlineStr">
        <is>
          <t>C36860</t>
        </is>
      </c>
      <c r="C2904" s="8" t="n"/>
      <c r="D2904" s="7" t="n">
        <v>30</v>
      </c>
      <c r="E2904" s="7" t="n">
        <v>2824</v>
      </c>
      <c r="F2904" s="7" t="inlineStr">
        <is>
          <t>Yes</t>
        </is>
      </c>
      <c r="G2904" s="8" t="n"/>
    </row>
    <row r="2905">
      <c r="A2905" s="8" t="inlineStr">
        <is>
          <t>PGCV_0030_2825</t>
        </is>
      </c>
      <c r="B2905" s="8" t="inlineStr">
        <is>
          <t>751B116953</t>
        </is>
      </c>
      <c r="C2905" s="8" t="n"/>
      <c r="D2905" s="7" t="n">
        <v>30</v>
      </c>
      <c r="E2905" s="7" t="n">
        <v>2825</v>
      </c>
      <c r="F2905" s="7" t="inlineStr">
        <is>
          <t>Yes</t>
        </is>
      </c>
      <c r="G2905" s="8" t="n"/>
    </row>
    <row r="2906">
      <c r="A2906" s="8" t="inlineStr">
        <is>
          <t>PGCV_0030_2826</t>
        </is>
      </c>
      <c r="B2906" s="8" t="inlineStr">
        <is>
          <t>751B116992</t>
        </is>
      </c>
      <c r="C2906" s="8" t="n"/>
      <c r="D2906" s="7" t="n">
        <v>30</v>
      </c>
      <c r="E2906" s="7" t="n">
        <v>2826</v>
      </c>
      <c r="F2906" s="7" t="inlineStr">
        <is>
          <t>Yes</t>
        </is>
      </c>
      <c r="G2906" s="8" t="n"/>
    </row>
    <row r="2907">
      <c r="A2907" s="8" t="inlineStr">
        <is>
          <t>PGCV_0030_2827</t>
        </is>
      </c>
      <c r="B2907" s="8" t="inlineStr">
        <is>
          <t>751B116994</t>
        </is>
      </c>
      <c r="C2907" s="8" t="n"/>
      <c r="D2907" s="7" t="n">
        <v>30</v>
      </c>
      <c r="E2907" s="7" t="n">
        <v>2827</v>
      </c>
      <c r="F2907" s="7" t="inlineStr">
        <is>
          <t>Yes</t>
        </is>
      </c>
      <c r="G2907" s="8" t="n"/>
    </row>
    <row r="2908">
      <c r="A2908" s="8" t="inlineStr">
        <is>
          <t>PGCV_0030_2828</t>
        </is>
      </c>
      <c r="B2908" s="8" t="inlineStr">
        <is>
          <t>751B116996</t>
        </is>
      </c>
      <c r="C2908" s="8" t="n"/>
      <c r="D2908" s="7" t="n">
        <v>30</v>
      </c>
      <c r="E2908" s="7" t="n">
        <v>2828</v>
      </c>
      <c r="F2908" s="7" t="inlineStr">
        <is>
          <t>Yes</t>
        </is>
      </c>
      <c r="G2908" s="8" t="n"/>
    </row>
    <row r="2909">
      <c r="A2909" s="8" t="inlineStr">
        <is>
          <t>PGCV_0030_2829</t>
        </is>
      </c>
      <c r="B2909" s="8" t="inlineStr">
        <is>
          <t>751B117016</t>
        </is>
      </c>
      <c r="C2909" s="8" t="n"/>
      <c r="D2909" s="7" t="n">
        <v>30</v>
      </c>
      <c r="E2909" s="7" t="n">
        <v>2829</v>
      </c>
      <c r="F2909" s="7" t="inlineStr">
        <is>
          <t>Yes</t>
        </is>
      </c>
      <c r="G2909" s="8" t="n"/>
    </row>
    <row r="2910">
      <c r="A2910" s="8" t="inlineStr">
        <is>
          <t>PGCV_0030_2830</t>
        </is>
      </c>
      <c r="B2910" s="8" t="inlineStr">
        <is>
          <t>751B117017</t>
        </is>
      </c>
      <c r="C2910" s="8" t="n"/>
      <c r="D2910" s="7" t="n">
        <v>30</v>
      </c>
      <c r="E2910" s="7" t="n">
        <v>2830</v>
      </c>
      <c r="F2910" s="7" t="inlineStr">
        <is>
          <t>Yes</t>
        </is>
      </c>
      <c r="G2910" s="8" t="n"/>
    </row>
    <row r="2911">
      <c r="A2911" s="8" t="inlineStr">
        <is>
          <t>PGCV_0030_2831</t>
        </is>
      </c>
      <c r="B2911" s="8" t="inlineStr">
        <is>
          <t>751B117039</t>
        </is>
      </c>
      <c r="C2911" s="8" t="n"/>
      <c r="D2911" s="7" t="n">
        <v>30</v>
      </c>
      <c r="E2911" s="7" t="n">
        <v>2831</v>
      </c>
      <c r="F2911" s="7" t="inlineStr">
        <is>
          <t>Yes</t>
        </is>
      </c>
      <c r="G2911" s="8" t="n"/>
    </row>
    <row r="2912">
      <c r="A2912" s="8" t="inlineStr">
        <is>
          <t>PGCV_0030_2832</t>
        </is>
      </c>
      <c r="B2912" s="8" t="inlineStr">
        <is>
          <t>752B117109</t>
        </is>
      </c>
      <c r="C2912" s="8" t="n"/>
      <c r="D2912" s="7" t="n">
        <v>30</v>
      </c>
      <c r="E2912" s="7" t="n">
        <v>2832</v>
      </c>
      <c r="F2912" s="7" t="inlineStr">
        <is>
          <t>Yes</t>
        </is>
      </c>
      <c r="G2912" s="8" t="n"/>
    </row>
    <row r="2913">
      <c r="A2913" s="8" t="inlineStr">
        <is>
          <t>PGCV_0030_2833</t>
        </is>
      </c>
      <c r="B2913" s="8" t="inlineStr">
        <is>
          <t>752B117136</t>
        </is>
      </c>
      <c r="C2913" s="8" t="n"/>
      <c r="D2913" s="7" t="n">
        <v>30</v>
      </c>
      <c r="E2913" s="7" t="n">
        <v>2833</v>
      </c>
      <c r="F2913" s="7" t="inlineStr">
        <is>
          <t>Yes</t>
        </is>
      </c>
      <c r="G2913" s="8" t="n"/>
    </row>
    <row r="2914">
      <c r="A2914" s="8" t="inlineStr">
        <is>
          <t>PGCV_0030_2834</t>
        </is>
      </c>
      <c r="B2914" s="8" t="inlineStr">
        <is>
          <t>752B117161</t>
        </is>
      </c>
      <c r="C2914" s="8" t="n"/>
      <c r="D2914" s="7" t="n">
        <v>30</v>
      </c>
      <c r="E2914" s="7" t="n">
        <v>2834</v>
      </c>
      <c r="F2914" s="7" t="inlineStr">
        <is>
          <t>Yes</t>
        </is>
      </c>
      <c r="G2914" s="8" t="n"/>
    </row>
    <row r="2915">
      <c r="A2915" s="8" t="inlineStr">
        <is>
          <t>PGCV_0030_2835</t>
        </is>
      </c>
      <c r="B2915" s="8" t="inlineStr">
        <is>
          <t>752B117181</t>
        </is>
      </c>
      <c r="C2915" s="8" t="n"/>
      <c r="D2915" s="7" t="n">
        <v>30</v>
      </c>
      <c r="E2915" s="7" t="n">
        <v>2835</v>
      </c>
      <c r="F2915" s="7" t="inlineStr">
        <is>
          <t>Yes</t>
        </is>
      </c>
      <c r="G2915" s="8" t="n"/>
    </row>
    <row r="2916">
      <c r="A2916" s="8" t="inlineStr">
        <is>
          <t>PGCV_0030_2836</t>
        </is>
      </c>
      <c r="B2916" s="8" t="inlineStr">
        <is>
          <t>752B117185</t>
        </is>
      </c>
      <c r="C2916" s="8" t="n"/>
      <c r="D2916" s="7" t="n">
        <v>30</v>
      </c>
      <c r="E2916" s="7" t="n">
        <v>2836</v>
      </c>
      <c r="F2916" s="7" t="inlineStr">
        <is>
          <t>Yes</t>
        </is>
      </c>
      <c r="G2916" s="8" t="n"/>
    </row>
    <row r="2917">
      <c r="A2917" s="8" t="inlineStr">
        <is>
          <t>PGCV_0030_2837</t>
        </is>
      </c>
      <c r="B2917" s="8" t="inlineStr">
        <is>
          <t>752B117207</t>
        </is>
      </c>
      <c r="C2917" s="8" t="n"/>
      <c r="D2917" s="7" t="n">
        <v>30</v>
      </c>
      <c r="E2917" s="7" t="n">
        <v>2837</v>
      </c>
      <c r="F2917" s="7" t="inlineStr">
        <is>
          <t>Yes</t>
        </is>
      </c>
      <c r="G2917" s="8" t="n"/>
    </row>
    <row r="2918">
      <c r="A2918" s="8" t="inlineStr">
        <is>
          <t>PGCV_0030_2838</t>
        </is>
      </c>
      <c r="B2918" s="8" t="inlineStr">
        <is>
          <t>753B117221</t>
        </is>
      </c>
      <c r="C2918" s="8" t="n"/>
      <c r="D2918" s="7" t="n">
        <v>30</v>
      </c>
      <c r="E2918" s="7" t="n">
        <v>2838</v>
      </c>
      <c r="F2918" s="7" t="inlineStr">
        <is>
          <t>Yes</t>
        </is>
      </c>
      <c r="G2918" s="8" t="n"/>
    </row>
    <row r="2919">
      <c r="A2919" s="8" t="inlineStr">
        <is>
          <t>PGCV_0030_2839</t>
        </is>
      </c>
      <c r="B2919" s="8" t="inlineStr">
        <is>
          <t>753B117260</t>
        </is>
      </c>
      <c r="C2919" s="8" t="n"/>
      <c r="D2919" s="7" t="n">
        <v>30</v>
      </c>
      <c r="E2919" s="7" t="n">
        <v>2839</v>
      </c>
      <c r="F2919" s="7" t="inlineStr">
        <is>
          <t>Yes</t>
        </is>
      </c>
      <c r="G2919" s="8" t="n"/>
    </row>
    <row r="2920">
      <c r="A2920" s="8" t="inlineStr">
        <is>
          <t>PGCV_0030_2840</t>
        </is>
      </c>
      <c r="B2920" s="8" t="inlineStr">
        <is>
          <t>753B117270</t>
        </is>
      </c>
      <c r="C2920" s="8" t="n"/>
      <c r="D2920" s="7" t="n">
        <v>30</v>
      </c>
      <c r="E2920" s="7" t="n">
        <v>2840</v>
      </c>
      <c r="F2920" s="7" t="inlineStr">
        <is>
          <t>Yes</t>
        </is>
      </c>
      <c r="G2920" s="8" t="n"/>
    </row>
    <row r="2921">
      <c r="A2921" s="8" t="inlineStr">
        <is>
          <t>PGCV_0030_2841</t>
        </is>
      </c>
      <c r="B2921" s="8" t="inlineStr">
        <is>
          <t>753B117281</t>
        </is>
      </c>
      <c r="C2921" s="8" t="n"/>
      <c r="D2921" s="7" t="n">
        <v>30</v>
      </c>
      <c r="E2921" s="7" t="n">
        <v>2841</v>
      </c>
      <c r="F2921" s="7" t="inlineStr">
        <is>
          <t>Yes</t>
        </is>
      </c>
      <c r="G2921" s="8" t="n"/>
    </row>
    <row r="2922">
      <c r="A2922" s="8" t="inlineStr">
        <is>
          <t>PGCV_0030_2842</t>
        </is>
      </c>
      <c r="B2922" s="8" t="inlineStr">
        <is>
          <t>753B117320</t>
        </is>
      </c>
      <c r="C2922" s="8" t="n"/>
      <c r="D2922" s="7" t="n">
        <v>30</v>
      </c>
      <c r="E2922" s="7" t="n">
        <v>2842</v>
      </c>
      <c r="F2922" s="7" t="inlineStr">
        <is>
          <t>Yes</t>
        </is>
      </c>
      <c r="G2922" s="8" t="n"/>
    </row>
    <row r="2923">
      <c r="A2923" s="8" t="inlineStr">
        <is>
          <t>PGCV_0030_2843</t>
        </is>
      </c>
      <c r="B2923" s="8" t="inlineStr">
        <is>
          <t>753B117332</t>
        </is>
      </c>
      <c r="C2923" s="8" t="n"/>
      <c r="D2923" s="7" t="n">
        <v>30</v>
      </c>
      <c r="E2923" s="7" t="n">
        <v>2843</v>
      </c>
      <c r="F2923" s="7" t="inlineStr">
        <is>
          <t>Yes</t>
        </is>
      </c>
      <c r="G2923" s="8" t="n"/>
    </row>
    <row r="2924">
      <c r="A2924" s="8" t="inlineStr">
        <is>
          <t>PGCV_0030_2844</t>
        </is>
      </c>
      <c r="B2924" s="8" t="inlineStr">
        <is>
          <t>753B117339</t>
        </is>
      </c>
      <c r="C2924" s="8" t="n"/>
      <c r="D2924" s="7" t="n">
        <v>30</v>
      </c>
      <c r="E2924" s="7" t="n">
        <v>2844</v>
      </c>
      <c r="F2924" s="7" t="inlineStr">
        <is>
          <t>No</t>
        </is>
      </c>
      <c r="G2924" s="8" t="n"/>
    </row>
    <row r="2925">
      <c r="A2925" s="8" t="inlineStr">
        <is>
          <t>PGCV_0030_2845</t>
        </is>
      </c>
      <c r="B2925" s="8" t="inlineStr">
        <is>
          <t>754B117350</t>
        </is>
      </c>
      <c r="C2925" s="8" t="n"/>
      <c r="D2925" s="7" t="n">
        <v>30</v>
      </c>
      <c r="E2925" s="7" t="n">
        <v>2845</v>
      </c>
      <c r="F2925" s="7" t="inlineStr">
        <is>
          <t>Yes</t>
        </is>
      </c>
      <c r="G2925" s="8" t="n"/>
    </row>
    <row r="2926">
      <c r="A2926" s="8" t="inlineStr">
        <is>
          <t>PGCV_0030_2846</t>
        </is>
      </c>
      <c r="B2926" s="8" t="inlineStr">
        <is>
          <t>754B117362</t>
        </is>
      </c>
      <c r="C2926" s="8" t="n"/>
      <c r="D2926" s="7" t="n">
        <v>30</v>
      </c>
      <c r="E2926" s="7" t="n">
        <v>2846</v>
      </c>
      <c r="F2926" s="7" t="inlineStr">
        <is>
          <t>Yes</t>
        </is>
      </c>
      <c r="G2926" s="8" t="n"/>
    </row>
    <row r="2927">
      <c r="A2927" s="8" t="inlineStr">
        <is>
          <t>PGCV_0030_2847</t>
        </is>
      </c>
      <c r="B2927" s="8" t="inlineStr">
        <is>
          <t>754B117363</t>
        </is>
      </c>
      <c r="C2927" s="8" t="n"/>
      <c r="D2927" s="7" t="n">
        <v>30</v>
      </c>
      <c r="E2927" s="7" t="n">
        <v>2847</v>
      </c>
      <c r="F2927" s="7" t="inlineStr">
        <is>
          <t>Yes</t>
        </is>
      </c>
      <c r="G2927" s="8" t="n"/>
    </row>
    <row r="2928">
      <c r="A2928" s="8" t="inlineStr">
        <is>
          <t>PGCV_0030_2848</t>
        </is>
      </c>
      <c r="B2928" s="8" t="inlineStr">
        <is>
          <t>754B117370</t>
        </is>
      </c>
      <c r="C2928" s="8" t="n"/>
      <c r="D2928" s="7" t="n">
        <v>30</v>
      </c>
      <c r="E2928" s="7" t="n">
        <v>2848</v>
      </c>
      <c r="F2928" s="7" t="inlineStr">
        <is>
          <t>Yes</t>
        </is>
      </c>
      <c r="G2928" s="8" t="n"/>
    </row>
    <row r="2929">
      <c r="A2929" s="8" t="inlineStr">
        <is>
          <t>PGCV_0030_2849</t>
        </is>
      </c>
      <c r="B2929" s="8" t="inlineStr">
        <is>
          <t>754B117406</t>
        </is>
      </c>
      <c r="C2929" s="8" t="n"/>
      <c r="D2929" s="7" t="n">
        <v>30</v>
      </c>
      <c r="E2929" s="7" t="n">
        <v>2849</v>
      </c>
      <c r="F2929" s="7" t="inlineStr">
        <is>
          <t>Yes</t>
        </is>
      </c>
      <c r="G2929" s="8" t="n"/>
    </row>
    <row r="2930">
      <c r="A2930" s="8" t="inlineStr">
        <is>
          <t>PGCV_0030_2850</t>
        </is>
      </c>
      <c r="B2930" s="8" t="inlineStr">
        <is>
          <t>754B117438</t>
        </is>
      </c>
      <c r="C2930" s="8" t="n"/>
      <c r="D2930" s="7" t="n">
        <v>30</v>
      </c>
      <c r="E2930" s="7" t="n">
        <v>2850</v>
      </c>
      <c r="F2930" s="7" t="inlineStr">
        <is>
          <t>Yes</t>
        </is>
      </c>
      <c r="G2930" s="8" t="n"/>
    </row>
    <row r="2931">
      <c r="A2931" s="8" t="inlineStr">
        <is>
          <t>PGCV_0030_2851</t>
        </is>
      </c>
      <c r="B2931" s="8" t="inlineStr">
        <is>
          <t>754B117447</t>
        </is>
      </c>
      <c r="C2931" s="8" t="n"/>
      <c r="D2931" s="7" t="n">
        <v>30</v>
      </c>
      <c r="E2931" s="7" t="n">
        <v>2851</v>
      </c>
      <c r="F2931" s="7" t="inlineStr">
        <is>
          <t>Yes</t>
        </is>
      </c>
      <c r="G2931" s="8" t="n"/>
    </row>
    <row r="2932">
      <c r="A2932" s="8" t="inlineStr">
        <is>
          <t>PGCV_0030_2884</t>
        </is>
      </c>
      <c r="B2932" s="8" t="inlineStr">
        <is>
          <t>C37014</t>
        </is>
      </c>
      <c r="C2932" s="8" t="n"/>
      <c r="D2932" s="7" t="n">
        <v>30</v>
      </c>
      <c r="E2932" s="7" t="n">
        <v>2884</v>
      </c>
      <c r="F2932" s="7" t="inlineStr">
        <is>
          <t>Yes</t>
        </is>
      </c>
      <c r="G2932" s="8" t="n"/>
    </row>
    <row r="2933">
      <c r="A2933" s="8" t="inlineStr">
        <is>
          <t>PGCV_0030_2885</t>
        </is>
      </c>
      <c r="B2933" s="8" t="inlineStr">
        <is>
          <t>C37016</t>
        </is>
      </c>
      <c r="C2933" s="8" t="n"/>
      <c r="D2933" s="7" t="n">
        <v>30</v>
      </c>
      <c r="E2933" s="7" t="n">
        <v>2885</v>
      </c>
      <c r="F2933" s="7" t="inlineStr">
        <is>
          <t>Yes</t>
        </is>
      </c>
      <c r="G2933" s="8" t="n"/>
    </row>
    <row r="2934">
      <c r="A2934" s="8" t="inlineStr">
        <is>
          <t>PGCV_0031_2852</t>
        </is>
      </c>
      <c r="B2934" s="8" t="inlineStr">
        <is>
          <t>MLAB178318</t>
        </is>
      </c>
      <c r="C2934" s="8" t="n"/>
      <c r="D2934" s="7" t="n">
        <v>31</v>
      </c>
      <c r="E2934" s="7" t="n">
        <v>2852</v>
      </c>
      <c r="F2934" s="7" t="inlineStr">
        <is>
          <t>Yes</t>
        </is>
      </c>
      <c r="G2934" s="8" t="n"/>
    </row>
    <row r="2935">
      <c r="A2935" s="8" t="inlineStr">
        <is>
          <t>PGCV_0031_2853</t>
        </is>
      </c>
      <c r="B2935" s="8" t="inlineStr">
        <is>
          <t>MLAB178333</t>
        </is>
      </c>
      <c r="C2935" s="8" t="n"/>
      <c r="D2935" s="7" t="n">
        <v>31</v>
      </c>
      <c r="E2935" s="7" t="n">
        <v>2853</v>
      </c>
      <c r="F2935" s="7" t="inlineStr">
        <is>
          <t>Yes</t>
        </is>
      </c>
      <c r="G2935" s="8" t="n"/>
    </row>
    <row r="2936">
      <c r="A2936" s="8" t="inlineStr">
        <is>
          <t>PGCV_0031_2854</t>
        </is>
      </c>
      <c r="B2936" s="8" t="inlineStr">
        <is>
          <t>MLAB178334</t>
        </is>
      </c>
      <c r="C2936" s="8" t="n"/>
      <c r="D2936" s="7" t="n">
        <v>31</v>
      </c>
      <c r="E2936" s="7" t="n">
        <v>2854</v>
      </c>
      <c r="F2936" s="7" t="inlineStr">
        <is>
          <t>Yes</t>
        </is>
      </c>
      <c r="G2936" s="8" t="n"/>
    </row>
    <row r="2937">
      <c r="A2937" s="8" t="inlineStr">
        <is>
          <t>PGCV_0031_2855</t>
        </is>
      </c>
      <c r="B2937" s="8" t="inlineStr">
        <is>
          <t>MLAB178339</t>
        </is>
      </c>
      <c r="C2937" s="8" t="n"/>
      <c r="D2937" s="7" t="n">
        <v>31</v>
      </c>
      <c r="E2937" s="7" t="n">
        <v>2855</v>
      </c>
      <c r="F2937" s="7" t="inlineStr">
        <is>
          <t>Yes</t>
        </is>
      </c>
      <c r="G2937" s="8" t="n"/>
    </row>
    <row r="2938">
      <c r="A2938" s="8" t="inlineStr">
        <is>
          <t>PGCV_0031_2856</t>
        </is>
      </c>
      <c r="B2938" s="8" t="inlineStr">
        <is>
          <t>MLAB178390</t>
        </is>
      </c>
      <c r="C2938" s="8" t="n"/>
      <c r="D2938" s="7" t="n">
        <v>31</v>
      </c>
      <c r="E2938" s="7" t="n">
        <v>2856</v>
      </c>
      <c r="F2938" s="7" t="inlineStr">
        <is>
          <t>Yes</t>
        </is>
      </c>
      <c r="G2938" s="8" t="n"/>
    </row>
    <row r="2939">
      <c r="A2939" s="8" t="inlineStr">
        <is>
          <t>PGCV_0031_2857</t>
        </is>
      </c>
      <c r="B2939" s="8" t="inlineStr">
        <is>
          <t>MLAB178391</t>
        </is>
      </c>
      <c r="C2939" s="8" t="n"/>
      <c r="D2939" s="7" t="n">
        <v>31</v>
      </c>
      <c r="E2939" s="7" t="n">
        <v>2857</v>
      </c>
      <c r="F2939" s="7" t="inlineStr">
        <is>
          <t>Yes</t>
        </is>
      </c>
      <c r="G2939" s="8" t="n"/>
    </row>
    <row r="2940">
      <c r="A2940" s="8" t="inlineStr">
        <is>
          <t>PGCV_0031_2858</t>
        </is>
      </c>
      <c r="B2940" s="8" t="inlineStr">
        <is>
          <t>MLAB178507</t>
        </is>
      </c>
      <c r="C2940" s="8" t="n"/>
      <c r="D2940" s="7" t="n">
        <v>31</v>
      </c>
      <c r="E2940" s="7" t="n">
        <v>2858</v>
      </c>
      <c r="F2940" s="7" t="inlineStr">
        <is>
          <t>Yes</t>
        </is>
      </c>
      <c r="G2940" s="8" t="n"/>
    </row>
    <row r="2941">
      <c r="A2941" s="8" t="inlineStr">
        <is>
          <t>PGCV_0031_2859</t>
        </is>
      </c>
      <c r="B2941" s="8" t="inlineStr">
        <is>
          <t>MLAB178518</t>
        </is>
      </c>
      <c r="C2941" s="8" t="n"/>
      <c r="D2941" s="7" t="n">
        <v>31</v>
      </c>
      <c r="E2941" s="7" t="n">
        <v>2859</v>
      </c>
      <c r="F2941" s="7" t="inlineStr">
        <is>
          <t>Yes</t>
        </is>
      </c>
      <c r="G2941" s="8" t="n"/>
    </row>
    <row r="2942">
      <c r="A2942" s="8" t="inlineStr">
        <is>
          <t>PGCV_0031_2860</t>
        </is>
      </c>
      <c r="B2942" s="8" t="inlineStr">
        <is>
          <t>MLAB178538</t>
        </is>
      </c>
      <c r="C2942" s="8" t="n"/>
      <c r="D2942" s="7" t="n">
        <v>31</v>
      </c>
      <c r="E2942" s="7" t="n">
        <v>2860</v>
      </c>
      <c r="F2942" s="7" t="inlineStr">
        <is>
          <t>Yes</t>
        </is>
      </c>
      <c r="G2942" s="8" t="n"/>
    </row>
    <row r="2943">
      <c r="A2943" s="8" t="inlineStr">
        <is>
          <t>PGCV_0031_2861</t>
        </is>
      </c>
      <c r="B2943" s="8" t="inlineStr">
        <is>
          <t>MLAB178548</t>
        </is>
      </c>
      <c r="C2943" s="8" t="n"/>
      <c r="D2943" s="7" t="n">
        <v>31</v>
      </c>
      <c r="E2943" s="7" t="n">
        <v>2861</v>
      </c>
      <c r="F2943" s="7" t="inlineStr">
        <is>
          <t>Yes</t>
        </is>
      </c>
      <c r="G2943" s="8" t="n"/>
    </row>
    <row r="2944">
      <c r="A2944" s="8" t="inlineStr">
        <is>
          <t>PGCV_0031_2862</t>
        </is>
      </c>
      <c r="B2944" s="8" t="inlineStr">
        <is>
          <t>MLAB178549</t>
        </is>
      </c>
      <c r="C2944" s="8" t="n"/>
      <c r="D2944" s="7" t="n">
        <v>31</v>
      </c>
      <c r="E2944" s="7" t="n">
        <v>2862</v>
      </c>
      <c r="F2944" s="7" t="inlineStr">
        <is>
          <t>Yes</t>
        </is>
      </c>
      <c r="G2944" s="8" t="n"/>
    </row>
    <row r="2945">
      <c r="A2945" s="8" t="inlineStr">
        <is>
          <t>PGCV_0031_2863</t>
        </is>
      </c>
      <c r="B2945" s="8" t="inlineStr">
        <is>
          <t>MLAB178555</t>
        </is>
      </c>
      <c r="C2945" s="8" t="n"/>
      <c r="D2945" s="7" t="n">
        <v>31</v>
      </c>
      <c r="E2945" s="7" t="n">
        <v>2863</v>
      </c>
      <c r="F2945" s="7" t="inlineStr">
        <is>
          <t>Yes</t>
        </is>
      </c>
      <c r="G2945" s="8" t="n"/>
    </row>
    <row r="2946">
      <c r="A2946" s="8" t="inlineStr">
        <is>
          <t>PGCV_0031_2864</t>
        </is>
      </c>
      <c r="B2946" s="8" t="inlineStr">
        <is>
          <t>MLAB178561</t>
        </is>
      </c>
      <c r="C2946" s="8" t="n"/>
      <c r="D2946" s="7" t="n">
        <v>31</v>
      </c>
      <c r="E2946" s="7" t="n">
        <v>2864</v>
      </c>
      <c r="F2946" s="7" t="inlineStr">
        <is>
          <t>Yes</t>
        </is>
      </c>
      <c r="G2946" s="8" t="n"/>
    </row>
    <row r="2947">
      <c r="A2947" s="8" t="inlineStr">
        <is>
          <t>PGCV_0031_2865</t>
        </is>
      </c>
      <c r="B2947" s="8" t="inlineStr">
        <is>
          <t>MLAB178564</t>
        </is>
      </c>
      <c r="C2947" s="8" t="n"/>
      <c r="D2947" s="7" t="n">
        <v>31</v>
      </c>
      <c r="E2947" s="7" t="n">
        <v>2865</v>
      </c>
      <c r="F2947" s="7" t="inlineStr">
        <is>
          <t>Yes</t>
        </is>
      </c>
      <c r="G2947" s="8" t="n"/>
    </row>
    <row r="2948">
      <c r="A2948" s="8" t="inlineStr">
        <is>
          <t>PGCV_0031_2866</t>
        </is>
      </c>
      <c r="B2948" s="8" t="inlineStr">
        <is>
          <t>MLAB178580</t>
        </is>
      </c>
      <c r="C2948" s="8" t="n"/>
      <c r="D2948" s="7" t="n">
        <v>31</v>
      </c>
      <c r="E2948" s="7" t="n">
        <v>2866</v>
      </c>
      <c r="F2948" s="7" t="inlineStr">
        <is>
          <t>Yes</t>
        </is>
      </c>
      <c r="G2948" s="8" t="n"/>
    </row>
    <row r="2949">
      <c r="A2949" s="8" t="inlineStr">
        <is>
          <t>PGCV_0031_2867</t>
        </is>
      </c>
      <c r="B2949" s="8" t="inlineStr">
        <is>
          <t>MLAB178587</t>
        </is>
      </c>
      <c r="C2949" s="8" t="n"/>
      <c r="D2949" s="7" t="n">
        <v>31</v>
      </c>
      <c r="E2949" s="7" t="n">
        <v>2867</v>
      </c>
      <c r="F2949" s="7" t="inlineStr">
        <is>
          <t>Yes</t>
        </is>
      </c>
      <c r="G2949" s="8" t="n"/>
    </row>
    <row r="2950">
      <c r="A2950" s="8" t="inlineStr">
        <is>
          <t>PGCV_0031_2868</t>
        </is>
      </c>
      <c r="B2950" s="8" t="inlineStr">
        <is>
          <t>MLAB178678</t>
        </is>
      </c>
      <c r="C2950" s="8" t="n"/>
      <c r="D2950" s="7" t="n">
        <v>31</v>
      </c>
      <c r="E2950" s="7" t="n">
        <v>2868</v>
      </c>
      <c r="F2950" s="7" t="inlineStr">
        <is>
          <t>Yes</t>
        </is>
      </c>
      <c r="G2950" s="8" t="n"/>
    </row>
    <row r="2951">
      <c r="A2951" s="8" t="inlineStr">
        <is>
          <t>PGCV_0031_2869</t>
        </is>
      </c>
      <c r="B2951" s="8" t="inlineStr">
        <is>
          <t>MLAB178684</t>
        </is>
      </c>
      <c r="C2951" s="8" t="n"/>
      <c r="D2951" s="7" t="n">
        <v>31</v>
      </c>
      <c r="E2951" s="7" t="n">
        <v>2869</v>
      </c>
      <c r="F2951" s="7" t="inlineStr">
        <is>
          <t>No</t>
        </is>
      </c>
      <c r="G2951" s="8" t="n"/>
    </row>
    <row r="2952">
      <c r="A2952" s="8" t="inlineStr">
        <is>
          <t>PGCV_0031_2870</t>
        </is>
      </c>
      <c r="B2952" s="8" t="inlineStr">
        <is>
          <t>MLAB178694</t>
        </is>
      </c>
      <c r="C2952" s="8" t="n"/>
      <c r="D2952" s="7" t="n">
        <v>31</v>
      </c>
      <c r="E2952" s="7" t="n">
        <v>2870</v>
      </c>
      <c r="F2952" s="7" t="inlineStr">
        <is>
          <t>Yes</t>
        </is>
      </c>
      <c r="G2952" s="8" t="n"/>
    </row>
    <row r="2953">
      <c r="A2953" s="8" t="inlineStr">
        <is>
          <t>PGCV_0031_2871</t>
        </is>
      </c>
      <c r="B2953" s="8" t="inlineStr">
        <is>
          <t>MLAB178747</t>
        </is>
      </c>
      <c r="C2953" s="8" t="n"/>
      <c r="D2953" s="7" t="n">
        <v>31</v>
      </c>
      <c r="E2953" s="7" t="n">
        <v>2871</v>
      </c>
      <c r="F2953" s="7" t="inlineStr">
        <is>
          <t>Yes</t>
        </is>
      </c>
      <c r="G2953" s="8" t="n"/>
    </row>
    <row r="2954">
      <c r="A2954" s="8" t="inlineStr">
        <is>
          <t>PGCV_0031_2872</t>
        </is>
      </c>
      <c r="B2954" s="8" t="inlineStr">
        <is>
          <t>MLAB178755</t>
        </is>
      </c>
      <c r="C2954" s="8" t="n"/>
      <c r="D2954" s="7" t="n">
        <v>31</v>
      </c>
      <c r="E2954" s="7" t="n">
        <v>2872</v>
      </c>
      <c r="F2954" s="7" t="inlineStr">
        <is>
          <t>Yes</t>
        </is>
      </c>
      <c r="G2954" s="8" t="n"/>
    </row>
    <row r="2955">
      <c r="A2955" s="8" t="inlineStr">
        <is>
          <t>PGCV_0031_2873</t>
        </is>
      </c>
      <c r="B2955" s="8" t="inlineStr">
        <is>
          <t>MLAB178760</t>
        </is>
      </c>
      <c r="C2955" s="8" t="n"/>
      <c r="D2955" s="7" t="n">
        <v>31</v>
      </c>
      <c r="E2955" s="7" t="n">
        <v>2873</v>
      </c>
      <c r="F2955" s="7" t="inlineStr">
        <is>
          <t>Yes</t>
        </is>
      </c>
      <c r="G2955" s="8" t="n"/>
    </row>
    <row r="2956">
      <c r="A2956" s="8" t="inlineStr">
        <is>
          <t>PGCV_0031_2874</t>
        </is>
      </c>
      <c r="B2956" s="8" t="inlineStr">
        <is>
          <t>MLAB178767</t>
        </is>
      </c>
      <c r="C2956" s="8" t="n"/>
      <c r="D2956" s="7" t="n">
        <v>31</v>
      </c>
      <c r="E2956" s="7" t="n">
        <v>2874</v>
      </c>
      <c r="F2956" s="7" t="inlineStr">
        <is>
          <t>Yes</t>
        </is>
      </c>
      <c r="G2956" s="8" t="n"/>
    </row>
    <row r="2957">
      <c r="A2957" s="8" t="inlineStr">
        <is>
          <t>PGCV_0031_2875</t>
        </is>
      </c>
      <c r="B2957" s="8" t="inlineStr">
        <is>
          <t>MLAB178793</t>
        </is>
      </c>
      <c r="C2957" s="8" t="n"/>
      <c r="D2957" s="7" t="n">
        <v>31</v>
      </c>
      <c r="E2957" s="7" t="n">
        <v>2875</v>
      </c>
      <c r="F2957" s="7" t="inlineStr">
        <is>
          <t>Yes</t>
        </is>
      </c>
      <c r="G2957" s="8" t="n"/>
    </row>
    <row r="2958">
      <c r="A2958" s="8" t="inlineStr">
        <is>
          <t>PGCV_0031_2876</t>
        </is>
      </c>
      <c r="B2958" s="8" t="inlineStr">
        <is>
          <t>MLAB178813</t>
        </is>
      </c>
      <c r="C2958" s="8" t="n"/>
      <c r="D2958" s="7" t="n">
        <v>31</v>
      </c>
      <c r="E2958" s="7" t="n">
        <v>2876</v>
      </c>
      <c r="F2958" s="7" t="inlineStr">
        <is>
          <t>Yes</t>
        </is>
      </c>
      <c r="G2958" s="8" t="n"/>
    </row>
    <row r="2959">
      <c r="A2959" s="8" t="inlineStr">
        <is>
          <t>PGCV_0031_2877</t>
        </is>
      </c>
      <c r="B2959" s="8" t="inlineStr">
        <is>
          <t>MLAB178822</t>
        </is>
      </c>
      <c r="C2959" s="8" t="n"/>
      <c r="D2959" s="7" t="n">
        <v>31</v>
      </c>
      <c r="E2959" s="7" t="n">
        <v>2877</v>
      </c>
      <c r="F2959" s="7" t="inlineStr">
        <is>
          <t>Yes</t>
        </is>
      </c>
      <c r="G2959" s="8" t="n"/>
    </row>
    <row r="2960">
      <c r="A2960" s="8" t="inlineStr">
        <is>
          <t>PGCV_0031_2881</t>
        </is>
      </c>
      <c r="B2960" s="8" t="inlineStr">
        <is>
          <t>WVSUMCCOVID-2221636</t>
        </is>
      </c>
      <c r="C2960" s="8" t="n"/>
      <c r="D2960" s="7" t="n">
        <v>31</v>
      </c>
      <c r="E2960" s="7" t="n">
        <v>2881</v>
      </c>
      <c r="F2960" s="7" t="inlineStr">
        <is>
          <t>Yes</t>
        </is>
      </c>
      <c r="G2960" s="8" t="n"/>
    </row>
    <row r="2961">
      <c r="A2961" s="8" t="inlineStr">
        <is>
          <t>PGCV_0031_2882</t>
        </is>
      </c>
      <c r="B2961" s="8" t="inlineStr">
        <is>
          <t>WVSUMCCOVID-2221741</t>
        </is>
      </c>
      <c r="C2961" s="8" t="n"/>
      <c r="D2961" s="7" t="n">
        <v>31</v>
      </c>
      <c r="E2961" s="7" t="n">
        <v>2882</v>
      </c>
      <c r="F2961" s="7" t="inlineStr">
        <is>
          <t>Yes</t>
        </is>
      </c>
      <c r="G2961" s="8" t="n"/>
    </row>
    <row r="2962">
      <c r="A2962" s="8" t="inlineStr">
        <is>
          <t>PGCV_0031_2883</t>
        </is>
      </c>
      <c r="B2962" s="8" t="inlineStr">
        <is>
          <t>WVSUMCCOVID-2221727</t>
        </is>
      </c>
      <c r="C2962" s="8" t="n"/>
      <c r="D2962" s="7" t="n">
        <v>31</v>
      </c>
      <c r="E2962" s="7" t="n">
        <v>2883</v>
      </c>
      <c r="F2962" s="7" t="inlineStr">
        <is>
          <t>Yes</t>
        </is>
      </c>
      <c r="G2962" s="8" t="n"/>
    </row>
    <row r="2963">
      <c r="A2963" s="8" t="inlineStr">
        <is>
          <t>PGCV_0031_2886</t>
        </is>
      </c>
      <c r="B2963" s="8" t="inlineStr">
        <is>
          <t>COVID-SNL-22-84501</t>
        </is>
      </c>
      <c r="C2963" s="8" t="n"/>
      <c r="D2963" s="7" t="n">
        <v>31</v>
      </c>
      <c r="E2963" s="7" t="n">
        <v>2886</v>
      </c>
      <c r="F2963" s="7" t="inlineStr">
        <is>
          <t>Yes</t>
        </is>
      </c>
      <c r="G2963" s="8" t="n"/>
    </row>
    <row r="2964">
      <c r="A2964" s="8" t="inlineStr">
        <is>
          <t>PGCV_0031_2887</t>
        </is>
      </c>
      <c r="B2964" s="8" t="inlineStr">
        <is>
          <t>COVID-SNL-22-84507</t>
        </is>
      </c>
      <c r="C2964" s="8" t="n"/>
      <c r="D2964" s="7" t="n">
        <v>31</v>
      </c>
      <c r="E2964" s="7" t="n">
        <v>2887</v>
      </c>
      <c r="F2964" s="7" t="inlineStr">
        <is>
          <t>Yes</t>
        </is>
      </c>
      <c r="G2964" s="8" t="n"/>
    </row>
    <row r="2965">
      <c r="A2965" s="8" t="inlineStr">
        <is>
          <t>PGCV_0031_2888</t>
        </is>
      </c>
      <c r="B2965" s="8" t="inlineStr">
        <is>
          <t>COVID-SNL-22-84519</t>
        </is>
      </c>
      <c r="C2965" s="8" t="n"/>
      <c r="D2965" s="7" t="n">
        <v>31</v>
      </c>
      <c r="E2965" s="7" t="n">
        <v>2888</v>
      </c>
      <c r="F2965" s="7" t="inlineStr">
        <is>
          <t>Yes</t>
        </is>
      </c>
      <c r="G2965" s="8" t="n"/>
    </row>
    <row r="2966">
      <c r="A2966" s="8" t="inlineStr">
        <is>
          <t>PGCV_0031_2889</t>
        </is>
      </c>
      <c r="B2966" s="8" t="inlineStr">
        <is>
          <t>COVID-SNL-22-84530</t>
        </is>
      </c>
      <c r="C2966" s="8" t="n"/>
      <c r="D2966" s="7" t="n">
        <v>31</v>
      </c>
      <c r="E2966" s="7" t="n">
        <v>2889</v>
      </c>
      <c r="F2966" s="7" t="inlineStr">
        <is>
          <t>Yes</t>
        </is>
      </c>
      <c r="G2966" s="8" t="n"/>
    </row>
    <row r="2967">
      <c r="A2967" s="8" t="inlineStr">
        <is>
          <t>PGCV_0031_2890</t>
        </is>
      </c>
      <c r="B2967" s="8" t="inlineStr">
        <is>
          <t>COVID-SNL-22-84621</t>
        </is>
      </c>
      <c r="C2967" s="8" t="n"/>
      <c r="D2967" s="7" t="n">
        <v>31</v>
      </c>
      <c r="E2967" s="7" t="n">
        <v>2890</v>
      </c>
      <c r="F2967" s="7" t="inlineStr">
        <is>
          <t>Yes</t>
        </is>
      </c>
      <c r="G2967" s="8" t="n"/>
    </row>
    <row r="2968">
      <c r="A2968" s="8" t="inlineStr">
        <is>
          <t>PGCV_0031_2891</t>
        </is>
      </c>
      <c r="B2968" s="8" t="inlineStr">
        <is>
          <t>COVID-SNL-22-84689</t>
        </is>
      </c>
      <c r="C2968" s="8" t="n"/>
      <c r="D2968" s="7" t="n">
        <v>31</v>
      </c>
      <c r="E2968" s="7" t="n">
        <v>2891</v>
      </c>
      <c r="F2968" s="7" t="inlineStr">
        <is>
          <t>Yes</t>
        </is>
      </c>
      <c r="G2968" s="8" t="n"/>
    </row>
    <row r="2969">
      <c r="A2969" s="8" t="inlineStr">
        <is>
          <t>PGCV_0031_2892</t>
        </is>
      </c>
      <c r="B2969" s="8" t="inlineStr">
        <is>
          <t>COVID-SNL-22-84697</t>
        </is>
      </c>
      <c r="C2969" s="8" t="n"/>
      <c r="D2969" s="7" t="n">
        <v>31</v>
      </c>
      <c r="E2969" s="7" t="n">
        <v>2892</v>
      </c>
      <c r="F2969" s="7" t="inlineStr">
        <is>
          <t>No</t>
        </is>
      </c>
      <c r="G2969" s="8" t="n"/>
    </row>
    <row r="2970">
      <c r="A2970" s="8" t="inlineStr">
        <is>
          <t>PGCV_0031_2893</t>
        </is>
      </c>
      <c r="B2970" s="8" t="inlineStr">
        <is>
          <t>COVID-SNL-22-84703</t>
        </is>
      </c>
      <c r="C2970" s="8" t="n"/>
      <c r="D2970" s="7" t="n">
        <v>31</v>
      </c>
      <c r="E2970" s="7" t="n">
        <v>2893</v>
      </c>
      <c r="F2970" s="7" t="inlineStr">
        <is>
          <t>Yes</t>
        </is>
      </c>
      <c r="G2970" s="8" t="n"/>
    </row>
    <row r="2971">
      <c r="A2971" s="8" t="inlineStr">
        <is>
          <t>PGCV_0031_2894</t>
        </is>
      </c>
      <c r="B2971" s="8" t="inlineStr">
        <is>
          <t>COVID-SNL-22-84727</t>
        </is>
      </c>
      <c r="C2971" s="8" t="n"/>
      <c r="D2971" s="7" t="n">
        <v>31</v>
      </c>
      <c r="E2971" s="7" t="n">
        <v>2894</v>
      </c>
      <c r="F2971" s="7" t="inlineStr">
        <is>
          <t>Yes</t>
        </is>
      </c>
      <c r="G2971" s="8" t="n"/>
    </row>
    <row r="2972">
      <c r="A2972" s="8" t="inlineStr">
        <is>
          <t>PGCV_0031_2895</t>
        </is>
      </c>
      <c r="B2972" s="8" t="inlineStr">
        <is>
          <t>COVID-SNL-22-84786</t>
        </is>
      </c>
      <c r="C2972" s="8" t="n"/>
      <c r="D2972" s="7" t="n">
        <v>31</v>
      </c>
      <c r="E2972" s="7" t="n">
        <v>2895</v>
      </c>
      <c r="F2972" s="7" t="inlineStr">
        <is>
          <t>Yes</t>
        </is>
      </c>
      <c r="G2972" s="8" t="n"/>
    </row>
    <row r="2973">
      <c r="A2973" s="8" t="inlineStr">
        <is>
          <t>PGCV_0031_2896</t>
        </is>
      </c>
      <c r="B2973" s="8" t="inlineStr">
        <is>
          <t>COVID-SNL-22-84844</t>
        </is>
      </c>
      <c r="C2973" s="8" t="n"/>
      <c r="D2973" s="7" t="n">
        <v>31</v>
      </c>
      <c r="E2973" s="7" t="n">
        <v>2896</v>
      </c>
      <c r="F2973" s="7" t="inlineStr">
        <is>
          <t>Yes</t>
        </is>
      </c>
      <c r="G2973" s="8" t="n"/>
    </row>
    <row r="2974">
      <c r="A2974" s="8" t="inlineStr">
        <is>
          <t>PGCV_0031_2897</t>
        </is>
      </c>
      <c r="B2974" s="8" t="inlineStr">
        <is>
          <t>COVID-SNL-22-84862</t>
        </is>
      </c>
      <c r="C2974" s="8" t="n"/>
      <c r="D2974" s="7" t="n">
        <v>31</v>
      </c>
      <c r="E2974" s="7" t="n">
        <v>2897</v>
      </c>
      <c r="F2974" s="7" t="inlineStr">
        <is>
          <t>Yes</t>
        </is>
      </c>
      <c r="G2974" s="8" t="n"/>
    </row>
    <row r="2975">
      <c r="A2975" s="8" t="inlineStr">
        <is>
          <t>PGCV_0031_2898</t>
        </is>
      </c>
      <c r="B2975" s="8" t="inlineStr">
        <is>
          <t>COVID-SNL-22-84885</t>
        </is>
      </c>
      <c r="C2975" s="8" t="n"/>
      <c r="D2975" s="7" t="n">
        <v>31</v>
      </c>
      <c r="E2975" s="7" t="n">
        <v>2898</v>
      </c>
      <c r="F2975" s="7" t="inlineStr">
        <is>
          <t>Yes</t>
        </is>
      </c>
      <c r="G2975" s="8" t="n"/>
    </row>
    <row r="2976">
      <c r="A2976" s="8" t="inlineStr">
        <is>
          <t>PGCV_0031_2899</t>
        </is>
      </c>
      <c r="B2976" s="8" t="inlineStr">
        <is>
          <t>COVID-SNL-22-84923</t>
        </is>
      </c>
      <c r="C2976" s="8" t="n"/>
      <c r="D2976" s="7" t="n">
        <v>31</v>
      </c>
      <c r="E2976" s="7" t="n">
        <v>2899</v>
      </c>
      <c r="F2976" s="7" t="inlineStr">
        <is>
          <t>Yes</t>
        </is>
      </c>
      <c r="G2976" s="8" t="n"/>
    </row>
    <row r="2977">
      <c r="A2977" s="8" t="inlineStr">
        <is>
          <t>PGCV_0031_2900</t>
        </is>
      </c>
      <c r="B2977" s="8" t="inlineStr">
        <is>
          <t>COVID-SNL-22-84955</t>
        </is>
      </c>
      <c r="C2977" s="8" t="n"/>
      <c r="D2977" s="7" t="n">
        <v>31</v>
      </c>
      <c r="E2977" s="7" t="n">
        <v>2900</v>
      </c>
      <c r="F2977" s="7" t="inlineStr">
        <is>
          <t>Yes</t>
        </is>
      </c>
      <c r="G2977" s="8" t="n"/>
    </row>
    <row r="2978">
      <c r="A2978" s="8" t="inlineStr">
        <is>
          <t>PGCV_0031_2901</t>
        </is>
      </c>
      <c r="B2978" s="8" t="inlineStr">
        <is>
          <t>COVID-SNL-22-85149</t>
        </is>
      </c>
      <c r="C2978" s="8" t="n"/>
      <c r="D2978" s="7" t="n">
        <v>31</v>
      </c>
      <c r="E2978" s="7" t="n">
        <v>2901</v>
      </c>
      <c r="F2978" s="7" t="inlineStr">
        <is>
          <t>Yes</t>
        </is>
      </c>
      <c r="G2978" s="8" t="n"/>
    </row>
    <row r="2979">
      <c r="A2979" s="8" t="inlineStr">
        <is>
          <t>PGCV_0031_2902</t>
        </is>
      </c>
      <c r="B2979" s="8" t="inlineStr">
        <is>
          <t>COVID-SNL-22-85003</t>
        </is>
      </c>
      <c r="C2979" s="8" t="n"/>
      <c r="D2979" s="7" t="n">
        <v>31</v>
      </c>
      <c r="E2979" s="7" t="n">
        <v>2902</v>
      </c>
      <c r="F2979" s="7" t="inlineStr">
        <is>
          <t>Yes</t>
        </is>
      </c>
      <c r="G2979" s="8" t="n"/>
    </row>
    <row r="2980">
      <c r="A2980" s="8" t="inlineStr">
        <is>
          <t>PGCV_0031_2903</t>
        </is>
      </c>
      <c r="B2980" s="8" t="inlineStr">
        <is>
          <t>COVID-SNL-22-85016</t>
        </is>
      </c>
      <c r="C2980" s="8" t="n"/>
      <c r="D2980" s="7" t="n">
        <v>31</v>
      </c>
      <c r="E2980" s="7" t="n">
        <v>2903</v>
      </c>
      <c r="F2980" s="7" t="inlineStr">
        <is>
          <t>No</t>
        </is>
      </c>
      <c r="G2980" s="8" t="n"/>
    </row>
    <row r="2981">
      <c r="A2981" s="8" t="inlineStr">
        <is>
          <t>PGCV_0031_2904</t>
        </is>
      </c>
      <c r="B2981" s="8" t="inlineStr">
        <is>
          <t>COVID-SNL-22-85023</t>
        </is>
      </c>
      <c r="C2981" s="8" t="n"/>
      <c r="D2981" s="7" t="n">
        <v>31</v>
      </c>
      <c r="E2981" s="7" t="n">
        <v>2904</v>
      </c>
      <c r="F2981" s="7" t="inlineStr">
        <is>
          <t>Yes</t>
        </is>
      </c>
      <c r="G2981" s="8" t="n"/>
    </row>
    <row r="2982">
      <c r="A2982" s="8" t="inlineStr">
        <is>
          <t>PGCV_0031_2905</t>
        </is>
      </c>
      <c r="B2982" s="8" t="inlineStr">
        <is>
          <t>COVID-SNL-22-85293</t>
        </is>
      </c>
      <c r="C2982" s="8" t="n"/>
      <c r="D2982" s="7" t="n">
        <v>31</v>
      </c>
      <c r="E2982" s="7" t="n">
        <v>2905</v>
      </c>
      <c r="F2982" s="7" t="inlineStr">
        <is>
          <t>Yes</t>
        </is>
      </c>
      <c r="G2982" s="8" t="n"/>
    </row>
    <row r="2983">
      <c r="A2983" s="8" t="inlineStr">
        <is>
          <t>PGCV_0031_2906</t>
        </is>
      </c>
      <c r="B2983" s="8" t="inlineStr">
        <is>
          <t>COVID-SNL-22-85296</t>
        </is>
      </c>
      <c r="C2983" s="8" t="n"/>
      <c r="D2983" s="7" t="n">
        <v>31</v>
      </c>
      <c r="E2983" s="7" t="n">
        <v>2906</v>
      </c>
      <c r="F2983" s="7" t="inlineStr">
        <is>
          <t>Yes</t>
        </is>
      </c>
      <c r="G2983" s="8" t="n"/>
    </row>
    <row r="2984">
      <c r="A2984" s="8" t="inlineStr">
        <is>
          <t>PGCV_0031_2907</t>
        </is>
      </c>
      <c r="B2984" s="8" t="inlineStr">
        <is>
          <t>COVID-SNL-22-85159</t>
        </is>
      </c>
      <c r="C2984" s="8" t="n"/>
      <c r="D2984" s="7" t="n">
        <v>31</v>
      </c>
      <c r="E2984" s="7" t="n">
        <v>2907</v>
      </c>
      <c r="F2984" s="7" t="inlineStr">
        <is>
          <t>Yes</t>
        </is>
      </c>
      <c r="G2984" s="8" t="n"/>
    </row>
    <row r="2985">
      <c r="A2985" s="8" t="inlineStr">
        <is>
          <t>PGCV_0031_2908</t>
        </is>
      </c>
      <c r="B2985" s="8" t="inlineStr">
        <is>
          <t>COVID-SNL-22-85177</t>
        </is>
      </c>
      <c r="C2985" s="8" t="n"/>
      <c r="D2985" s="7" t="n">
        <v>31</v>
      </c>
      <c r="E2985" s="7" t="n">
        <v>2908</v>
      </c>
      <c r="F2985" s="7" t="inlineStr">
        <is>
          <t>Yes</t>
        </is>
      </c>
      <c r="G2985" s="8" t="n"/>
    </row>
    <row r="2986">
      <c r="A2986" s="8" t="inlineStr">
        <is>
          <t>PGCV_0031_2909</t>
        </is>
      </c>
      <c r="B2986" s="8" t="inlineStr">
        <is>
          <t>COVID-SNL-22-85182</t>
        </is>
      </c>
      <c r="C2986" s="8" t="n"/>
      <c r="D2986" s="7" t="n">
        <v>31</v>
      </c>
      <c r="E2986" s="7" t="n">
        <v>2909</v>
      </c>
      <c r="F2986" s="7" t="inlineStr">
        <is>
          <t>Yes</t>
        </is>
      </c>
      <c r="G2986" s="8" t="n"/>
    </row>
    <row r="2987">
      <c r="A2987" s="8" t="inlineStr">
        <is>
          <t>PGCV_0031_2910</t>
        </is>
      </c>
      <c r="B2987" s="8" t="inlineStr">
        <is>
          <t>COVID-SNL-22-85183</t>
        </is>
      </c>
      <c r="C2987" s="8" t="n"/>
      <c r="D2987" s="7" t="n">
        <v>31</v>
      </c>
      <c r="E2987" s="7" t="n">
        <v>2910</v>
      </c>
      <c r="F2987" s="7" t="inlineStr">
        <is>
          <t>Yes</t>
        </is>
      </c>
      <c r="G2987" s="8" t="n"/>
    </row>
    <row r="2988">
      <c r="A2988" s="8" t="inlineStr">
        <is>
          <t>PGCV_0031_2911</t>
        </is>
      </c>
      <c r="B2988" s="8" t="inlineStr">
        <is>
          <t>COVID-SNL-22-85186</t>
        </is>
      </c>
      <c r="C2988" s="8" t="n"/>
      <c r="D2988" s="7" t="n">
        <v>31</v>
      </c>
      <c r="E2988" s="7" t="n">
        <v>2911</v>
      </c>
      <c r="F2988" s="7" t="inlineStr">
        <is>
          <t>Yes</t>
        </is>
      </c>
      <c r="G2988" s="8" t="n"/>
    </row>
    <row r="2989">
      <c r="A2989" s="8" t="inlineStr">
        <is>
          <t>PGCV_0031_2912</t>
        </is>
      </c>
      <c r="B2989" s="8" t="inlineStr">
        <is>
          <t>COVID-SNL-22-85190</t>
        </is>
      </c>
      <c r="C2989" s="8" t="n"/>
      <c r="D2989" s="7" t="n">
        <v>31</v>
      </c>
      <c r="E2989" s="7" t="n">
        <v>2912</v>
      </c>
      <c r="F2989" s="7" t="inlineStr">
        <is>
          <t>Yes</t>
        </is>
      </c>
      <c r="G2989" s="8" t="n"/>
    </row>
    <row r="2990">
      <c r="A2990" s="8" t="inlineStr">
        <is>
          <t>PGCV_0031_2913</t>
        </is>
      </c>
      <c r="B2990" s="8" t="inlineStr">
        <is>
          <t>COVID-SNL-22-85299</t>
        </is>
      </c>
      <c r="C2990" s="8" t="n"/>
      <c r="D2990" s="7" t="n">
        <v>31</v>
      </c>
      <c r="E2990" s="7" t="n">
        <v>2913</v>
      </c>
      <c r="F2990" s="7" t="inlineStr">
        <is>
          <t>Yes</t>
        </is>
      </c>
      <c r="G2990" s="8" t="n"/>
    </row>
    <row r="2991">
      <c r="A2991" s="8" t="inlineStr">
        <is>
          <t>PGCV_0031_2914</t>
        </is>
      </c>
      <c r="B2991" s="8" t="inlineStr">
        <is>
          <t>COVID-SNL-22-85307</t>
        </is>
      </c>
      <c r="C2991" s="8" t="n"/>
      <c r="D2991" s="7" t="n">
        <v>31</v>
      </c>
      <c r="E2991" s="7" t="n">
        <v>2914</v>
      </c>
      <c r="F2991" s="7" t="inlineStr">
        <is>
          <t>Yes</t>
        </is>
      </c>
      <c r="G2991" s="8" t="n"/>
    </row>
    <row r="2992">
      <c r="A2992" s="8" t="inlineStr">
        <is>
          <t>PGCV_0031_2915</t>
        </is>
      </c>
      <c r="B2992" s="8" t="inlineStr">
        <is>
          <t>COVID-SNL-22-85333</t>
        </is>
      </c>
      <c r="C2992" s="8" t="n"/>
      <c r="D2992" s="7" t="n">
        <v>31</v>
      </c>
      <c r="E2992" s="7" t="n">
        <v>2915</v>
      </c>
      <c r="F2992" s="7" t="inlineStr">
        <is>
          <t>Yes</t>
        </is>
      </c>
      <c r="G2992" s="8" t="n"/>
    </row>
    <row r="2993">
      <c r="A2993" s="8" t="inlineStr">
        <is>
          <t>PGCV_0031_2916</t>
        </is>
      </c>
      <c r="B2993" s="8" t="inlineStr">
        <is>
          <t>COVID-SNL-22-85328</t>
        </is>
      </c>
      <c r="C2993" s="8" t="n"/>
      <c r="D2993" s="7" t="n">
        <v>31</v>
      </c>
      <c r="E2993" s="7" t="n">
        <v>2916</v>
      </c>
      <c r="F2993" s="7" t="inlineStr">
        <is>
          <t>Yes</t>
        </is>
      </c>
      <c r="G2993" s="8" t="n"/>
    </row>
    <row r="2994">
      <c r="A2994" s="8" t="inlineStr">
        <is>
          <t>PGCV_0031_2917</t>
        </is>
      </c>
      <c r="B2994" s="8" t="inlineStr">
        <is>
          <t>COVID-SNL-22-85341</t>
        </is>
      </c>
      <c r="C2994" s="8" t="n"/>
      <c r="D2994" s="7" t="n">
        <v>31</v>
      </c>
      <c r="E2994" s="7" t="n">
        <v>2917</v>
      </c>
      <c r="F2994" s="7" t="inlineStr">
        <is>
          <t>Yes</t>
        </is>
      </c>
      <c r="G2994" s="8" t="n"/>
    </row>
    <row r="2995">
      <c r="A2995" s="8" t="inlineStr">
        <is>
          <t>PGCV_0031_2918</t>
        </is>
      </c>
      <c r="B2995" s="8" t="inlineStr">
        <is>
          <t>COVID-SNL-22-85443</t>
        </is>
      </c>
      <c r="C2995" s="8" t="n"/>
      <c r="D2995" s="7" t="n">
        <v>31</v>
      </c>
      <c r="E2995" s="7" t="n">
        <v>2918</v>
      </c>
      <c r="F2995" s="7" t="inlineStr">
        <is>
          <t>Yes</t>
        </is>
      </c>
      <c r="G2995" s="8" t="n"/>
    </row>
    <row r="2996">
      <c r="A2996" s="8" t="inlineStr">
        <is>
          <t>PGCV_0031_2919</t>
        </is>
      </c>
      <c r="B2996" s="8" t="inlineStr">
        <is>
          <t>COVID-SNL-22-85452</t>
        </is>
      </c>
      <c r="C2996" s="8" t="n"/>
      <c r="D2996" s="7" t="n">
        <v>31</v>
      </c>
      <c r="E2996" s="7" t="n">
        <v>2919</v>
      </c>
      <c r="F2996" s="7" t="inlineStr">
        <is>
          <t>No</t>
        </is>
      </c>
      <c r="G2996" s="8" t="n"/>
    </row>
    <row r="2997">
      <c r="A2997" s="8" t="inlineStr">
        <is>
          <t>PGCV_0031_2920</t>
        </is>
      </c>
      <c r="B2997" s="8" t="inlineStr">
        <is>
          <t>COVID-SNL-22-85371</t>
        </is>
      </c>
      <c r="C2997" s="8" t="n"/>
      <c r="D2997" s="7" t="n">
        <v>31</v>
      </c>
      <c r="E2997" s="7" t="n">
        <v>2920</v>
      </c>
      <c r="F2997" s="7" t="inlineStr">
        <is>
          <t>Yes</t>
        </is>
      </c>
      <c r="G2997" s="8" t="n"/>
    </row>
    <row r="2998">
      <c r="A2998" s="8" t="inlineStr">
        <is>
          <t>PGCV_0031_2921</t>
        </is>
      </c>
      <c r="B2998" s="8" t="inlineStr">
        <is>
          <t>COVID-SNL-22-85477</t>
        </is>
      </c>
      <c r="C2998" s="8" t="n"/>
      <c r="D2998" s="7" t="n">
        <v>31</v>
      </c>
      <c r="E2998" s="7" t="n">
        <v>2921</v>
      </c>
      <c r="F2998" s="7" t="inlineStr">
        <is>
          <t>Yes</t>
        </is>
      </c>
      <c r="G2998" s="8" t="n"/>
    </row>
    <row r="2999">
      <c r="A2999" s="8" t="inlineStr">
        <is>
          <t>PGCV_0031_2922</t>
        </is>
      </c>
      <c r="B2999" s="8" t="inlineStr">
        <is>
          <t>COVID-SNL-22-85518</t>
        </is>
      </c>
      <c r="C2999" s="8" t="n"/>
      <c r="D2999" s="7" t="n">
        <v>31</v>
      </c>
      <c r="E2999" s="7" t="n">
        <v>2922</v>
      </c>
      <c r="F2999" s="7" t="inlineStr">
        <is>
          <t>Yes</t>
        </is>
      </c>
      <c r="G2999" s="8" t="n"/>
    </row>
    <row r="3000">
      <c r="A3000" s="8" t="inlineStr">
        <is>
          <t>PGCV_0031_2923</t>
        </is>
      </c>
      <c r="B3000" s="8" t="inlineStr">
        <is>
          <t>COVID-SNL-22-85543</t>
        </is>
      </c>
      <c r="C3000" s="8" t="n"/>
      <c r="D3000" s="7" t="n">
        <v>31</v>
      </c>
      <c r="E3000" s="7" t="n">
        <v>2923</v>
      </c>
      <c r="F3000" s="7" t="inlineStr">
        <is>
          <t>Yes</t>
        </is>
      </c>
      <c r="G3000" s="8" t="n"/>
    </row>
    <row r="3001">
      <c r="A3001" s="8" t="inlineStr">
        <is>
          <t>PGCV_0031_2924</t>
        </is>
      </c>
      <c r="B3001" s="8" t="inlineStr">
        <is>
          <t>COVID-SNL-22-85527</t>
        </is>
      </c>
      <c r="C3001" s="8" t="n"/>
      <c r="D3001" s="7" t="n">
        <v>31</v>
      </c>
      <c r="E3001" s="7" t="n">
        <v>2924</v>
      </c>
      <c r="F3001" s="7" t="inlineStr">
        <is>
          <t>Yes</t>
        </is>
      </c>
      <c r="G3001" s="8" t="n"/>
    </row>
    <row r="3002">
      <c r="A3002" s="8" t="inlineStr">
        <is>
          <t>PGCV_0031_2925</t>
        </is>
      </c>
      <c r="B3002" s="8" t="inlineStr">
        <is>
          <t>COVID-SNL-22-85564</t>
        </is>
      </c>
      <c r="C3002" s="8" t="n"/>
      <c r="D3002" s="7" t="n">
        <v>31</v>
      </c>
      <c r="E3002" s="7" t="n">
        <v>2925</v>
      </c>
      <c r="F3002" s="7" t="inlineStr">
        <is>
          <t>Yes</t>
        </is>
      </c>
      <c r="G3002" s="8" t="n"/>
    </row>
    <row r="3003">
      <c r="A3003" s="8" t="inlineStr">
        <is>
          <t>PGCV_0031_2926</t>
        </is>
      </c>
      <c r="B3003" s="8" t="inlineStr">
        <is>
          <t>COVID-SNL-22-85567</t>
        </is>
      </c>
      <c r="C3003" s="8" t="n"/>
      <c r="D3003" s="7" t="n">
        <v>31</v>
      </c>
      <c r="E3003" s="7" t="n">
        <v>2926</v>
      </c>
      <c r="F3003" s="7" t="inlineStr">
        <is>
          <t>Yes</t>
        </is>
      </c>
      <c r="G3003" s="8" t="n"/>
    </row>
    <row r="3004">
      <c r="A3004" s="8" t="inlineStr">
        <is>
          <t>PGCV_0031_2927</t>
        </is>
      </c>
      <c r="B3004" s="8" t="inlineStr">
        <is>
          <t>COVID-SNL-22-85580</t>
        </is>
      </c>
      <c r="C3004" s="8" t="n"/>
      <c r="D3004" s="7" t="n">
        <v>31</v>
      </c>
      <c r="E3004" s="7" t="n">
        <v>2927</v>
      </c>
      <c r="F3004" s="7" t="inlineStr">
        <is>
          <t>Yes</t>
        </is>
      </c>
      <c r="G3004" s="8" t="n"/>
    </row>
    <row r="3005">
      <c r="A3005" s="8" t="inlineStr">
        <is>
          <t>PGCV_0031_2928</t>
        </is>
      </c>
      <c r="B3005" s="8" t="inlineStr">
        <is>
          <t>COVID-SNL-22-85590</t>
        </is>
      </c>
      <c r="C3005" s="8" t="n"/>
      <c r="D3005" s="7" t="n">
        <v>31</v>
      </c>
      <c r="E3005" s="7" t="n">
        <v>2928</v>
      </c>
      <c r="F3005" s="7" t="inlineStr">
        <is>
          <t>Yes</t>
        </is>
      </c>
      <c r="G3005" s="8" t="n"/>
    </row>
    <row r="3006">
      <c r="A3006" s="8" t="inlineStr">
        <is>
          <t>PGCV_0031_2929</t>
        </is>
      </c>
      <c r="B3006" s="8" t="inlineStr">
        <is>
          <t>COVID-SNL-22-85612</t>
        </is>
      </c>
      <c r="C3006" s="8" t="n"/>
      <c r="D3006" s="7" t="n">
        <v>31</v>
      </c>
      <c r="E3006" s="7" t="n">
        <v>2929</v>
      </c>
      <c r="F3006" s="7" t="inlineStr">
        <is>
          <t>Yes</t>
        </is>
      </c>
      <c r="G3006" s="8" t="n"/>
    </row>
    <row r="3007">
      <c r="A3007" s="8" t="inlineStr">
        <is>
          <t>PGCV_0031_2930</t>
        </is>
      </c>
      <c r="B3007" s="8" t="inlineStr">
        <is>
          <t>COVID-SNL-22-85817</t>
        </is>
      </c>
      <c r="C3007" s="8" t="n"/>
      <c r="D3007" s="7" t="n">
        <v>31</v>
      </c>
      <c r="E3007" s="7" t="n">
        <v>2930</v>
      </c>
      <c r="F3007" s="7" t="inlineStr">
        <is>
          <t>Yes</t>
        </is>
      </c>
      <c r="G3007" s="8" t="n"/>
    </row>
    <row r="3008">
      <c r="A3008" s="8" t="inlineStr">
        <is>
          <t>PGCV_0031_2931</t>
        </is>
      </c>
      <c r="B3008" s="8" t="inlineStr">
        <is>
          <t>COVID-SNL-22-85819</t>
        </is>
      </c>
      <c r="C3008" s="8" t="n"/>
      <c r="D3008" s="7" t="n">
        <v>31</v>
      </c>
      <c r="E3008" s="7" t="n">
        <v>2931</v>
      </c>
      <c r="F3008" s="7" t="inlineStr">
        <is>
          <t>Yes</t>
        </is>
      </c>
      <c r="G3008" s="8" t="n"/>
    </row>
    <row r="3009">
      <c r="A3009" s="8" t="inlineStr">
        <is>
          <t>PGCV_0031_2932</t>
        </is>
      </c>
      <c r="B3009" s="8" t="inlineStr">
        <is>
          <t>COVID-SNL-22-85835</t>
        </is>
      </c>
      <c r="C3009" s="8" t="n"/>
      <c r="D3009" s="7" t="n">
        <v>31</v>
      </c>
      <c r="E3009" s="7" t="n">
        <v>2932</v>
      </c>
      <c r="F3009" s="7" t="inlineStr">
        <is>
          <t>Yes</t>
        </is>
      </c>
      <c r="G3009" s="8" t="n"/>
    </row>
    <row r="3010">
      <c r="A3010" s="8" t="inlineStr">
        <is>
          <t>PGCV_0031_2933</t>
        </is>
      </c>
      <c r="B3010" s="8" t="inlineStr">
        <is>
          <t>COVID-SNL-22-85836</t>
        </is>
      </c>
      <c r="C3010" s="8" t="n"/>
      <c r="D3010" s="7" t="n">
        <v>31</v>
      </c>
      <c r="E3010" s="7" t="n">
        <v>2933</v>
      </c>
      <c r="F3010" s="7" t="inlineStr">
        <is>
          <t>Yes</t>
        </is>
      </c>
      <c r="G3010" s="8" t="n"/>
    </row>
    <row r="3011">
      <c r="A3011" s="8" t="inlineStr">
        <is>
          <t>PGCV_0031_2934</t>
        </is>
      </c>
      <c r="B3011" s="8" t="inlineStr">
        <is>
          <t>COVID-SNL-22-85863</t>
        </is>
      </c>
      <c r="C3011" s="8" t="n"/>
      <c r="D3011" s="7" t="n">
        <v>31</v>
      </c>
      <c r="E3011" s="7" t="n">
        <v>2934</v>
      </c>
      <c r="F3011" s="7" t="inlineStr">
        <is>
          <t>Yes</t>
        </is>
      </c>
      <c r="G3011" s="8" t="n"/>
    </row>
    <row r="3012">
      <c r="A3012" s="8" t="inlineStr">
        <is>
          <t>PGCV_0031_2935</t>
        </is>
      </c>
      <c r="B3012" s="8" t="inlineStr">
        <is>
          <t>COVID-SNL-22-85882</t>
        </is>
      </c>
      <c r="C3012" s="8" t="n"/>
      <c r="D3012" s="7" t="n">
        <v>31</v>
      </c>
      <c r="E3012" s="7" t="n">
        <v>2935</v>
      </c>
      <c r="F3012" s="7" t="inlineStr">
        <is>
          <t>Yes</t>
        </is>
      </c>
      <c r="G3012" s="8" t="n"/>
    </row>
    <row r="3013">
      <c r="A3013" s="8" t="inlineStr">
        <is>
          <t>PGCV_0031_2936</t>
        </is>
      </c>
      <c r="B3013" s="8" t="inlineStr">
        <is>
          <t>COVID-SNL-22-85890</t>
        </is>
      </c>
      <c r="C3013" s="8" t="n"/>
      <c r="D3013" s="7" t="n">
        <v>31</v>
      </c>
      <c r="E3013" s="7" t="n">
        <v>2936</v>
      </c>
      <c r="F3013" s="7" t="inlineStr">
        <is>
          <t>Yes</t>
        </is>
      </c>
      <c r="G3013" s="8" t="n"/>
    </row>
    <row r="3014">
      <c r="A3014" s="8" t="inlineStr">
        <is>
          <t>PGCV_0031_2937</t>
        </is>
      </c>
      <c r="B3014" s="8" t="inlineStr">
        <is>
          <t>COVID-SNL-22-85894</t>
        </is>
      </c>
      <c r="C3014" s="8" t="n"/>
      <c r="D3014" s="7" t="n">
        <v>31</v>
      </c>
      <c r="E3014" s="7" t="n">
        <v>2937</v>
      </c>
      <c r="F3014" s="7" t="inlineStr">
        <is>
          <t>No</t>
        </is>
      </c>
      <c r="G3014" s="8" t="n"/>
    </row>
    <row r="3015">
      <c r="A3015" s="8" t="inlineStr">
        <is>
          <t>PGCV_0031_2938</t>
        </is>
      </c>
      <c r="B3015" s="8" t="inlineStr">
        <is>
          <t>COVID-SNL-22-85900</t>
        </is>
      </c>
      <c r="C3015" s="8" t="n"/>
      <c r="D3015" s="7" t="n">
        <v>31</v>
      </c>
      <c r="E3015" s="7" t="n">
        <v>2938</v>
      </c>
      <c r="F3015" s="7" t="inlineStr">
        <is>
          <t>Yes</t>
        </is>
      </c>
      <c r="G3015" s="8" t="n"/>
    </row>
    <row r="3016">
      <c r="A3016" s="8" t="inlineStr">
        <is>
          <t>PGCV_0031_2939</t>
        </is>
      </c>
      <c r="B3016" s="8" t="inlineStr">
        <is>
          <t>COVID-SNL-22-85965</t>
        </is>
      </c>
      <c r="C3016" s="8" t="n"/>
      <c r="D3016" s="7" t="n">
        <v>31</v>
      </c>
      <c r="E3016" s="7" t="n">
        <v>2939</v>
      </c>
      <c r="F3016" s="7" t="inlineStr">
        <is>
          <t>Yes</t>
        </is>
      </c>
      <c r="G3016" s="8" t="n"/>
    </row>
    <row r="3017">
      <c r="A3017" s="8" t="inlineStr">
        <is>
          <t>PGCV_0031_2940</t>
        </is>
      </c>
      <c r="B3017" s="8" t="inlineStr">
        <is>
          <t>COVID-SNL-22-85993</t>
        </is>
      </c>
      <c r="C3017" s="8" t="n"/>
      <c r="D3017" s="7" t="n">
        <v>31</v>
      </c>
      <c r="E3017" s="7" t="n">
        <v>2940</v>
      </c>
      <c r="F3017" s="7" t="inlineStr">
        <is>
          <t>No</t>
        </is>
      </c>
      <c r="G3017" s="8" t="n"/>
    </row>
    <row r="3018">
      <c r="A3018" s="8" t="inlineStr">
        <is>
          <t>PGCV_0031_2941</t>
        </is>
      </c>
      <c r="B3018" s="8" t="inlineStr">
        <is>
          <t>COVID-SNL-22-86112</t>
        </is>
      </c>
      <c r="C3018" s="8" t="n"/>
      <c r="D3018" s="7" t="n">
        <v>31</v>
      </c>
      <c r="E3018" s="7" t="n">
        <v>2941</v>
      </c>
      <c r="F3018" s="7" t="inlineStr">
        <is>
          <t>Yes</t>
        </is>
      </c>
      <c r="G3018" s="8" t="n"/>
    </row>
    <row r="3019">
      <c r="A3019" s="8" t="inlineStr">
        <is>
          <t>PGCV_0031_2942</t>
        </is>
      </c>
      <c r="B3019" s="8" t="inlineStr">
        <is>
          <t>COVID-SNL-22-86149</t>
        </is>
      </c>
      <c r="C3019" s="8" t="n"/>
      <c r="D3019" s="7" t="n">
        <v>31</v>
      </c>
      <c r="E3019" s="7" t="n">
        <v>2942</v>
      </c>
      <c r="F3019" s="7" t="inlineStr">
        <is>
          <t>Yes</t>
        </is>
      </c>
      <c r="G3019" s="8" t="n"/>
    </row>
    <row r="3020">
      <c r="A3020" s="8" t="inlineStr">
        <is>
          <t>PGCV_0031_2943</t>
        </is>
      </c>
      <c r="B3020" s="8" t="inlineStr">
        <is>
          <t>COVID-SNL-22-86173</t>
        </is>
      </c>
      <c r="C3020" s="8" t="n"/>
      <c r="D3020" s="7" t="n">
        <v>31</v>
      </c>
      <c r="E3020" s="7" t="n">
        <v>2943</v>
      </c>
      <c r="F3020" s="7" t="inlineStr">
        <is>
          <t>Yes</t>
        </is>
      </c>
      <c r="G3020" s="8" t="n"/>
    </row>
    <row r="3021">
      <c r="A3021" s="8" t="inlineStr">
        <is>
          <t>PGCV_0031_2944</t>
        </is>
      </c>
      <c r="B3021" s="8" t="inlineStr">
        <is>
          <t>COVID-SNL-22-86187</t>
        </is>
      </c>
      <c r="C3021" s="8" t="n"/>
      <c r="D3021" s="7" t="n">
        <v>31</v>
      </c>
      <c r="E3021" s="7" t="n">
        <v>2944</v>
      </c>
      <c r="F3021" s="7" t="inlineStr">
        <is>
          <t>Yes</t>
        </is>
      </c>
      <c r="G3021" s="8" t="n"/>
    </row>
    <row r="3022">
      <c r="A3022" s="8" t="inlineStr">
        <is>
          <t>PGCV_0031_2945</t>
        </is>
      </c>
      <c r="B3022" s="8" t="inlineStr">
        <is>
          <t>COVID-SNL-22-86203</t>
        </is>
      </c>
      <c r="C3022" s="8" t="n"/>
      <c r="D3022" s="7" t="n">
        <v>31</v>
      </c>
      <c r="E3022" s="7" t="n">
        <v>2945</v>
      </c>
      <c r="F3022" s="7" t="inlineStr">
        <is>
          <t>Yes</t>
        </is>
      </c>
      <c r="G3022" s="8" t="n"/>
    </row>
    <row r="3023">
      <c r="A3023" s="8" t="inlineStr">
        <is>
          <t>PGCV_0031_2946</t>
        </is>
      </c>
      <c r="B3023" s="8" t="inlineStr">
        <is>
          <t>COVID-SNL-22-86211</t>
        </is>
      </c>
      <c r="C3023" s="8" t="n"/>
      <c r="D3023" s="7" t="n">
        <v>31</v>
      </c>
      <c r="E3023" s="7" t="n">
        <v>2946</v>
      </c>
      <c r="F3023" s="7" t="inlineStr">
        <is>
          <t>Yes</t>
        </is>
      </c>
      <c r="G3023" s="8" t="n"/>
    </row>
    <row r="3024">
      <c r="A3024" s="8" t="inlineStr">
        <is>
          <t>PGCV_0031_2947</t>
        </is>
      </c>
      <c r="B3024" s="8" t="inlineStr">
        <is>
          <t>COVID-SNL-22-86215</t>
        </is>
      </c>
      <c r="C3024" s="8" t="n"/>
      <c r="D3024" s="7" t="n">
        <v>31</v>
      </c>
      <c r="E3024" s="7" t="n">
        <v>2947</v>
      </c>
      <c r="F3024" s="7" t="inlineStr">
        <is>
          <t>Yes</t>
        </is>
      </c>
      <c r="G3024" s="8" t="n"/>
    </row>
    <row r="3025">
      <c r="A3025" s="8" t="inlineStr">
        <is>
          <t>PGCV_0031_2948</t>
        </is>
      </c>
      <c r="B3025" s="8" t="inlineStr">
        <is>
          <t>COVID-SNL-22-86252</t>
        </is>
      </c>
      <c r="C3025" s="8" t="n"/>
      <c r="D3025" s="7" t="n">
        <v>31</v>
      </c>
      <c r="E3025" s="7" t="n">
        <v>2948</v>
      </c>
      <c r="F3025" s="7" t="inlineStr">
        <is>
          <t>Yes</t>
        </is>
      </c>
      <c r="G3025" s="8" t="n"/>
    </row>
    <row r="3026">
      <c r="A3026" s="8" t="inlineStr">
        <is>
          <t>PGCV_0031_2949</t>
        </is>
      </c>
      <c r="B3026" s="8" t="inlineStr">
        <is>
          <t>COVID-SNL-22-86330</t>
        </is>
      </c>
      <c r="C3026" s="8" t="n"/>
      <c r="D3026" s="7" t="n">
        <v>31</v>
      </c>
      <c r="E3026" s="7" t="n">
        <v>2949</v>
      </c>
      <c r="F3026" s="7" t="inlineStr">
        <is>
          <t>Yes</t>
        </is>
      </c>
      <c r="G3026" s="8" t="n"/>
    </row>
    <row r="3027">
      <c r="A3027" s="8" t="inlineStr">
        <is>
          <t>PGCV_0031_2950</t>
        </is>
      </c>
      <c r="B3027" s="8" t="inlineStr">
        <is>
          <t>COVID-SNL-22-86447</t>
        </is>
      </c>
      <c r="C3027" s="8" t="n"/>
      <c r="D3027" s="7" t="n">
        <v>31</v>
      </c>
      <c r="E3027" s="7" t="n">
        <v>2950</v>
      </c>
      <c r="F3027" s="7" t="inlineStr">
        <is>
          <t>Yes</t>
        </is>
      </c>
      <c r="G3027" s="8" t="n"/>
    </row>
    <row r="3028">
      <c r="A3028" s="8" t="inlineStr">
        <is>
          <t>PGCV_0031_2951</t>
        </is>
      </c>
      <c r="B3028" s="8" t="inlineStr">
        <is>
          <t>COVID-SNL-22-86355</t>
        </is>
      </c>
      <c r="C3028" s="8" t="n"/>
      <c r="D3028" s="7" t="n">
        <v>31</v>
      </c>
      <c r="E3028" s="7" t="n">
        <v>2951</v>
      </c>
      <c r="F3028" s="7" t="inlineStr">
        <is>
          <t>Yes</t>
        </is>
      </c>
      <c r="G3028" s="8" t="n"/>
    </row>
    <row r="3029">
      <c r="A3029" s="8" t="inlineStr">
        <is>
          <t>PGCV_0031_2952</t>
        </is>
      </c>
      <c r="B3029" s="8" t="inlineStr">
        <is>
          <t>COVID-SNL-22-86387</t>
        </is>
      </c>
      <c r="C3029" s="8" t="n"/>
      <c r="D3029" s="7" t="n">
        <v>31</v>
      </c>
      <c r="E3029" s="7" t="n">
        <v>2952</v>
      </c>
      <c r="F3029" s="7" t="inlineStr">
        <is>
          <t>Yes</t>
        </is>
      </c>
      <c r="G3029" s="8" t="n"/>
    </row>
    <row r="3030">
      <c r="A3030" s="8" t="inlineStr">
        <is>
          <t>PGCV_0031_2953</t>
        </is>
      </c>
      <c r="B3030" s="8" t="inlineStr">
        <is>
          <t>COVID-SNL-22-86393</t>
        </is>
      </c>
      <c r="C3030" s="8" t="n"/>
      <c r="D3030" s="7" t="n">
        <v>31</v>
      </c>
      <c r="E3030" s="7" t="n">
        <v>2953</v>
      </c>
      <c r="F3030" s="7" t="inlineStr">
        <is>
          <t>Yes</t>
        </is>
      </c>
      <c r="G3030" s="8" t="n"/>
    </row>
    <row r="3031">
      <c r="A3031" s="8" t="inlineStr">
        <is>
          <t>PGCV_0031_2954</t>
        </is>
      </c>
      <c r="B3031" s="8" t="inlineStr">
        <is>
          <t>COVID-SNL-22-86427</t>
        </is>
      </c>
      <c r="C3031" s="8" t="n"/>
      <c r="D3031" s="7" t="n">
        <v>31</v>
      </c>
      <c r="E3031" s="7" t="n">
        <v>2954</v>
      </c>
      <c r="F3031" s="7" t="inlineStr">
        <is>
          <t>Yes</t>
        </is>
      </c>
      <c r="G3031" s="8" t="n"/>
    </row>
    <row r="3032">
      <c r="A3032" s="8" t="inlineStr">
        <is>
          <t>PGCV_0031_2955</t>
        </is>
      </c>
      <c r="B3032" s="8" t="inlineStr">
        <is>
          <t>COVID-SNL-22-86490</t>
        </is>
      </c>
      <c r="C3032" s="8" t="n"/>
      <c r="D3032" s="7" t="n">
        <v>31</v>
      </c>
      <c r="E3032" s="7" t="n">
        <v>2955</v>
      </c>
      <c r="F3032" s="7" t="inlineStr">
        <is>
          <t>Yes</t>
        </is>
      </c>
      <c r="G3032" s="8" t="n"/>
    </row>
    <row r="3033">
      <c r="A3033" s="8" t="inlineStr">
        <is>
          <t>PGCV_0031_2956</t>
        </is>
      </c>
      <c r="B3033" s="8" t="inlineStr">
        <is>
          <t>COVID-SNL-22-86622</t>
        </is>
      </c>
      <c r="C3033" s="8" t="n"/>
      <c r="D3033" s="7" t="n">
        <v>31</v>
      </c>
      <c r="E3033" s="7" t="n">
        <v>2956</v>
      </c>
      <c r="F3033" s="7" t="inlineStr">
        <is>
          <t>Yes</t>
        </is>
      </c>
      <c r="G3033" s="8" t="n"/>
    </row>
    <row r="3034">
      <c r="A3034" s="8" t="inlineStr">
        <is>
          <t>PGCV_0031_2957</t>
        </is>
      </c>
      <c r="B3034" s="8" t="inlineStr">
        <is>
          <t>COVID-SNL-22-86677</t>
        </is>
      </c>
      <c r="C3034" s="8" t="n"/>
      <c r="D3034" s="7" t="n">
        <v>31</v>
      </c>
      <c r="E3034" s="7" t="n">
        <v>2957</v>
      </c>
      <c r="F3034" s="7" t="inlineStr">
        <is>
          <t>Yes</t>
        </is>
      </c>
      <c r="G3034" s="8" t="n"/>
    </row>
    <row r="3035">
      <c r="A3035" s="8" t="inlineStr">
        <is>
          <t>PGCV_0031_2958</t>
        </is>
      </c>
      <c r="B3035" s="8" t="inlineStr">
        <is>
          <t>COVID-SNL-22-86683</t>
        </is>
      </c>
      <c r="C3035" s="8" t="n"/>
      <c r="D3035" s="7" t="n">
        <v>31</v>
      </c>
      <c r="E3035" s="7" t="n">
        <v>2958</v>
      </c>
      <c r="F3035" s="7" t="inlineStr">
        <is>
          <t>No</t>
        </is>
      </c>
      <c r="G3035" s="8" t="n"/>
    </row>
    <row r="3036">
      <c r="A3036" s="8" t="inlineStr">
        <is>
          <t>PGCV_0031_2959</t>
        </is>
      </c>
      <c r="B3036" s="8" t="inlineStr">
        <is>
          <t>COVID-SNL-22-86684</t>
        </is>
      </c>
      <c r="C3036" s="8" t="n"/>
      <c r="D3036" s="7" t="n">
        <v>31</v>
      </c>
      <c r="E3036" s="7" t="n">
        <v>2959</v>
      </c>
      <c r="F3036" s="7" t="inlineStr">
        <is>
          <t>Yes</t>
        </is>
      </c>
      <c r="G3036" s="8" t="n"/>
    </row>
    <row r="3037">
      <c r="A3037" s="8" t="inlineStr">
        <is>
          <t>PGCV_0031_2960</t>
        </is>
      </c>
      <c r="B3037" s="8" t="inlineStr">
        <is>
          <t>COVID-SNL-22-86685</t>
        </is>
      </c>
      <c r="C3037" s="8" t="n"/>
      <c r="D3037" s="7" t="n">
        <v>31</v>
      </c>
      <c r="E3037" s="7" t="n">
        <v>2960</v>
      </c>
      <c r="F3037" s="7" t="inlineStr">
        <is>
          <t>No</t>
        </is>
      </c>
      <c r="G3037" s="8" t="n"/>
    </row>
    <row r="3038">
      <c r="A3038" s="8" t="inlineStr">
        <is>
          <t>PGCV_0031_2961</t>
        </is>
      </c>
      <c r="B3038" s="8" t="inlineStr">
        <is>
          <t>COVID-SNL-22-86706</t>
        </is>
      </c>
      <c r="C3038" s="8" t="n"/>
      <c r="D3038" s="7" t="n">
        <v>31</v>
      </c>
      <c r="E3038" s="7" t="n">
        <v>2961</v>
      </c>
      <c r="F3038" s="7" t="inlineStr">
        <is>
          <t>Yes</t>
        </is>
      </c>
      <c r="G3038" s="8" t="n"/>
    </row>
    <row r="3039">
      <c r="A3039" s="8" t="inlineStr">
        <is>
          <t>PGCV_0031_2962</t>
        </is>
      </c>
      <c r="B3039" s="8" t="inlineStr">
        <is>
          <t>COVID-SNL-22-86709</t>
        </is>
      </c>
      <c r="C3039" s="8" t="n"/>
      <c r="D3039" s="7" t="n">
        <v>31</v>
      </c>
      <c r="E3039" s="7" t="n">
        <v>2962</v>
      </c>
      <c r="F3039" s="7" t="inlineStr">
        <is>
          <t>Yes</t>
        </is>
      </c>
      <c r="G3039" s="8" t="n"/>
    </row>
    <row r="3040">
      <c r="A3040" s="8" t="inlineStr">
        <is>
          <t>PGCV_0031_2963</t>
        </is>
      </c>
      <c r="B3040" s="8" t="inlineStr">
        <is>
          <t>COVID-SNL-22-86875</t>
        </is>
      </c>
      <c r="C3040" s="8" t="n"/>
      <c r="D3040" s="7" t="n">
        <v>31</v>
      </c>
      <c r="E3040" s="7" t="n">
        <v>2963</v>
      </c>
      <c r="F3040" s="7" t="inlineStr">
        <is>
          <t>Yes</t>
        </is>
      </c>
      <c r="G3040" s="8" t="n"/>
    </row>
    <row r="3041">
      <c r="A3041" s="8" t="inlineStr">
        <is>
          <t>PGCV_0031_2964</t>
        </is>
      </c>
      <c r="B3041" s="8" t="inlineStr">
        <is>
          <t>COVID-SNL-22-86730</t>
        </is>
      </c>
      <c r="C3041" s="8" t="n"/>
      <c r="D3041" s="7" t="n">
        <v>31</v>
      </c>
      <c r="E3041" s="7" t="n">
        <v>2964</v>
      </c>
      <c r="F3041" s="7" t="inlineStr">
        <is>
          <t>Yes</t>
        </is>
      </c>
      <c r="G3041" s="8" t="n"/>
    </row>
    <row r="3042">
      <c r="A3042" s="8" t="inlineStr">
        <is>
          <t>PGCV_0031_2965</t>
        </is>
      </c>
      <c r="B3042" s="8" t="inlineStr">
        <is>
          <t>COVID-SNL-22-86795</t>
        </is>
      </c>
      <c r="C3042" s="8" t="n"/>
      <c r="D3042" s="7" t="n">
        <v>31</v>
      </c>
      <c r="E3042" s="7" t="n">
        <v>2965</v>
      </c>
      <c r="F3042" s="7" t="inlineStr">
        <is>
          <t>Yes</t>
        </is>
      </c>
      <c r="G3042" s="8" t="n"/>
    </row>
    <row r="3043">
      <c r="A3043" s="8" t="inlineStr">
        <is>
          <t>PGCV_0031_2966</t>
        </is>
      </c>
      <c r="B3043" s="8" t="inlineStr">
        <is>
          <t>COVID-SNL-22-86796</t>
        </is>
      </c>
      <c r="C3043" s="8" t="n"/>
      <c r="D3043" s="7" t="n">
        <v>31</v>
      </c>
      <c r="E3043" s="7" t="n">
        <v>2966</v>
      </c>
      <c r="F3043" s="7" t="inlineStr">
        <is>
          <t>Yes</t>
        </is>
      </c>
      <c r="G3043" s="8" t="n"/>
    </row>
    <row r="3044">
      <c r="A3044" s="8" t="inlineStr">
        <is>
          <t>PGCV_0031_2967</t>
        </is>
      </c>
      <c r="B3044" s="8" t="inlineStr">
        <is>
          <t>COVID-SNL-22-86797</t>
        </is>
      </c>
      <c r="C3044" s="8" t="n"/>
      <c r="D3044" s="7" t="n">
        <v>31</v>
      </c>
      <c r="E3044" s="7" t="n">
        <v>2967</v>
      </c>
      <c r="F3044" s="7" t="inlineStr">
        <is>
          <t>Yes</t>
        </is>
      </c>
      <c r="G3044" s="8" t="n"/>
    </row>
    <row r="3045">
      <c r="A3045" s="8" t="inlineStr">
        <is>
          <t>PGCV_0031_2968</t>
        </is>
      </c>
      <c r="B3045" s="8" t="inlineStr">
        <is>
          <t>COVID-SNL-22-86821</t>
        </is>
      </c>
      <c r="C3045" s="8" t="n"/>
      <c r="D3045" s="7" t="n">
        <v>31</v>
      </c>
      <c r="E3045" s="7" t="n">
        <v>2968</v>
      </c>
      <c r="F3045" s="7" t="inlineStr">
        <is>
          <t>Yes</t>
        </is>
      </c>
      <c r="G3045" s="8" t="n"/>
    </row>
    <row r="3046">
      <c r="A3046" s="8" t="inlineStr">
        <is>
          <t>PGCV_0031_2969</t>
        </is>
      </c>
      <c r="B3046" s="8" t="inlineStr">
        <is>
          <t>COVID-SNL-22-86891</t>
        </is>
      </c>
      <c r="C3046" s="8" t="n"/>
      <c r="D3046" s="7" t="n">
        <v>31</v>
      </c>
      <c r="E3046" s="7" t="n">
        <v>2969</v>
      </c>
      <c r="F3046" s="7" t="inlineStr">
        <is>
          <t>Yes</t>
        </is>
      </c>
      <c r="G3046" s="8" t="n"/>
    </row>
    <row r="3047">
      <c r="A3047" s="8" t="inlineStr">
        <is>
          <t>PGCV_0031_2970</t>
        </is>
      </c>
      <c r="B3047" s="8" t="inlineStr">
        <is>
          <t>COVID-SNL-22-86925</t>
        </is>
      </c>
      <c r="C3047" s="8" t="n"/>
      <c r="D3047" s="7" t="n">
        <v>31</v>
      </c>
      <c r="E3047" s="7" t="n">
        <v>2970</v>
      </c>
      <c r="F3047" s="7" t="inlineStr">
        <is>
          <t>Yes</t>
        </is>
      </c>
      <c r="G3047" s="8" t="n"/>
    </row>
    <row r="3048">
      <c r="A3048" s="8" t="inlineStr">
        <is>
          <t>PGCV_0031_2971</t>
        </is>
      </c>
      <c r="B3048" s="8" t="inlineStr">
        <is>
          <t>COVID-SNL-22-86954</t>
        </is>
      </c>
      <c r="C3048" s="8" t="n"/>
      <c r="D3048" s="7" t="n">
        <v>31</v>
      </c>
      <c r="E3048" s="7" t="n">
        <v>2971</v>
      </c>
      <c r="F3048" s="7" t="inlineStr">
        <is>
          <t>Yes</t>
        </is>
      </c>
      <c r="G3048" s="8" t="n"/>
    </row>
    <row r="3049">
      <c r="A3049" s="8" t="inlineStr">
        <is>
          <t>PGCV_0031_2972</t>
        </is>
      </c>
      <c r="B3049" s="8" t="inlineStr">
        <is>
          <t>COVID-SNL-22-87051</t>
        </is>
      </c>
      <c r="C3049" s="8" t="n"/>
      <c r="D3049" s="7" t="n">
        <v>31</v>
      </c>
      <c r="E3049" s="7" t="n">
        <v>2972</v>
      </c>
      <c r="F3049" s="7" t="inlineStr">
        <is>
          <t>No</t>
        </is>
      </c>
      <c r="G3049" s="8" t="n"/>
    </row>
    <row r="3050">
      <c r="A3050" s="8" t="inlineStr">
        <is>
          <t>PGCV_0031_2973</t>
        </is>
      </c>
      <c r="B3050" s="8" t="inlineStr">
        <is>
          <t>COVID-SNL-22-87055</t>
        </is>
      </c>
      <c r="C3050" s="8" t="n"/>
      <c r="D3050" s="7" t="n">
        <v>31</v>
      </c>
      <c r="E3050" s="7" t="n">
        <v>2973</v>
      </c>
      <c r="F3050" s="7" t="inlineStr">
        <is>
          <t>Yes</t>
        </is>
      </c>
      <c r="G3050" s="8" t="n"/>
    </row>
    <row r="3051">
      <c r="A3051" s="8" t="inlineStr">
        <is>
          <t>PGCV_0031_2974</t>
        </is>
      </c>
      <c r="B3051" s="8" t="inlineStr">
        <is>
          <t>COVID-SNL-22-87067</t>
        </is>
      </c>
      <c r="C3051" s="8" t="n"/>
      <c r="D3051" s="7" t="n">
        <v>31</v>
      </c>
      <c r="E3051" s="7" t="n">
        <v>2974</v>
      </c>
      <c r="F3051" s="7" t="inlineStr">
        <is>
          <t>Yes</t>
        </is>
      </c>
      <c r="G3051" s="8" t="n"/>
    </row>
    <row r="3052">
      <c r="A3052" s="8" t="inlineStr">
        <is>
          <t>PGCV_0031_2975</t>
        </is>
      </c>
      <c r="B3052" s="8" t="inlineStr">
        <is>
          <t>COVID-SNL-22-87069</t>
        </is>
      </c>
      <c r="C3052" s="8" t="n"/>
      <c r="D3052" s="7" t="n">
        <v>31</v>
      </c>
      <c r="E3052" s="7" t="n">
        <v>2975</v>
      </c>
      <c r="F3052" s="7" t="inlineStr">
        <is>
          <t>Yes</t>
        </is>
      </c>
      <c r="G3052" s="8" t="n"/>
    </row>
    <row r="3053">
      <c r="A3053" s="8" t="inlineStr">
        <is>
          <t>PGCV_0031_2976</t>
        </is>
      </c>
      <c r="B3053" s="8" t="inlineStr">
        <is>
          <t>COVID-SNL-22-87074</t>
        </is>
      </c>
      <c r="C3053" s="8" t="n"/>
      <c r="D3053" s="7" t="n">
        <v>31</v>
      </c>
      <c r="E3053" s="7" t="n">
        <v>2976</v>
      </c>
      <c r="F3053" s="7" t="inlineStr">
        <is>
          <t>Yes</t>
        </is>
      </c>
      <c r="G3053" s="8" t="n"/>
    </row>
    <row r="3054">
      <c r="A3054" s="8" t="inlineStr">
        <is>
          <t>PGCV_0031_2977</t>
        </is>
      </c>
      <c r="B3054" s="8" t="inlineStr">
        <is>
          <t>COVID-SNL-22-87129</t>
        </is>
      </c>
      <c r="C3054" s="8" t="n"/>
      <c r="D3054" s="7" t="n">
        <v>31</v>
      </c>
      <c r="E3054" s="7" t="n">
        <v>2977</v>
      </c>
      <c r="F3054" s="7" t="inlineStr">
        <is>
          <t>Yes</t>
        </is>
      </c>
      <c r="G3054" s="8" t="n"/>
    </row>
    <row r="3055">
      <c r="A3055" s="8" t="inlineStr">
        <is>
          <t>PGCV_0031_2978</t>
        </is>
      </c>
      <c r="B3055" s="8" t="inlineStr">
        <is>
          <t>COVID-SNL-22-87163</t>
        </is>
      </c>
      <c r="C3055" s="8" t="n"/>
      <c r="D3055" s="7" t="n">
        <v>31</v>
      </c>
      <c r="E3055" s="7" t="n">
        <v>2978</v>
      </c>
      <c r="F3055" s="7" t="inlineStr">
        <is>
          <t>Yes</t>
        </is>
      </c>
      <c r="G3055" s="8" t="n"/>
    </row>
    <row r="3056">
      <c r="A3056" s="8" t="inlineStr">
        <is>
          <t>PGCV_0031_2979</t>
        </is>
      </c>
      <c r="B3056" s="8" t="inlineStr">
        <is>
          <t>COVID-SNL-22-87522</t>
        </is>
      </c>
      <c r="C3056" s="8" t="n"/>
      <c r="D3056" s="7" t="n">
        <v>31</v>
      </c>
      <c r="E3056" s="7" t="n">
        <v>2979</v>
      </c>
      <c r="F3056" s="7" t="inlineStr">
        <is>
          <t>Yes</t>
        </is>
      </c>
      <c r="G3056" s="8" t="n"/>
    </row>
    <row r="3057">
      <c r="A3057" s="8" t="inlineStr">
        <is>
          <t>PGCV_0031_2980</t>
        </is>
      </c>
      <c r="B3057" s="8" t="inlineStr">
        <is>
          <t>22-41914</t>
        </is>
      </c>
      <c r="C3057" s="8" t="n"/>
      <c r="D3057" s="7" t="n">
        <v>31</v>
      </c>
      <c r="E3057" s="7" t="n">
        <v>2980</v>
      </c>
      <c r="F3057" s="7" t="inlineStr">
        <is>
          <t>Yes</t>
        </is>
      </c>
      <c r="G3057" s="8" t="n"/>
    </row>
    <row r="3058">
      <c r="A3058" s="8" t="inlineStr">
        <is>
          <t>PGCV_0031_2981</t>
        </is>
      </c>
      <c r="B3058" s="8" t="inlineStr">
        <is>
          <t>22-41957</t>
        </is>
      </c>
      <c r="C3058" s="8" t="n"/>
      <c r="D3058" s="7" t="n">
        <v>31</v>
      </c>
      <c r="E3058" s="7" t="n">
        <v>2981</v>
      </c>
      <c r="F3058" s="7" t="inlineStr">
        <is>
          <t>Yes</t>
        </is>
      </c>
      <c r="G3058" s="8" t="n"/>
    </row>
    <row r="3059">
      <c r="A3059" s="8" t="inlineStr">
        <is>
          <t>PGCV_0031_2982</t>
        </is>
      </c>
      <c r="B3059" s="8" t="inlineStr">
        <is>
          <t>22-41977</t>
        </is>
      </c>
      <c r="C3059" s="8" t="n"/>
      <c r="D3059" s="7" t="n">
        <v>31</v>
      </c>
      <c r="E3059" s="7" t="n">
        <v>2982</v>
      </c>
      <c r="F3059" s="7" t="inlineStr">
        <is>
          <t>Yes</t>
        </is>
      </c>
      <c r="G3059" s="8" t="n"/>
    </row>
    <row r="3060">
      <c r="A3060" s="8" t="inlineStr">
        <is>
          <t>PGCV_0031_2983</t>
        </is>
      </c>
      <c r="B3060" s="8" t="inlineStr">
        <is>
          <t>22-41983</t>
        </is>
      </c>
      <c r="C3060" s="8" t="n"/>
      <c r="D3060" s="7" t="n">
        <v>31</v>
      </c>
      <c r="E3060" s="7" t="n">
        <v>2983</v>
      </c>
      <c r="F3060" s="7" t="inlineStr">
        <is>
          <t>Yes</t>
        </is>
      </c>
      <c r="G3060" s="8" t="n"/>
    </row>
    <row r="3061">
      <c r="A3061" s="8" t="inlineStr">
        <is>
          <t>PGCV_0031_2984</t>
        </is>
      </c>
      <c r="B3061" s="8" t="inlineStr">
        <is>
          <t>22-41984</t>
        </is>
      </c>
      <c r="C3061" s="8" t="n"/>
      <c r="D3061" s="7" t="n">
        <v>31</v>
      </c>
      <c r="E3061" s="7" t="n">
        <v>2984</v>
      </c>
      <c r="F3061" s="7" t="inlineStr">
        <is>
          <t>Yes</t>
        </is>
      </c>
      <c r="G3061" s="8" t="n"/>
    </row>
    <row r="3062">
      <c r="A3062" s="8" t="inlineStr">
        <is>
          <t>PGCV_0031_2985</t>
        </is>
      </c>
      <c r="B3062" s="8" t="inlineStr">
        <is>
          <t>22-42099</t>
        </is>
      </c>
      <c r="C3062" s="8" t="n"/>
      <c r="D3062" s="7" t="n">
        <v>31</v>
      </c>
      <c r="E3062" s="7" t="n">
        <v>2985</v>
      </c>
      <c r="F3062" s="7" t="inlineStr">
        <is>
          <t>Yes</t>
        </is>
      </c>
      <c r="G3062" s="8" t="n"/>
    </row>
    <row r="3063">
      <c r="A3063" s="8" t="inlineStr">
        <is>
          <t>PGCV_0031_2986</t>
        </is>
      </c>
      <c r="B3063" s="8" t="inlineStr">
        <is>
          <t>22-42124</t>
        </is>
      </c>
      <c r="C3063" s="8" t="n"/>
      <c r="D3063" s="7" t="n">
        <v>31</v>
      </c>
      <c r="E3063" s="7" t="n">
        <v>2986</v>
      </c>
      <c r="F3063" s="7" t="inlineStr">
        <is>
          <t>Yes</t>
        </is>
      </c>
      <c r="G3063" s="8" t="n"/>
    </row>
    <row r="3064">
      <c r="A3064" s="8" t="inlineStr">
        <is>
          <t>PGCV_0031_2987</t>
        </is>
      </c>
      <c r="B3064" s="8" t="inlineStr">
        <is>
          <t>22-42126</t>
        </is>
      </c>
      <c r="C3064" s="8" t="n"/>
      <c r="D3064" s="7" t="n">
        <v>31</v>
      </c>
      <c r="E3064" s="7" t="n">
        <v>2987</v>
      </c>
      <c r="F3064" s="7" t="inlineStr">
        <is>
          <t>Yes</t>
        </is>
      </c>
      <c r="G3064" s="8" t="n"/>
    </row>
    <row r="3065">
      <c r="A3065" s="8" t="inlineStr">
        <is>
          <t>PGCV_0031_2988</t>
        </is>
      </c>
      <c r="B3065" s="8" t="inlineStr">
        <is>
          <t>22-42159</t>
        </is>
      </c>
      <c r="C3065" s="8" t="n"/>
      <c r="D3065" s="7" t="n">
        <v>31</v>
      </c>
      <c r="E3065" s="7" t="n">
        <v>2988</v>
      </c>
      <c r="F3065" s="7" t="inlineStr">
        <is>
          <t>Yes</t>
        </is>
      </c>
      <c r="G3065" s="8" t="n"/>
    </row>
    <row r="3066">
      <c r="A3066" s="8" t="inlineStr">
        <is>
          <t>PGCV_0031_2989</t>
        </is>
      </c>
      <c r="B3066" s="8" t="inlineStr">
        <is>
          <t>22-42202</t>
        </is>
      </c>
      <c r="C3066" s="8" t="n"/>
      <c r="D3066" s="7" t="n">
        <v>31</v>
      </c>
      <c r="E3066" s="7" t="n">
        <v>2989</v>
      </c>
      <c r="F3066" s="7" t="inlineStr">
        <is>
          <t>Yes</t>
        </is>
      </c>
      <c r="G3066" s="8" t="n"/>
    </row>
    <row r="3067">
      <c r="A3067" s="8" t="inlineStr">
        <is>
          <t>PGCV_0031_2990</t>
        </is>
      </c>
      <c r="B3067" s="8" t="inlineStr">
        <is>
          <t>22-42243</t>
        </is>
      </c>
      <c r="C3067" s="8" t="n"/>
      <c r="D3067" s="7" t="n">
        <v>31</v>
      </c>
      <c r="E3067" s="7" t="n">
        <v>2990</v>
      </c>
      <c r="F3067" s="7" t="inlineStr">
        <is>
          <t>Yes</t>
        </is>
      </c>
      <c r="G3067" s="8" t="n"/>
    </row>
    <row r="3068">
      <c r="A3068" s="8" t="inlineStr">
        <is>
          <t>PGCV_0031_2991</t>
        </is>
      </c>
      <c r="B3068" s="8" t="inlineStr">
        <is>
          <t>22-42248</t>
        </is>
      </c>
      <c r="C3068" s="8" t="n"/>
      <c r="D3068" s="7" t="n">
        <v>31</v>
      </c>
      <c r="E3068" s="7" t="n">
        <v>2991</v>
      </c>
      <c r="F3068" s="7" t="inlineStr">
        <is>
          <t>Yes</t>
        </is>
      </c>
      <c r="G3068" s="8" t="n"/>
    </row>
    <row r="3069">
      <c r="A3069" s="8" t="inlineStr">
        <is>
          <t>PGCV_0031_2993</t>
        </is>
      </c>
      <c r="B3069" s="8" t="inlineStr">
        <is>
          <t>MOL22-38676</t>
        </is>
      </c>
      <c r="C3069" s="8" t="n"/>
      <c r="D3069" s="7" t="n">
        <v>31</v>
      </c>
      <c r="E3069" s="7" t="n">
        <v>2993</v>
      </c>
      <c r="F3069" s="7" t="inlineStr">
        <is>
          <t>Yes</t>
        </is>
      </c>
      <c r="G3069" s="8" t="n"/>
    </row>
    <row r="3070">
      <c r="A3070" s="8" t="inlineStr">
        <is>
          <t>PGCV_0031_2994</t>
        </is>
      </c>
      <c r="B3070" s="8" t="inlineStr">
        <is>
          <t>MOL22-38720</t>
        </is>
      </c>
      <c r="C3070" s="8" t="n"/>
      <c r="D3070" s="7" t="n">
        <v>31</v>
      </c>
      <c r="E3070" s="7" t="n">
        <v>2994</v>
      </c>
      <c r="F3070" s="7" t="inlineStr">
        <is>
          <t>Yes</t>
        </is>
      </c>
      <c r="G3070" s="8" t="n"/>
    </row>
    <row r="3071">
      <c r="A3071" s="8" t="inlineStr">
        <is>
          <t>PGCV_0031_2995</t>
        </is>
      </c>
      <c r="B3071" s="8" t="inlineStr">
        <is>
          <t>MOL22-38544</t>
        </is>
      </c>
      <c r="C3071" s="8" t="n"/>
      <c r="D3071" s="7" t="n">
        <v>31</v>
      </c>
      <c r="E3071" s="7" t="n">
        <v>2995</v>
      </c>
      <c r="F3071" s="7" t="inlineStr">
        <is>
          <t>Yes</t>
        </is>
      </c>
      <c r="G3071" s="8" t="n"/>
    </row>
    <row r="3072">
      <c r="A3072" s="8" t="inlineStr">
        <is>
          <t>PGCV_0031_2996</t>
        </is>
      </c>
      <c r="B3072" s="8" t="inlineStr">
        <is>
          <t>MOL22-38547</t>
        </is>
      </c>
      <c r="C3072" s="8" t="n"/>
      <c r="D3072" s="7" t="n">
        <v>31</v>
      </c>
      <c r="E3072" s="7" t="n">
        <v>2996</v>
      </c>
      <c r="F3072" s="7" t="inlineStr">
        <is>
          <t>Yes</t>
        </is>
      </c>
      <c r="G3072" s="8" t="n"/>
    </row>
    <row r="3073">
      <c r="A3073" s="8" t="inlineStr">
        <is>
          <t>PGCV_0031_2997</t>
        </is>
      </c>
      <c r="B3073" s="8" t="inlineStr">
        <is>
          <t>MOL22-38699</t>
        </is>
      </c>
      <c r="C3073" s="8" t="n"/>
      <c r="D3073" s="7" t="n">
        <v>31</v>
      </c>
      <c r="E3073" s="7" t="n">
        <v>2997</v>
      </c>
      <c r="F3073" s="7" t="inlineStr">
        <is>
          <t>Yes</t>
        </is>
      </c>
      <c r="G3073" s="8" t="n"/>
    </row>
    <row r="3074">
      <c r="A3074" s="8" t="inlineStr">
        <is>
          <t>PGCV_0031_2998</t>
        </is>
      </c>
      <c r="B3074" s="8" t="inlineStr">
        <is>
          <t>756B117642</t>
        </is>
      </c>
      <c r="C3074" s="8" t="n"/>
      <c r="D3074" s="7" t="n">
        <v>31</v>
      </c>
      <c r="E3074" s="7" t="n">
        <v>2998</v>
      </c>
      <c r="F3074" s="7" t="inlineStr">
        <is>
          <t>Yes</t>
        </is>
      </c>
      <c r="G3074" s="8" t="n"/>
    </row>
    <row r="3075">
      <c r="A3075" s="8" t="inlineStr">
        <is>
          <t>PGCV_0031_2999</t>
        </is>
      </c>
      <c r="B3075" s="8" t="inlineStr">
        <is>
          <t>756B117638</t>
        </is>
      </c>
      <c r="C3075" s="8" t="n"/>
      <c r="D3075" s="7" t="n">
        <v>31</v>
      </c>
      <c r="E3075" s="7" t="n">
        <v>2999</v>
      </c>
      <c r="F3075" s="7" t="inlineStr">
        <is>
          <t>Yes</t>
        </is>
      </c>
      <c r="G3075" s="8" t="n"/>
    </row>
    <row r="3076">
      <c r="A3076" s="8" t="inlineStr">
        <is>
          <t>PGCV_0031_3000</t>
        </is>
      </c>
      <c r="B3076" s="8" t="inlineStr">
        <is>
          <t>755B117504</t>
        </is>
      </c>
      <c r="C3076" s="8" t="n"/>
      <c r="D3076" s="7" t="n">
        <v>31</v>
      </c>
      <c r="E3076" s="7" t="n">
        <v>3000</v>
      </c>
      <c r="F3076" s="7" t="inlineStr">
        <is>
          <t>Yes</t>
        </is>
      </c>
      <c r="G3076" s="8" t="n"/>
    </row>
    <row r="3077">
      <c r="A3077" s="8" t="inlineStr">
        <is>
          <t>PGCV_0031_3001</t>
        </is>
      </c>
      <c r="B3077" s="8" t="inlineStr">
        <is>
          <t>755B117543</t>
        </is>
      </c>
      <c r="C3077" s="8" t="n"/>
      <c r="D3077" s="7" t="n">
        <v>31</v>
      </c>
      <c r="E3077" s="7" t="n">
        <v>3001</v>
      </c>
      <c r="F3077" s="7" t="inlineStr">
        <is>
          <t>Yes</t>
        </is>
      </c>
      <c r="G3077" s="8" t="n"/>
    </row>
    <row r="3078">
      <c r="A3078" s="8" t="inlineStr">
        <is>
          <t>PGCV_0031_3002</t>
        </is>
      </c>
      <c r="B3078" s="8" t="inlineStr">
        <is>
          <t>755B117475</t>
        </is>
      </c>
      <c r="C3078" s="8" t="n"/>
      <c r="D3078" s="7" t="n">
        <v>31</v>
      </c>
      <c r="E3078" s="7" t="n">
        <v>3002</v>
      </c>
      <c r="F3078" s="7" t="inlineStr">
        <is>
          <t>Yes</t>
        </is>
      </c>
      <c r="G3078" s="8" t="n"/>
    </row>
    <row r="3079">
      <c r="A3079" s="8" t="inlineStr">
        <is>
          <t>PGCV_0031_3003</t>
        </is>
      </c>
      <c r="B3079" s="8" t="inlineStr">
        <is>
          <t>755B117483</t>
        </is>
      </c>
      <c r="C3079" s="8" t="n"/>
      <c r="D3079" s="7" t="n">
        <v>31</v>
      </c>
      <c r="E3079" s="7" t="n">
        <v>3003</v>
      </c>
      <c r="F3079" s="7" t="inlineStr">
        <is>
          <t>Yes</t>
        </is>
      </c>
      <c r="G3079" s="8" t="n"/>
    </row>
    <row r="3080">
      <c r="A3080" s="8" t="inlineStr">
        <is>
          <t>PGCV_0031_3004</t>
        </is>
      </c>
      <c r="B3080" s="8" t="inlineStr">
        <is>
          <t>755B117488</t>
        </is>
      </c>
      <c r="C3080" s="8" t="n"/>
      <c r="D3080" s="7" t="n">
        <v>31</v>
      </c>
      <c r="E3080" s="7" t="n">
        <v>3004</v>
      </c>
      <c r="F3080" s="7" t="inlineStr">
        <is>
          <t>Yes</t>
        </is>
      </c>
      <c r="G3080" s="8" t="n"/>
    </row>
    <row r="3081">
      <c r="A3081" s="8" t="inlineStr">
        <is>
          <t>PGCV_0031_3005</t>
        </is>
      </c>
      <c r="B3081" s="8" t="inlineStr">
        <is>
          <t>757B117684</t>
        </is>
      </c>
      <c r="C3081" s="8" t="n"/>
      <c r="D3081" s="7" t="n">
        <v>31</v>
      </c>
      <c r="E3081" s="7" t="n">
        <v>3005</v>
      </c>
      <c r="F3081" s="7" t="inlineStr">
        <is>
          <t>Yes</t>
        </is>
      </c>
      <c r="G3081" s="8" t="n"/>
    </row>
    <row r="3082">
      <c r="A3082" s="8" t="inlineStr">
        <is>
          <t>PGCV_0031_3006</t>
        </is>
      </c>
      <c r="B3082" s="8" t="inlineStr">
        <is>
          <t>757B117690</t>
        </is>
      </c>
      <c r="C3082" s="8" t="n"/>
      <c r="D3082" s="7" t="n">
        <v>31</v>
      </c>
      <c r="E3082" s="7" t="n">
        <v>3006</v>
      </c>
      <c r="F3082" s="7" t="inlineStr">
        <is>
          <t>Yes</t>
        </is>
      </c>
      <c r="G3082" s="8" t="n"/>
    </row>
    <row r="3083">
      <c r="A3083" s="8" t="inlineStr">
        <is>
          <t>PGCV_0031_3007</t>
        </is>
      </c>
      <c r="B3083" s="8" t="inlineStr">
        <is>
          <t>757B117691</t>
        </is>
      </c>
      <c r="C3083" s="8" t="n"/>
      <c r="D3083" s="7" t="n">
        <v>31</v>
      </c>
      <c r="E3083" s="7" t="n">
        <v>3007</v>
      </c>
      <c r="F3083" s="7" t="inlineStr">
        <is>
          <t>Yes</t>
        </is>
      </c>
      <c r="G3083" s="8" t="n"/>
    </row>
    <row r="3084">
      <c r="A3084" s="8" t="inlineStr">
        <is>
          <t>PGCV_0031_3008</t>
        </is>
      </c>
      <c r="B3084" s="8" t="inlineStr">
        <is>
          <t>757B117692</t>
        </is>
      </c>
      <c r="C3084" s="8" t="n"/>
      <c r="D3084" s="7" t="n">
        <v>31</v>
      </c>
      <c r="E3084" s="7" t="n">
        <v>3008</v>
      </c>
      <c r="F3084" s="7" t="inlineStr">
        <is>
          <t>Yes</t>
        </is>
      </c>
      <c r="G3084" s="8" t="n"/>
    </row>
    <row r="3085">
      <c r="A3085" s="8" t="inlineStr">
        <is>
          <t>PGCV_0031_3009</t>
        </is>
      </c>
      <c r="B3085" s="8" t="inlineStr">
        <is>
          <t>758B117759</t>
        </is>
      </c>
      <c r="C3085" s="8" t="n"/>
      <c r="D3085" s="7" t="n">
        <v>31</v>
      </c>
      <c r="E3085" s="7" t="n">
        <v>3009</v>
      </c>
      <c r="F3085" s="7" t="inlineStr">
        <is>
          <t>Yes</t>
        </is>
      </c>
      <c r="G3085" s="8" t="n"/>
    </row>
    <row r="3086">
      <c r="A3086" s="8" t="inlineStr">
        <is>
          <t>PGCV_0031_3010</t>
        </is>
      </c>
      <c r="B3086" s="8" t="inlineStr">
        <is>
          <t>758B117769</t>
        </is>
      </c>
      <c r="C3086" s="8" t="n"/>
      <c r="D3086" s="7" t="n">
        <v>31</v>
      </c>
      <c r="E3086" s="7" t="n">
        <v>3010</v>
      </c>
      <c r="F3086" s="7" t="inlineStr">
        <is>
          <t>Yes</t>
        </is>
      </c>
      <c r="G3086" s="8" t="n"/>
    </row>
    <row r="3087">
      <c r="A3087" s="8" t="inlineStr">
        <is>
          <t>PGCV_0031_3011</t>
        </is>
      </c>
      <c r="B3087" s="8" t="inlineStr">
        <is>
          <t>758B117809</t>
        </is>
      </c>
      <c r="C3087" s="8" t="n"/>
      <c r="D3087" s="7" t="n">
        <v>31</v>
      </c>
      <c r="E3087" s="7" t="n">
        <v>3011</v>
      </c>
      <c r="F3087" s="7" t="inlineStr">
        <is>
          <t>Yes</t>
        </is>
      </c>
      <c r="G3087" s="8" t="n"/>
    </row>
    <row r="3088">
      <c r="A3088" s="8" t="inlineStr">
        <is>
          <t>PGCV_0031_3012</t>
        </is>
      </c>
      <c r="B3088" s="8" t="inlineStr">
        <is>
          <t>759B117887</t>
        </is>
      </c>
      <c r="C3088" s="8" t="n"/>
      <c r="D3088" s="7" t="n">
        <v>31</v>
      </c>
      <c r="E3088" s="7" t="n">
        <v>3012</v>
      </c>
      <c r="F3088" s="7" t="inlineStr">
        <is>
          <t>Yes</t>
        </is>
      </c>
      <c r="G3088" s="8" t="n"/>
    </row>
    <row r="3089">
      <c r="A3089" s="8" t="inlineStr">
        <is>
          <t>PGCV_0031_3013</t>
        </is>
      </c>
      <c r="B3089" s="8" t="inlineStr">
        <is>
          <t>759B117890</t>
        </is>
      </c>
      <c r="C3089" s="8" t="n"/>
      <c r="D3089" s="7" t="n">
        <v>31</v>
      </c>
      <c r="E3089" s="7" t="n">
        <v>3013</v>
      </c>
      <c r="F3089" s="7" t="inlineStr">
        <is>
          <t>Yes</t>
        </is>
      </c>
      <c r="G3089" s="8" t="n"/>
    </row>
    <row r="3090">
      <c r="A3090" s="8" t="inlineStr">
        <is>
          <t>PGCV_0031_3014</t>
        </is>
      </c>
      <c r="B3090" s="8" t="inlineStr">
        <is>
          <t>759B117933</t>
        </is>
      </c>
      <c r="C3090" s="8" t="n"/>
      <c r="D3090" s="7" t="n">
        <v>31</v>
      </c>
      <c r="E3090" s="7" t="n">
        <v>3014</v>
      </c>
      <c r="F3090" s="7" t="inlineStr">
        <is>
          <t>Yes</t>
        </is>
      </c>
      <c r="G3090" s="8" t="n"/>
    </row>
    <row r="3091">
      <c r="A3091" s="8" t="inlineStr">
        <is>
          <t>PGCV_0031_3015</t>
        </is>
      </c>
      <c r="B3091" s="8" t="inlineStr">
        <is>
          <t>759B117941</t>
        </is>
      </c>
      <c r="C3091" s="8" t="n"/>
      <c r="D3091" s="7" t="n">
        <v>31</v>
      </c>
      <c r="E3091" s="7" t="n">
        <v>3015</v>
      </c>
      <c r="F3091" s="7" t="inlineStr">
        <is>
          <t>Yes</t>
        </is>
      </c>
      <c r="G3091" s="8" t="n"/>
    </row>
    <row r="3092">
      <c r="A3092" s="8" t="inlineStr">
        <is>
          <t>PGCV_0031_3016</t>
        </is>
      </c>
      <c r="B3092" s="8" t="inlineStr">
        <is>
          <t>759B117859</t>
        </is>
      </c>
      <c r="C3092" s="8" t="n"/>
      <c r="D3092" s="7" t="n">
        <v>31</v>
      </c>
      <c r="E3092" s="7" t="n">
        <v>3016</v>
      </c>
      <c r="F3092" s="7" t="inlineStr">
        <is>
          <t>Yes</t>
        </is>
      </c>
      <c r="G3092" s="8" t="n"/>
    </row>
    <row r="3093">
      <c r="A3093" s="8" t="inlineStr">
        <is>
          <t>PGCV_0031_3017</t>
        </is>
      </c>
      <c r="B3093" s="8" t="inlineStr">
        <is>
          <t>759B117864</t>
        </is>
      </c>
      <c r="C3093" s="8" t="n"/>
      <c r="D3093" s="7" t="n">
        <v>31</v>
      </c>
      <c r="E3093" s="7" t="n">
        <v>3017</v>
      </c>
      <c r="F3093" s="7" t="inlineStr">
        <is>
          <t>Yes</t>
        </is>
      </c>
      <c r="G3093" s="8" t="n"/>
    </row>
    <row r="3094">
      <c r="A3094" s="8" t="inlineStr">
        <is>
          <t>PGCV_0031_3018</t>
        </is>
      </c>
      <c r="B3094" s="8" t="inlineStr">
        <is>
          <t>760B117998</t>
        </is>
      </c>
      <c r="C3094" s="8" t="n"/>
      <c r="D3094" s="7" t="n">
        <v>31</v>
      </c>
      <c r="E3094" s="7" t="n">
        <v>3018</v>
      </c>
      <c r="F3094" s="7" t="inlineStr">
        <is>
          <t>Yes</t>
        </is>
      </c>
      <c r="G3094" s="8" t="n"/>
    </row>
    <row r="3095">
      <c r="A3095" s="8" t="inlineStr">
        <is>
          <t>PGCV_0031_3019</t>
        </is>
      </c>
      <c r="B3095" s="8" t="inlineStr">
        <is>
          <t>760B118016</t>
        </is>
      </c>
      <c r="C3095" s="8" t="n"/>
      <c r="D3095" s="7" t="n">
        <v>31</v>
      </c>
      <c r="E3095" s="7" t="n">
        <v>3019</v>
      </c>
      <c r="F3095" s="7" t="inlineStr">
        <is>
          <t>Yes</t>
        </is>
      </c>
      <c r="G3095" s="8" t="n"/>
    </row>
    <row r="3096">
      <c r="A3096" s="8" t="inlineStr">
        <is>
          <t>PGCV_0031_3020</t>
        </is>
      </c>
      <c r="B3096" s="8" t="inlineStr">
        <is>
          <t>760B118039</t>
        </is>
      </c>
      <c r="C3096" s="8" t="n"/>
      <c r="D3096" s="7" t="n">
        <v>31</v>
      </c>
      <c r="E3096" s="7" t="n">
        <v>3020</v>
      </c>
      <c r="F3096" s="7" t="inlineStr">
        <is>
          <t>Yes</t>
        </is>
      </c>
      <c r="G3096" s="8" t="n"/>
    </row>
    <row r="3097">
      <c r="A3097" s="8" t="inlineStr">
        <is>
          <t>PGCV_0031_3021</t>
        </is>
      </c>
      <c r="B3097" s="8" t="inlineStr">
        <is>
          <t>761B118104</t>
        </is>
      </c>
      <c r="C3097" s="8" t="n"/>
      <c r="D3097" s="7" t="n">
        <v>31</v>
      </c>
      <c r="E3097" s="7" t="n">
        <v>3021</v>
      </c>
      <c r="F3097" s="7" t="inlineStr">
        <is>
          <t>Yes</t>
        </is>
      </c>
      <c r="G3097" s="8" t="n"/>
    </row>
    <row r="3098">
      <c r="A3098" s="8" t="inlineStr">
        <is>
          <t>PGCV_0031_3022</t>
        </is>
      </c>
      <c r="B3098" s="8" t="inlineStr">
        <is>
          <t>761B118112</t>
        </is>
      </c>
      <c r="C3098" s="8" t="n"/>
      <c r="D3098" s="7" t="n">
        <v>31</v>
      </c>
      <c r="E3098" s="7" t="n">
        <v>3022</v>
      </c>
      <c r="F3098" s="7" t="inlineStr">
        <is>
          <t>Yes</t>
        </is>
      </c>
      <c r="G3098" s="8" t="n"/>
    </row>
    <row r="3099">
      <c r="A3099" s="8" t="inlineStr">
        <is>
          <t>PGCV_0031_3023</t>
        </is>
      </c>
      <c r="B3099" s="8" t="inlineStr">
        <is>
          <t>761B118133</t>
        </is>
      </c>
      <c r="C3099" s="8" t="n"/>
      <c r="D3099" s="7" t="n">
        <v>31</v>
      </c>
      <c r="E3099" s="7" t="n">
        <v>3023</v>
      </c>
      <c r="F3099" s="7" t="inlineStr">
        <is>
          <t>Yes</t>
        </is>
      </c>
      <c r="G3099" s="8" t="n"/>
    </row>
    <row r="3100">
      <c r="A3100" s="8" t="inlineStr">
        <is>
          <t>PGCV_0031_3024</t>
        </is>
      </c>
      <c r="B3100" s="8" t="inlineStr">
        <is>
          <t>761B118147</t>
        </is>
      </c>
      <c r="C3100" s="8" t="n"/>
      <c r="D3100" s="7" t="n">
        <v>31</v>
      </c>
      <c r="E3100" s="7" t="n">
        <v>3024</v>
      </c>
      <c r="F3100" s="7" t="inlineStr">
        <is>
          <t>Yes</t>
        </is>
      </c>
      <c r="G3100" s="8" t="n"/>
    </row>
    <row r="3101">
      <c r="A3101" s="8" t="inlineStr">
        <is>
          <t>PGCV_0031_3025</t>
        </is>
      </c>
      <c r="B3101" s="8" t="inlineStr">
        <is>
          <t>761B118149</t>
        </is>
      </c>
      <c r="C3101" s="8" t="n"/>
      <c r="D3101" s="7" t="n">
        <v>31</v>
      </c>
      <c r="E3101" s="7" t="n">
        <v>3025</v>
      </c>
      <c r="F3101" s="7" t="inlineStr">
        <is>
          <t>Yes</t>
        </is>
      </c>
      <c r="G3101" s="8" t="n"/>
    </row>
    <row r="3102">
      <c r="A3102" s="8" t="inlineStr">
        <is>
          <t>PGCV_0031_3026</t>
        </is>
      </c>
      <c r="B3102" s="8" t="inlineStr">
        <is>
          <t>761B118150</t>
        </is>
      </c>
      <c r="C3102" s="8" t="n"/>
      <c r="D3102" s="7" t="n">
        <v>31</v>
      </c>
      <c r="E3102" s="7" t="n">
        <v>3026</v>
      </c>
      <c r="F3102" s="7" t="inlineStr">
        <is>
          <t>Yes</t>
        </is>
      </c>
      <c r="G3102" s="8" t="n"/>
    </row>
    <row r="3103">
      <c r="A3103" s="8" t="inlineStr">
        <is>
          <t>PGCV_0031_3027</t>
        </is>
      </c>
      <c r="B3103" s="8" t="inlineStr">
        <is>
          <t>761B118161</t>
        </is>
      </c>
      <c r="C3103" s="8" t="n"/>
      <c r="D3103" s="7" t="n">
        <v>31</v>
      </c>
      <c r="E3103" s="7" t="n">
        <v>3027</v>
      </c>
      <c r="F3103" s="7" t="inlineStr">
        <is>
          <t>Yes</t>
        </is>
      </c>
      <c r="G3103" s="8" t="n"/>
    </row>
    <row r="3104">
      <c r="A3104" s="8" t="inlineStr">
        <is>
          <t>PGCV_0031_3028</t>
        </is>
      </c>
      <c r="B3104" s="8" t="inlineStr">
        <is>
          <t>761B118166</t>
        </is>
      </c>
      <c r="C3104" s="8" t="n"/>
      <c r="D3104" s="7" t="n">
        <v>31</v>
      </c>
      <c r="E3104" s="7" t="n">
        <v>3028</v>
      </c>
      <c r="F3104" s="7" t="inlineStr">
        <is>
          <t>Yes</t>
        </is>
      </c>
      <c r="G3104" s="8" t="n"/>
    </row>
    <row r="3105">
      <c r="A3105" s="8" t="inlineStr">
        <is>
          <t>PGCV_0031_3029</t>
        </is>
      </c>
      <c r="B3105" s="8" t="inlineStr">
        <is>
          <t>761B118189</t>
        </is>
      </c>
      <c r="C3105" s="8" t="n"/>
      <c r="D3105" s="7" t="n">
        <v>31</v>
      </c>
      <c r="E3105" s="7" t="n">
        <v>3029</v>
      </c>
      <c r="F3105" s="7" t="inlineStr">
        <is>
          <t>Yes</t>
        </is>
      </c>
      <c r="G3105" s="8" t="n"/>
    </row>
    <row r="3106">
      <c r="A3106" s="8" t="inlineStr">
        <is>
          <t>PGCV_0031_3030</t>
        </is>
      </c>
      <c r="B3106" s="8" t="inlineStr">
        <is>
          <t>762B118208</t>
        </is>
      </c>
      <c r="C3106" s="8" t="n"/>
      <c r="D3106" s="7" t="n">
        <v>31</v>
      </c>
      <c r="E3106" s="7" t="n">
        <v>3030</v>
      </c>
      <c r="F3106" s="7" t="inlineStr">
        <is>
          <t>Yes</t>
        </is>
      </c>
      <c r="G3106" s="8" t="n"/>
    </row>
    <row r="3107">
      <c r="A3107" s="8" t="inlineStr">
        <is>
          <t>PGCV_0031_3031</t>
        </is>
      </c>
      <c r="B3107" s="8" t="inlineStr">
        <is>
          <t>762B118222</t>
        </is>
      </c>
      <c r="C3107" s="8" t="n"/>
      <c r="D3107" s="7" t="n">
        <v>31</v>
      </c>
      <c r="E3107" s="7" t="n">
        <v>3031</v>
      </c>
      <c r="F3107" s="7" t="inlineStr">
        <is>
          <t>Yes</t>
        </is>
      </c>
      <c r="G3107" s="8" t="n"/>
    </row>
    <row r="3108">
      <c r="A3108" s="8" t="inlineStr">
        <is>
          <t>PGCV_0031_3032</t>
        </is>
      </c>
      <c r="B3108" s="8" t="inlineStr">
        <is>
          <t>762B118223</t>
        </is>
      </c>
      <c r="C3108" s="8" t="n"/>
      <c r="D3108" s="7" t="n">
        <v>31</v>
      </c>
      <c r="E3108" s="7" t="n">
        <v>3032</v>
      </c>
      <c r="F3108" s="7" t="inlineStr">
        <is>
          <t>Yes</t>
        </is>
      </c>
      <c r="G3108" s="8" t="n"/>
    </row>
    <row r="3109">
      <c r="A3109" s="8" t="inlineStr">
        <is>
          <t>PGCV_0031_3033</t>
        </is>
      </c>
      <c r="B3109" s="8" t="inlineStr">
        <is>
          <t>762B118259</t>
        </is>
      </c>
      <c r="C3109" s="8" t="n"/>
      <c r="D3109" s="7" t="n">
        <v>31</v>
      </c>
      <c r="E3109" s="7" t="n">
        <v>3033</v>
      </c>
      <c r="F3109" s="7" t="inlineStr">
        <is>
          <t>Yes</t>
        </is>
      </c>
      <c r="G3109" s="8" t="n"/>
    </row>
    <row r="3110">
      <c r="A3110" s="8" t="inlineStr">
        <is>
          <t>PGCV_0031_3034</t>
        </is>
      </c>
      <c r="B3110" s="8" t="inlineStr">
        <is>
          <t>762B118263</t>
        </is>
      </c>
      <c r="C3110" s="8" t="n"/>
      <c r="D3110" s="7" t="n">
        <v>31</v>
      </c>
      <c r="E3110" s="7" t="n">
        <v>3034</v>
      </c>
      <c r="F3110" s="7" t="inlineStr">
        <is>
          <t>Yes</t>
        </is>
      </c>
      <c r="G3110" s="8" t="n"/>
    </row>
    <row r="3111">
      <c r="A3111" s="8" t="inlineStr">
        <is>
          <t>PGCV_0031_3035</t>
        </is>
      </c>
      <c r="B3111" s="8" t="inlineStr">
        <is>
          <t>762B118284</t>
        </is>
      </c>
      <c r="C3111" s="8" t="n"/>
      <c r="D3111" s="7" t="n">
        <v>31</v>
      </c>
      <c r="E3111" s="7" t="n">
        <v>3035</v>
      </c>
      <c r="F3111" s="7" t="inlineStr">
        <is>
          <t>Yes</t>
        </is>
      </c>
      <c r="G3111" s="8" t="n"/>
    </row>
    <row r="3112">
      <c r="A3112" s="8" t="inlineStr">
        <is>
          <t>PGCV_0031_3036</t>
        </is>
      </c>
      <c r="B3112" s="8" t="inlineStr">
        <is>
          <t>762B118292</t>
        </is>
      </c>
      <c r="C3112" s="8" t="n"/>
      <c r="D3112" s="7" t="n">
        <v>31</v>
      </c>
      <c r="E3112" s="7" t="n">
        <v>3036</v>
      </c>
      <c r="F3112" s="7" t="inlineStr">
        <is>
          <t>Yes</t>
        </is>
      </c>
      <c r="G3112" s="8" t="n"/>
    </row>
    <row r="3113">
      <c r="A3113" s="8" t="inlineStr">
        <is>
          <t>PGCV_0031_3037</t>
        </is>
      </c>
      <c r="B3113" s="8" t="inlineStr">
        <is>
          <t>762B118316</t>
        </is>
      </c>
      <c r="C3113" s="8" t="n"/>
      <c r="D3113" s="7" t="n">
        <v>31</v>
      </c>
      <c r="E3113" s="7" t="n">
        <v>3037</v>
      </c>
      <c r="F3113" s="7" t="inlineStr">
        <is>
          <t>Yes</t>
        </is>
      </c>
      <c r="G3113" s="8" t="n"/>
    </row>
    <row r="3114">
      <c r="A3114" s="8" t="inlineStr">
        <is>
          <t>PGCV_0031_3038</t>
        </is>
      </c>
      <c r="B3114" s="8" t="inlineStr">
        <is>
          <t>763B118380</t>
        </is>
      </c>
      <c r="C3114" s="8" t="n"/>
      <c r="D3114" s="7" t="n">
        <v>31</v>
      </c>
      <c r="E3114" s="7" t="n">
        <v>3038</v>
      </c>
      <c r="F3114" s="7" t="inlineStr">
        <is>
          <t>Yes</t>
        </is>
      </c>
      <c r="G3114" s="8" t="n"/>
    </row>
    <row r="3115">
      <c r="A3115" s="8" t="inlineStr">
        <is>
          <t>PGCV_0031_3039</t>
        </is>
      </c>
      <c r="B3115" s="8" t="inlineStr">
        <is>
          <t>763B118386</t>
        </is>
      </c>
      <c r="C3115" s="8" t="n"/>
      <c r="D3115" s="7" t="n">
        <v>31</v>
      </c>
      <c r="E3115" s="7" t="n">
        <v>3039</v>
      </c>
      <c r="F3115" s="7" t="inlineStr">
        <is>
          <t>Yes</t>
        </is>
      </c>
      <c r="G3115" s="8" t="n"/>
    </row>
    <row r="3116">
      <c r="A3116" s="8" t="inlineStr">
        <is>
          <t>PGCV_0031_3040</t>
        </is>
      </c>
      <c r="B3116" s="8" t="inlineStr">
        <is>
          <t>763B118414</t>
        </is>
      </c>
      <c r="C3116" s="8" t="n"/>
      <c r="D3116" s="7" t="n">
        <v>31</v>
      </c>
      <c r="E3116" s="7" t="n">
        <v>3040</v>
      </c>
      <c r="F3116" s="7" t="inlineStr">
        <is>
          <t>Yes</t>
        </is>
      </c>
      <c r="G3116" s="8" t="n"/>
    </row>
    <row r="3117">
      <c r="A3117" s="8" t="inlineStr">
        <is>
          <t>PGCV_0031_3041</t>
        </is>
      </c>
      <c r="B3117" s="8" t="inlineStr">
        <is>
          <t>763B118433</t>
        </is>
      </c>
      <c r="C3117" s="8" t="n"/>
      <c r="D3117" s="7" t="n">
        <v>31</v>
      </c>
      <c r="E3117" s="7" t="n">
        <v>3041</v>
      </c>
      <c r="F3117" s="7" t="inlineStr">
        <is>
          <t>Yes</t>
        </is>
      </c>
      <c r="G3117" s="8" t="n"/>
    </row>
    <row r="3118">
      <c r="A3118" s="8" t="inlineStr">
        <is>
          <t>PGCV_0031_3042</t>
        </is>
      </c>
      <c r="B3118" s="8" t="inlineStr">
        <is>
          <t>764B118518</t>
        </is>
      </c>
      <c r="C3118" s="8" t="n"/>
      <c r="D3118" s="7" t="n">
        <v>31</v>
      </c>
      <c r="E3118" s="7" t="n">
        <v>3042</v>
      </c>
      <c r="F3118" s="7" t="inlineStr">
        <is>
          <t>Yes</t>
        </is>
      </c>
      <c r="G3118" s="8" t="n"/>
    </row>
    <row r="3119">
      <c r="A3119" s="8" t="inlineStr">
        <is>
          <t>PGCV_0031_3043</t>
        </is>
      </c>
      <c r="B3119" s="8" t="inlineStr">
        <is>
          <t>764B118522</t>
        </is>
      </c>
      <c r="C3119" s="8" t="n"/>
      <c r="D3119" s="7" t="n">
        <v>31</v>
      </c>
      <c r="E3119" s="7" t="n">
        <v>3043</v>
      </c>
      <c r="F3119" s="7" t="inlineStr">
        <is>
          <t>Yes</t>
        </is>
      </c>
      <c r="G3119" s="8" t="n"/>
    </row>
    <row r="3120">
      <c r="A3120" s="8" t="inlineStr">
        <is>
          <t>PGCV_0031_3044</t>
        </is>
      </c>
      <c r="B3120" s="8" t="inlineStr">
        <is>
          <t>C37074</t>
        </is>
      </c>
      <c r="C3120" s="8" t="n"/>
      <c r="D3120" s="7" t="n">
        <v>31</v>
      </c>
      <c r="E3120" s="7" t="n">
        <v>3044</v>
      </c>
      <c r="F3120" s="7" t="inlineStr">
        <is>
          <t>Yes</t>
        </is>
      </c>
      <c r="G3120" s="8" t="n"/>
    </row>
    <row r="3121">
      <c r="A3121" s="8" t="inlineStr">
        <is>
          <t>PGCV_0031_3045</t>
        </is>
      </c>
      <c r="B3121" s="8" t="inlineStr">
        <is>
          <t>C37083</t>
        </is>
      </c>
      <c r="C3121" s="8" t="n"/>
      <c r="D3121" s="7" t="n">
        <v>31</v>
      </c>
      <c r="E3121" s="7" t="n">
        <v>3045</v>
      </c>
      <c r="F3121" s="7" t="inlineStr">
        <is>
          <t>Yes</t>
        </is>
      </c>
      <c r="G3121" s="8" t="n"/>
    </row>
    <row r="3122">
      <c r="A3122" s="8" t="inlineStr">
        <is>
          <t>PGCV_0031_3046</t>
        </is>
      </c>
      <c r="B3122" s="8" t="inlineStr">
        <is>
          <t>C37095</t>
        </is>
      </c>
      <c r="C3122" s="8" t="n"/>
      <c r="D3122" s="7" t="n">
        <v>31</v>
      </c>
      <c r="E3122" s="7" t="n">
        <v>3046</v>
      </c>
      <c r="F3122" s="7" t="inlineStr">
        <is>
          <t>Yes</t>
        </is>
      </c>
      <c r="G3122" s="8" t="n"/>
    </row>
    <row r="3123">
      <c r="A3123" s="8" t="inlineStr">
        <is>
          <t>PGCV_0031_3047</t>
        </is>
      </c>
      <c r="B3123" s="8" t="inlineStr">
        <is>
          <t>C37113</t>
        </is>
      </c>
      <c r="C3123" s="8" t="n"/>
      <c r="D3123" s="7" t="n">
        <v>31</v>
      </c>
      <c r="E3123" s="7" t="n">
        <v>3047</v>
      </c>
      <c r="F3123" s="7" t="inlineStr">
        <is>
          <t>Yes</t>
        </is>
      </c>
      <c r="G3123" s="8" t="n"/>
    </row>
    <row r="3124">
      <c r="A3124" s="8" t="inlineStr">
        <is>
          <t>PGCV_0031_3048</t>
        </is>
      </c>
      <c r="B3124" s="8" t="inlineStr">
        <is>
          <t>C37127</t>
        </is>
      </c>
      <c r="C3124" s="8" t="n"/>
      <c r="D3124" s="7" t="n">
        <v>31</v>
      </c>
      <c r="E3124" s="7" t="n">
        <v>3048</v>
      </c>
      <c r="F3124" s="7" t="inlineStr">
        <is>
          <t>Yes</t>
        </is>
      </c>
      <c r="G3124" s="8" t="n"/>
    </row>
    <row r="3125">
      <c r="A3125" s="8" t="inlineStr">
        <is>
          <t>PGCV_0031_3049</t>
        </is>
      </c>
      <c r="B3125" s="8" t="inlineStr">
        <is>
          <t>C37128</t>
        </is>
      </c>
      <c r="C3125" s="8" t="n"/>
      <c r="D3125" s="7" t="n">
        <v>31</v>
      </c>
      <c r="E3125" s="7" t="n">
        <v>3049</v>
      </c>
      <c r="F3125" s="7" t="inlineStr">
        <is>
          <t>Yes</t>
        </is>
      </c>
      <c r="G3125" s="8" t="n"/>
    </row>
    <row r="3126">
      <c r="A3126" s="8" t="inlineStr">
        <is>
          <t>PGCV_0031_3050</t>
        </is>
      </c>
      <c r="B3126" s="8" t="inlineStr">
        <is>
          <t>C37129</t>
        </is>
      </c>
      <c r="C3126" s="8" t="n"/>
      <c r="D3126" s="7" t="n">
        <v>31</v>
      </c>
      <c r="E3126" s="7" t="n">
        <v>3050</v>
      </c>
      <c r="F3126" s="7" t="inlineStr">
        <is>
          <t>Yes</t>
        </is>
      </c>
      <c r="G3126" s="8" t="n"/>
    </row>
    <row r="3127">
      <c r="A3127" s="8" t="inlineStr">
        <is>
          <t>PGCV_0031_3051</t>
        </is>
      </c>
      <c r="B3127" s="8" t="inlineStr">
        <is>
          <t>C37130</t>
        </is>
      </c>
      <c r="C3127" s="8" t="n"/>
      <c r="D3127" s="7" t="n">
        <v>31</v>
      </c>
      <c r="E3127" s="7" t="n">
        <v>3051</v>
      </c>
      <c r="F3127" s="7" t="inlineStr">
        <is>
          <t>Yes</t>
        </is>
      </c>
      <c r="G3127" s="8" t="n"/>
    </row>
    <row r="3128">
      <c r="A3128" s="8" t="inlineStr">
        <is>
          <t>PGCV_0031_3052</t>
        </is>
      </c>
      <c r="B3128" s="8" t="inlineStr">
        <is>
          <t>C37131</t>
        </is>
      </c>
      <c r="C3128" s="8" t="n"/>
      <c r="D3128" s="7" t="n">
        <v>31</v>
      </c>
      <c r="E3128" s="7" t="n">
        <v>3052</v>
      </c>
      <c r="F3128" s="7" t="inlineStr">
        <is>
          <t>Yes</t>
        </is>
      </c>
      <c r="G3128" s="8" t="n"/>
    </row>
    <row r="3129">
      <c r="A3129" s="8" t="inlineStr">
        <is>
          <t>PGCV_0031_3053</t>
        </is>
      </c>
      <c r="B3129" s="8" t="inlineStr">
        <is>
          <t>C37154</t>
        </is>
      </c>
      <c r="C3129" s="8" t="n"/>
      <c r="D3129" s="7" t="n">
        <v>31</v>
      </c>
      <c r="E3129" s="7" t="n">
        <v>3053</v>
      </c>
      <c r="F3129" s="7" t="inlineStr">
        <is>
          <t>Yes</t>
        </is>
      </c>
      <c r="G3129" s="8" t="n"/>
    </row>
    <row r="3130">
      <c r="A3130" s="8" t="inlineStr">
        <is>
          <t>PGCV_0031_3054</t>
        </is>
      </c>
      <c r="B3130" s="8" t="inlineStr">
        <is>
          <t>C37160</t>
        </is>
      </c>
      <c r="C3130" s="8" t="n"/>
      <c r="D3130" s="7" t="n">
        <v>31</v>
      </c>
      <c r="E3130" s="7" t="n">
        <v>3054</v>
      </c>
      <c r="F3130" s="7" t="inlineStr">
        <is>
          <t>Yes</t>
        </is>
      </c>
      <c r="G3130" s="8" t="n"/>
    </row>
    <row r="3131">
      <c r="A3131" s="8" t="inlineStr">
        <is>
          <t>PGCV_0031_3055</t>
        </is>
      </c>
      <c r="B3131" s="8" t="inlineStr">
        <is>
          <t>C37161</t>
        </is>
      </c>
      <c r="C3131" s="8" t="n"/>
      <c r="D3131" s="7" t="n">
        <v>31</v>
      </c>
      <c r="E3131" s="7" t="n">
        <v>3055</v>
      </c>
      <c r="F3131" s="7" t="inlineStr">
        <is>
          <t>Yes</t>
        </is>
      </c>
      <c r="G3131" s="8" t="n"/>
    </row>
    <row r="3132">
      <c r="A3132" s="8" t="inlineStr">
        <is>
          <t>PGCV_0031_3056</t>
        </is>
      </c>
      <c r="B3132" s="8" t="inlineStr">
        <is>
          <t>C37162</t>
        </is>
      </c>
      <c r="C3132" s="8" t="n"/>
      <c r="D3132" s="7" t="n">
        <v>31</v>
      </c>
      <c r="E3132" s="7" t="n">
        <v>3056</v>
      </c>
      <c r="F3132" s="7" t="inlineStr">
        <is>
          <t>Yes</t>
        </is>
      </c>
      <c r="G3132" s="8" t="n"/>
    </row>
    <row r="3133">
      <c r="A3133" s="8" t="inlineStr">
        <is>
          <t>PGCV_0031_3057</t>
        </is>
      </c>
      <c r="B3133" s="8" t="inlineStr">
        <is>
          <t>C37182</t>
        </is>
      </c>
      <c r="C3133" s="8" t="n"/>
      <c r="D3133" s="7" t="n">
        <v>31</v>
      </c>
      <c r="E3133" s="7" t="n">
        <v>3057</v>
      </c>
      <c r="F3133" s="7" t="inlineStr">
        <is>
          <t>Yes</t>
        </is>
      </c>
      <c r="G3133" s="8" t="n"/>
    </row>
    <row r="3134">
      <c r="A3134" s="8" t="inlineStr">
        <is>
          <t>PGCV_0031_3058</t>
        </is>
      </c>
      <c r="B3134" s="8" t="inlineStr">
        <is>
          <t>C37219</t>
        </is>
      </c>
      <c r="C3134" s="8" t="n"/>
      <c r="D3134" s="7" t="n">
        <v>31</v>
      </c>
      <c r="E3134" s="7" t="n">
        <v>3058</v>
      </c>
      <c r="F3134" s="7" t="inlineStr">
        <is>
          <t>Yes</t>
        </is>
      </c>
      <c r="G3134" s="8" t="n"/>
    </row>
    <row r="3135">
      <c r="A3135" s="8" t="inlineStr">
        <is>
          <t>PGCV_0031_3059</t>
        </is>
      </c>
      <c r="B3135" s="8" t="inlineStr">
        <is>
          <t>C37227</t>
        </is>
      </c>
      <c r="C3135" s="8" t="n"/>
      <c r="D3135" s="7" t="n">
        <v>31</v>
      </c>
      <c r="E3135" s="7" t="n">
        <v>3059</v>
      </c>
      <c r="F3135" s="7" t="inlineStr">
        <is>
          <t>No</t>
        </is>
      </c>
      <c r="G3135" s="8" t="n"/>
    </row>
    <row r="3136">
      <c r="A3136" s="8" t="inlineStr">
        <is>
          <t>PGCV_0031_3060</t>
        </is>
      </c>
      <c r="B3136" s="8" t="inlineStr">
        <is>
          <t>C37266</t>
        </is>
      </c>
      <c r="C3136" s="8" t="n"/>
      <c r="D3136" s="7" t="n">
        <v>31</v>
      </c>
      <c r="E3136" s="7" t="n">
        <v>3060</v>
      </c>
      <c r="F3136" s="7" t="inlineStr">
        <is>
          <t>Yes</t>
        </is>
      </c>
      <c r="G3136" s="8" t="n"/>
    </row>
    <row r="3137">
      <c r="A3137" s="8" t="inlineStr">
        <is>
          <t>PGCV_0031_3061</t>
        </is>
      </c>
      <c r="B3137" s="8" t="inlineStr">
        <is>
          <t>C37297</t>
        </is>
      </c>
      <c r="C3137" s="8" t="n"/>
      <c r="D3137" s="7" t="n">
        <v>31</v>
      </c>
      <c r="E3137" s="7" t="n">
        <v>3061</v>
      </c>
      <c r="F3137" s="7" t="inlineStr">
        <is>
          <t>Yes</t>
        </is>
      </c>
      <c r="G3137" s="8" t="n"/>
    </row>
    <row r="3138">
      <c r="A3138" s="8" t="inlineStr">
        <is>
          <t>PGCV_0031_3062</t>
        </is>
      </c>
      <c r="B3138" s="8" t="inlineStr">
        <is>
          <t>C37318</t>
        </is>
      </c>
      <c r="C3138" s="8" t="n"/>
      <c r="D3138" s="7" t="n">
        <v>31</v>
      </c>
      <c r="E3138" s="7" t="n">
        <v>3062</v>
      </c>
      <c r="F3138" s="7" t="inlineStr">
        <is>
          <t>No</t>
        </is>
      </c>
      <c r="G3138" s="8" t="n"/>
    </row>
    <row r="3139">
      <c r="A3139" s="8" t="inlineStr">
        <is>
          <t>PGCV_0031_3063</t>
        </is>
      </c>
      <c r="B3139" s="8" t="inlineStr">
        <is>
          <t>C37321</t>
        </is>
      </c>
      <c r="C3139" s="8" t="n"/>
      <c r="D3139" s="7" t="n">
        <v>31</v>
      </c>
      <c r="E3139" s="7" t="n">
        <v>3063</v>
      </c>
      <c r="F3139" s="7" t="inlineStr">
        <is>
          <t>Yes</t>
        </is>
      </c>
      <c r="G3139" s="8" t="n"/>
    </row>
    <row r="3140">
      <c r="A3140" s="8" t="inlineStr">
        <is>
          <t>PGCV_0031_3064</t>
        </is>
      </c>
      <c r="B3140" s="8" t="inlineStr">
        <is>
          <t>C37342</t>
        </is>
      </c>
      <c r="C3140" s="8" t="n"/>
      <c r="D3140" s="7" t="n">
        <v>31</v>
      </c>
      <c r="E3140" s="7" t="n">
        <v>3064</v>
      </c>
      <c r="F3140" s="7" t="inlineStr">
        <is>
          <t>Yes</t>
        </is>
      </c>
      <c r="G3140" s="8" t="n"/>
    </row>
    <row r="3141">
      <c r="A3141" s="8" t="inlineStr">
        <is>
          <t>PGCV_0031_3065</t>
        </is>
      </c>
      <c r="B3141" s="8" t="inlineStr">
        <is>
          <t>C37345</t>
        </is>
      </c>
      <c r="C3141" s="8" t="n"/>
      <c r="D3141" s="7" t="n">
        <v>31</v>
      </c>
      <c r="E3141" s="7" t="n">
        <v>3065</v>
      </c>
      <c r="F3141" s="7" t="inlineStr">
        <is>
          <t>Yes</t>
        </is>
      </c>
      <c r="G3141" s="8" t="n"/>
    </row>
    <row r="3142">
      <c r="A3142" s="8" t="inlineStr">
        <is>
          <t>PGCV_0031_3066</t>
        </is>
      </c>
      <c r="B3142" s="8" t="inlineStr">
        <is>
          <t>C37351</t>
        </is>
      </c>
      <c r="C3142" s="8" t="n"/>
      <c r="D3142" s="7" t="n">
        <v>31</v>
      </c>
      <c r="E3142" s="7" t="n">
        <v>3066</v>
      </c>
      <c r="F3142" s="7" t="inlineStr">
        <is>
          <t>Yes</t>
        </is>
      </c>
      <c r="G3142" s="8" t="n"/>
    </row>
    <row r="3143">
      <c r="A3143" s="8" t="inlineStr">
        <is>
          <t>PGCV_0031_3067</t>
        </is>
      </c>
      <c r="B3143" s="8" t="inlineStr">
        <is>
          <t>C37352</t>
        </is>
      </c>
      <c r="C3143" s="8" t="n"/>
      <c r="D3143" s="7" t="n">
        <v>31</v>
      </c>
      <c r="E3143" s="7" t="n">
        <v>3067</v>
      </c>
      <c r="F3143" s="7" t="inlineStr">
        <is>
          <t>Yes</t>
        </is>
      </c>
      <c r="G3143" s="8" t="n"/>
    </row>
    <row r="3144">
      <c r="A3144" s="8" t="inlineStr">
        <is>
          <t>PGCV_0031_3068</t>
        </is>
      </c>
      <c r="B3144" s="8" t="inlineStr">
        <is>
          <t>C37353</t>
        </is>
      </c>
      <c r="C3144" s="8" t="n"/>
      <c r="D3144" s="7" t="n">
        <v>31</v>
      </c>
      <c r="E3144" s="7" t="n">
        <v>3068</v>
      </c>
      <c r="F3144" s="7" t="inlineStr">
        <is>
          <t>No</t>
        </is>
      </c>
      <c r="G3144" s="8" t="n"/>
    </row>
    <row r="3145">
      <c r="A3145" s="8" t="inlineStr">
        <is>
          <t>PGCV_0031_3069</t>
        </is>
      </c>
      <c r="B3145" s="8" t="inlineStr">
        <is>
          <t>C37358</t>
        </is>
      </c>
      <c r="C3145" s="8" t="n"/>
      <c r="D3145" s="7" t="n">
        <v>31</v>
      </c>
      <c r="E3145" s="7" t="n">
        <v>3069</v>
      </c>
      <c r="F3145" s="7" t="inlineStr">
        <is>
          <t>Yes</t>
        </is>
      </c>
      <c r="G3145" s="8" t="n"/>
    </row>
    <row r="3146">
      <c r="A3146" s="8" t="inlineStr">
        <is>
          <t>PGCV_0031_3070</t>
        </is>
      </c>
      <c r="B3146" s="8" t="inlineStr">
        <is>
          <t>C37362</t>
        </is>
      </c>
      <c r="C3146" s="8" t="n"/>
      <c r="D3146" s="7" t="n">
        <v>31</v>
      </c>
      <c r="E3146" s="7" t="n">
        <v>3070</v>
      </c>
      <c r="F3146" s="7" t="inlineStr">
        <is>
          <t>Yes</t>
        </is>
      </c>
      <c r="G3146" s="8" t="n"/>
    </row>
    <row r="3147">
      <c r="A3147" s="8" t="inlineStr">
        <is>
          <t>PGCV_0031_3071</t>
        </is>
      </c>
      <c r="B3147" s="8" t="inlineStr">
        <is>
          <t>C37382</t>
        </is>
      </c>
      <c r="C3147" s="8" t="n"/>
      <c r="D3147" s="7" t="n">
        <v>31</v>
      </c>
      <c r="E3147" s="7" t="n">
        <v>3071</v>
      </c>
      <c r="F3147" s="7" t="inlineStr">
        <is>
          <t>Yes</t>
        </is>
      </c>
      <c r="G3147" s="8" t="n"/>
    </row>
    <row r="3148">
      <c r="A3148" s="8" t="inlineStr">
        <is>
          <t>PGCV_0031_3072</t>
        </is>
      </c>
      <c r="B3148" s="8" t="inlineStr">
        <is>
          <t>C37415</t>
        </is>
      </c>
      <c r="C3148" s="8" t="n"/>
      <c r="D3148" s="7" t="n">
        <v>31</v>
      </c>
      <c r="E3148" s="7" t="n">
        <v>3072</v>
      </c>
      <c r="F3148" s="7" t="inlineStr">
        <is>
          <t>Yes</t>
        </is>
      </c>
      <c r="G3148" s="8" t="n"/>
    </row>
    <row r="3149">
      <c r="A3149" s="8" t="inlineStr">
        <is>
          <t>PGCV_0031_3073</t>
        </is>
      </c>
      <c r="B3149" s="8" t="inlineStr">
        <is>
          <t>C37429</t>
        </is>
      </c>
      <c r="C3149" s="8" t="n"/>
      <c r="D3149" s="7" t="n">
        <v>31</v>
      </c>
      <c r="E3149" s="7" t="n">
        <v>3073</v>
      </c>
      <c r="F3149" s="7" t="inlineStr">
        <is>
          <t>Yes</t>
        </is>
      </c>
      <c r="G3149" s="8" t="n"/>
    </row>
    <row r="3150">
      <c r="A3150" s="8" t="inlineStr">
        <is>
          <t>PGCV_0031_3074</t>
        </is>
      </c>
      <c r="B3150" s="8" t="inlineStr">
        <is>
          <t>C37532</t>
        </is>
      </c>
      <c r="C3150" s="8" t="n"/>
      <c r="D3150" s="7" t="n">
        <v>31</v>
      </c>
      <c r="E3150" s="7" t="n">
        <v>3074</v>
      </c>
      <c r="F3150" s="7" t="inlineStr">
        <is>
          <t>Yes</t>
        </is>
      </c>
      <c r="G3150" s="8" t="n"/>
    </row>
    <row r="3151">
      <c r="A3151" s="8" t="inlineStr">
        <is>
          <t>PGCV_0031_3075</t>
        </is>
      </c>
      <c r="B3151" s="8" t="inlineStr">
        <is>
          <t>C37535</t>
        </is>
      </c>
      <c r="C3151" s="8" t="n"/>
      <c r="D3151" s="7" t="n">
        <v>31</v>
      </c>
      <c r="E3151" s="7" t="n">
        <v>3075</v>
      </c>
      <c r="F3151" s="7" t="inlineStr">
        <is>
          <t>Yes</t>
        </is>
      </c>
      <c r="G3151" s="8" t="n"/>
    </row>
    <row r="3152">
      <c r="A3152" s="8" t="inlineStr">
        <is>
          <t>PGCV_0031_3076</t>
        </is>
      </c>
      <c r="B3152" s="8" t="inlineStr">
        <is>
          <t>C37538</t>
        </is>
      </c>
      <c r="C3152" s="8" t="n"/>
      <c r="D3152" s="7" t="n">
        <v>31</v>
      </c>
      <c r="E3152" s="7" t="n">
        <v>3076</v>
      </c>
      <c r="F3152" s="7" t="inlineStr">
        <is>
          <t>Yes</t>
        </is>
      </c>
      <c r="G3152" s="8" t="n"/>
    </row>
    <row r="3153">
      <c r="A3153" s="8" t="inlineStr">
        <is>
          <t>PGCV_0031_3077</t>
        </is>
      </c>
      <c r="B3153" s="8" t="inlineStr">
        <is>
          <t>C37544</t>
        </is>
      </c>
      <c r="C3153" s="8" t="n"/>
      <c r="D3153" s="7" t="n">
        <v>31</v>
      </c>
      <c r="E3153" s="7" t="n">
        <v>3077</v>
      </c>
      <c r="F3153" s="7" t="inlineStr">
        <is>
          <t>Yes</t>
        </is>
      </c>
      <c r="G3153" s="8" t="n"/>
    </row>
    <row r="3154">
      <c r="A3154" s="8" t="inlineStr">
        <is>
          <t>PGCV_0031_3078</t>
        </is>
      </c>
      <c r="B3154" s="8" t="inlineStr">
        <is>
          <t>C37558</t>
        </is>
      </c>
      <c r="C3154" s="8" t="n"/>
      <c r="D3154" s="7" t="n">
        <v>31</v>
      </c>
      <c r="E3154" s="7" t="n">
        <v>3078</v>
      </c>
      <c r="F3154" s="7" t="inlineStr">
        <is>
          <t>Yes</t>
        </is>
      </c>
      <c r="G3154" s="8" t="n"/>
    </row>
    <row r="3155">
      <c r="A3155" s="8" t="inlineStr">
        <is>
          <t>PGCV_0031_3079</t>
        </is>
      </c>
      <c r="B3155" s="8" t="inlineStr">
        <is>
          <t>C37615</t>
        </is>
      </c>
      <c r="C3155" s="8" t="n"/>
      <c r="D3155" s="7" t="n">
        <v>31</v>
      </c>
      <c r="E3155" s="7" t="n">
        <v>3079</v>
      </c>
      <c r="F3155" s="7" t="inlineStr">
        <is>
          <t>Yes</t>
        </is>
      </c>
      <c r="G3155" s="8" t="n"/>
    </row>
    <row r="3156">
      <c r="A3156" s="8" t="inlineStr">
        <is>
          <t>PGCV_0031_3080</t>
        </is>
      </c>
      <c r="B3156" s="8" t="inlineStr">
        <is>
          <t>C37645</t>
        </is>
      </c>
      <c r="C3156" s="8" t="n"/>
      <c r="D3156" s="7" t="n">
        <v>31</v>
      </c>
      <c r="E3156" s="7" t="n">
        <v>3080</v>
      </c>
      <c r="F3156" s="7" t="inlineStr">
        <is>
          <t>Yes</t>
        </is>
      </c>
      <c r="G3156" s="8" t="n"/>
    </row>
    <row r="3157">
      <c r="A3157" s="8" t="inlineStr">
        <is>
          <t>PGCV_0031_3081</t>
        </is>
      </c>
      <c r="B3157" s="8" t="inlineStr">
        <is>
          <t>C37646</t>
        </is>
      </c>
      <c r="C3157" s="8" t="n"/>
      <c r="D3157" s="7" t="n">
        <v>31</v>
      </c>
      <c r="E3157" s="7" t="n">
        <v>3081</v>
      </c>
      <c r="F3157" s="7" t="inlineStr">
        <is>
          <t>Yes</t>
        </is>
      </c>
      <c r="G3157" s="8" t="n"/>
    </row>
    <row r="3158">
      <c r="A3158" s="8" t="inlineStr">
        <is>
          <t>PGCV_0031_3082</t>
        </is>
      </c>
      <c r="B3158" s="8" t="inlineStr">
        <is>
          <t>C37679</t>
        </is>
      </c>
      <c r="C3158" s="8" t="n"/>
      <c r="D3158" s="7" t="n">
        <v>31</v>
      </c>
      <c r="E3158" s="7" t="n">
        <v>3082</v>
      </c>
      <c r="F3158" s="7" t="inlineStr">
        <is>
          <t>Yes</t>
        </is>
      </c>
      <c r="G3158" s="8" t="n"/>
    </row>
    <row r="3159">
      <c r="A3159" s="8" t="inlineStr">
        <is>
          <t>PGCV_0031_3083</t>
        </is>
      </c>
      <c r="B3159" s="8" t="inlineStr">
        <is>
          <t>C37735</t>
        </is>
      </c>
      <c r="C3159" s="8" t="n"/>
      <c r="D3159" s="7" t="n">
        <v>31</v>
      </c>
      <c r="E3159" s="7" t="n">
        <v>3083</v>
      </c>
      <c r="F3159" s="7" t="inlineStr">
        <is>
          <t>Yes</t>
        </is>
      </c>
      <c r="G3159" s="8" t="n"/>
    </row>
    <row r="3160">
      <c r="A3160" s="8" t="inlineStr">
        <is>
          <t>PGCV_0031_3084</t>
        </is>
      </c>
      <c r="B3160" s="8" t="inlineStr">
        <is>
          <t>C37742</t>
        </is>
      </c>
      <c r="C3160" s="8" t="n"/>
      <c r="D3160" s="7" t="n">
        <v>31</v>
      </c>
      <c r="E3160" s="7" t="n">
        <v>3084</v>
      </c>
      <c r="F3160" s="7" t="inlineStr">
        <is>
          <t>Yes</t>
        </is>
      </c>
      <c r="G3160" s="8" t="n"/>
    </row>
    <row r="3161">
      <c r="A3161" s="8" t="inlineStr">
        <is>
          <t>PGCV_0031_3085</t>
        </is>
      </c>
      <c r="B3161" s="8" t="inlineStr">
        <is>
          <t>C37773</t>
        </is>
      </c>
      <c r="C3161" s="8" t="n"/>
      <c r="D3161" s="7" t="n">
        <v>31</v>
      </c>
      <c r="E3161" s="7" t="n">
        <v>3085</v>
      </c>
      <c r="F3161" s="7" t="inlineStr">
        <is>
          <t>Yes</t>
        </is>
      </c>
      <c r="G3161" s="8" t="n"/>
    </row>
    <row r="3162">
      <c r="A3162" s="8" t="inlineStr">
        <is>
          <t>PGCV_0031_3086</t>
        </is>
      </c>
      <c r="B3162" s="8" t="inlineStr">
        <is>
          <t>C37782</t>
        </is>
      </c>
      <c r="C3162" s="8" t="n"/>
      <c r="D3162" s="7" t="n">
        <v>31</v>
      </c>
      <c r="E3162" s="7" t="n">
        <v>3086</v>
      </c>
      <c r="F3162" s="7" t="inlineStr">
        <is>
          <t>Yes</t>
        </is>
      </c>
      <c r="G3162" s="8" t="n"/>
    </row>
    <row r="3163">
      <c r="A3163" s="8" t="inlineStr">
        <is>
          <t>PGCV_0031_3087</t>
        </is>
      </c>
      <c r="B3163" s="8" t="inlineStr">
        <is>
          <t>C37858</t>
        </is>
      </c>
      <c r="C3163" s="8" t="n"/>
      <c r="D3163" s="7" t="n">
        <v>31</v>
      </c>
      <c r="E3163" s="7" t="n">
        <v>3087</v>
      </c>
      <c r="F3163" s="7" t="inlineStr">
        <is>
          <t>Yes</t>
        </is>
      </c>
      <c r="G3163" s="8" t="n"/>
    </row>
    <row r="3164">
      <c r="A3164" s="8" t="inlineStr">
        <is>
          <t>PGCV_0031_3088</t>
        </is>
      </c>
      <c r="B3164" s="8" t="inlineStr">
        <is>
          <t>C37873</t>
        </is>
      </c>
      <c r="C3164" s="8" t="n"/>
      <c r="D3164" s="7" t="n">
        <v>31</v>
      </c>
      <c r="E3164" s="7" t="n">
        <v>3088</v>
      </c>
      <c r="F3164" s="7" t="inlineStr">
        <is>
          <t>Yes</t>
        </is>
      </c>
      <c r="G3164" s="8" t="n"/>
    </row>
    <row r="3165">
      <c r="A3165" s="8" t="inlineStr">
        <is>
          <t>PGCV_0032_3089</t>
        </is>
      </c>
      <c r="B3165" s="8" t="inlineStr">
        <is>
          <t>COVID-SNL-22-87238</t>
        </is>
      </c>
      <c r="C3165" s="8" t="n"/>
      <c r="D3165" s="7" t="n">
        <v>32</v>
      </c>
      <c r="E3165" s="7" t="n">
        <v>3089</v>
      </c>
      <c r="F3165" s="7" t="inlineStr">
        <is>
          <t>Yes</t>
        </is>
      </c>
      <c r="G3165" s="8" t="n"/>
    </row>
    <row r="3166">
      <c r="A3166" s="8" t="inlineStr">
        <is>
          <t>PGCV_0032_3090</t>
        </is>
      </c>
      <c r="B3166" s="8" t="inlineStr">
        <is>
          <t>COVID-SNL-22-87244</t>
        </is>
      </c>
      <c r="C3166" s="8" t="n"/>
      <c r="D3166" s="7" t="n">
        <v>32</v>
      </c>
      <c r="E3166" s="7" t="n">
        <v>3090</v>
      </c>
      <c r="F3166" s="7" t="inlineStr">
        <is>
          <t>Yes</t>
        </is>
      </c>
      <c r="G3166" s="8" t="n"/>
    </row>
    <row r="3167">
      <c r="A3167" s="8" t="inlineStr">
        <is>
          <t>PGCV_0032_3091</t>
        </is>
      </c>
      <c r="B3167" s="8" t="inlineStr">
        <is>
          <t>COVID-SNL-22-87265</t>
        </is>
      </c>
      <c r="C3167" s="8" t="n"/>
      <c r="D3167" s="7" t="n">
        <v>32</v>
      </c>
      <c r="E3167" s="7" t="n">
        <v>3091</v>
      </c>
      <c r="F3167" s="7" t="inlineStr">
        <is>
          <t>Yes</t>
        </is>
      </c>
      <c r="G3167" s="8" t="n"/>
    </row>
    <row r="3168">
      <c r="A3168" s="8" t="inlineStr">
        <is>
          <t>PGCV_0032_3092</t>
        </is>
      </c>
      <c r="B3168" s="8" t="inlineStr">
        <is>
          <t>COVID-SNL-22-87269</t>
        </is>
      </c>
      <c r="C3168" s="8" t="n"/>
      <c r="D3168" s="7" t="n">
        <v>32</v>
      </c>
      <c r="E3168" s="7" t="n">
        <v>3092</v>
      </c>
      <c r="F3168" s="7" t="inlineStr">
        <is>
          <t>Yes</t>
        </is>
      </c>
      <c r="G3168" s="8" t="n"/>
    </row>
    <row r="3169">
      <c r="A3169" s="8" t="inlineStr">
        <is>
          <t>PGCV_0032_3093</t>
        </is>
      </c>
      <c r="B3169" s="8" t="inlineStr">
        <is>
          <t>COVID-SNL-22-87277</t>
        </is>
      </c>
      <c r="C3169" s="8" t="n"/>
      <c r="D3169" s="7" t="n">
        <v>32</v>
      </c>
      <c r="E3169" s="7" t="n">
        <v>3093</v>
      </c>
      <c r="F3169" s="7" t="inlineStr">
        <is>
          <t>Yes</t>
        </is>
      </c>
      <c r="G3169" s="8" t="n"/>
    </row>
    <row r="3170">
      <c r="A3170" s="8" t="inlineStr">
        <is>
          <t>PGCV_0032_3094</t>
        </is>
      </c>
      <c r="B3170" s="8" t="inlineStr">
        <is>
          <t>COVID-SNL-22-87280</t>
        </is>
      </c>
      <c r="C3170" s="8" t="n"/>
      <c r="D3170" s="7" t="n">
        <v>32</v>
      </c>
      <c r="E3170" s="7" t="n">
        <v>3094</v>
      </c>
      <c r="F3170" s="7" t="inlineStr">
        <is>
          <t>Yes</t>
        </is>
      </c>
      <c r="G3170" s="8" t="n"/>
    </row>
    <row r="3171">
      <c r="A3171" s="8" t="inlineStr">
        <is>
          <t>PGCV_0032_3095</t>
        </is>
      </c>
      <c r="B3171" s="8" t="inlineStr">
        <is>
          <t>COVID-SNL-22-87285</t>
        </is>
      </c>
      <c r="C3171" s="8" t="n"/>
      <c r="D3171" s="7" t="n">
        <v>32</v>
      </c>
      <c r="E3171" s="7" t="n">
        <v>3095</v>
      </c>
      <c r="F3171" s="7" t="inlineStr">
        <is>
          <t>Yes</t>
        </is>
      </c>
      <c r="G3171" s="8" t="n"/>
    </row>
    <row r="3172">
      <c r="A3172" s="8" t="inlineStr">
        <is>
          <t>PGCV_0032_3096</t>
        </is>
      </c>
      <c r="B3172" s="8" t="inlineStr">
        <is>
          <t>COVID-SNL-22-87288</t>
        </is>
      </c>
      <c r="C3172" s="8" t="n"/>
      <c r="D3172" s="7" t="n">
        <v>32</v>
      </c>
      <c r="E3172" s="7" t="n">
        <v>3096</v>
      </c>
      <c r="F3172" s="7" t="inlineStr">
        <is>
          <t>Yes</t>
        </is>
      </c>
      <c r="G3172" s="8" t="n"/>
    </row>
    <row r="3173">
      <c r="A3173" s="8" t="inlineStr">
        <is>
          <t>PGCV_0032_3097</t>
        </is>
      </c>
      <c r="B3173" s="8" t="inlineStr">
        <is>
          <t>COVID-SNL-22-87296</t>
        </is>
      </c>
      <c r="C3173" s="8" t="n"/>
      <c r="D3173" s="7" t="n">
        <v>32</v>
      </c>
      <c r="E3173" s="7" t="n">
        <v>3097</v>
      </c>
      <c r="F3173" s="7" t="inlineStr">
        <is>
          <t>Yes</t>
        </is>
      </c>
      <c r="G3173" s="8" t="n"/>
    </row>
    <row r="3174">
      <c r="A3174" s="8" t="inlineStr">
        <is>
          <t>PGCV_0032_3098</t>
        </is>
      </c>
      <c r="B3174" s="8" t="inlineStr">
        <is>
          <t>COVID-SNL-22-87305</t>
        </is>
      </c>
      <c r="C3174" s="8" t="n"/>
      <c r="D3174" s="7" t="n">
        <v>32</v>
      </c>
      <c r="E3174" s="7" t="n">
        <v>3098</v>
      </c>
      <c r="F3174" s="7" t="inlineStr">
        <is>
          <t>Yes</t>
        </is>
      </c>
      <c r="G3174" s="8" t="n"/>
    </row>
    <row r="3175">
      <c r="A3175" s="8" t="inlineStr">
        <is>
          <t>PGCV_0032_3099</t>
        </is>
      </c>
      <c r="B3175" s="8" t="inlineStr">
        <is>
          <t>COVID-SNL-22-87325</t>
        </is>
      </c>
      <c r="C3175" s="8" t="n"/>
      <c r="D3175" s="7" t="n">
        <v>32</v>
      </c>
      <c r="E3175" s="7" t="n">
        <v>3099</v>
      </c>
      <c r="F3175" s="7" t="inlineStr">
        <is>
          <t>Yes</t>
        </is>
      </c>
      <c r="G3175" s="8" t="n"/>
    </row>
    <row r="3176">
      <c r="A3176" s="8" t="inlineStr">
        <is>
          <t>PGCV_0032_3100</t>
        </is>
      </c>
      <c r="B3176" s="8" t="inlineStr">
        <is>
          <t>COVID-SNL-22-87396</t>
        </is>
      </c>
      <c r="C3176" s="8" t="n"/>
      <c r="D3176" s="7" t="n">
        <v>32</v>
      </c>
      <c r="E3176" s="7" t="n">
        <v>3100</v>
      </c>
      <c r="F3176" s="7" t="inlineStr">
        <is>
          <t>Yes</t>
        </is>
      </c>
      <c r="G3176" s="8" t="n"/>
    </row>
    <row r="3177">
      <c r="A3177" s="8" t="inlineStr">
        <is>
          <t>PGCV_0032_3101</t>
        </is>
      </c>
      <c r="B3177" s="8" t="inlineStr">
        <is>
          <t>COVID-SNL-22-87407</t>
        </is>
      </c>
      <c r="C3177" s="8" t="n"/>
      <c r="D3177" s="7" t="n">
        <v>32</v>
      </c>
      <c r="E3177" s="7" t="n">
        <v>3101</v>
      </c>
      <c r="F3177" s="7" t="inlineStr">
        <is>
          <t>No</t>
        </is>
      </c>
      <c r="G3177" s="8" t="n"/>
    </row>
    <row r="3178">
      <c r="A3178" s="8" t="inlineStr">
        <is>
          <t>PGCV_0032_3102</t>
        </is>
      </c>
      <c r="B3178" s="8" t="inlineStr">
        <is>
          <t>COVID-SNL-22-87567</t>
        </is>
      </c>
      <c r="C3178" s="8" t="n"/>
      <c r="D3178" s="7" t="n">
        <v>32</v>
      </c>
      <c r="E3178" s="7" t="n">
        <v>3102</v>
      </c>
      <c r="F3178" s="7" t="inlineStr">
        <is>
          <t>Yes</t>
        </is>
      </c>
      <c r="G3178" s="8" t="n"/>
    </row>
    <row r="3179">
      <c r="A3179" s="8" t="inlineStr">
        <is>
          <t>PGCV_0032_3103</t>
        </is>
      </c>
      <c r="B3179" s="8" t="inlineStr">
        <is>
          <t>COVID-SNL-22-87573</t>
        </is>
      </c>
      <c r="C3179" s="8" t="n"/>
      <c r="D3179" s="7" t="n">
        <v>32</v>
      </c>
      <c r="E3179" s="7" t="n">
        <v>3103</v>
      </c>
      <c r="F3179" s="7" t="inlineStr">
        <is>
          <t>Yes</t>
        </is>
      </c>
      <c r="G3179" s="8" t="n"/>
    </row>
    <row r="3180">
      <c r="A3180" s="8" t="inlineStr">
        <is>
          <t>PGCV_0032_3104</t>
        </is>
      </c>
      <c r="B3180" s="8" t="inlineStr">
        <is>
          <t>COVID-SNL-22-87481</t>
        </is>
      </c>
      <c r="C3180" s="8" t="n"/>
      <c r="D3180" s="7" t="n">
        <v>32</v>
      </c>
      <c r="E3180" s="7" t="n">
        <v>3104</v>
      </c>
      <c r="F3180" s="7" t="inlineStr">
        <is>
          <t>Yes</t>
        </is>
      </c>
      <c r="G3180" s="8" t="n"/>
    </row>
    <row r="3181">
      <c r="A3181" s="8" t="inlineStr">
        <is>
          <t>PGCV_0032_3105</t>
        </is>
      </c>
      <c r="B3181" s="8" t="inlineStr">
        <is>
          <t>COVID-SNL-22-87673</t>
        </is>
      </c>
      <c r="C3181" s="8" t="n"/>
      <c r="D3181" s="7" t="n">
        <v>32</v>
      </c>
      <c r="E3181" s="7" t="n">
        <v>3105</v>
      </c>
      <c r="F3181" s="7" t="inlineStr">
        <is>
          <t>Yes</t>
        </is>
      </c>
      <c r="G3181" s="8" t="n"/>
    </row>
    <row r="3182">
      <c r="A3182" s="8" t="inlineStr">
        <is>
          <t>PGCV_0032_3106</t>
        </is>
      </c>
      <c r="B3182" s="8" t="inlineStr">
        <is>
          <t>COVID-SNL-22-87679</t>
        </is>
      </c>
      <c r="C3182" s="8" t="n"/>
      <c r="D3182" s="7" t="n">
        <v>32</v>
      </c>
      <c r="E3182" s="7" t="n">
        <v>3106</v>
      </c>
      <c r="F3182" s="7" t="inlineStr">
        <is>
          <t>Yes</t>
        </is>
      </c>
      <c r="G3182" s="8" t="n"/>
    </row>
    <row r="3183">
      <c r="A3183" s="8" t="inlineStr">
        <is>
          <t>PGCV_0032_3107</t>
        </is>
      </c>
      <c r="B3183" s="8" t="inlineStr">
        <is>
          <t>COVID-SNL-22-87694</t>
        </is>
      </c>
      <c r="C3183" s="8" t="n"/>
      <c r="D3183" s="7" t="n">
        <v>32</v>
      </c>
      <c r="E3183" s="7" t="n">
        <v>3107</v>
      </c>
      <c r="F3183" s="7" t="inlineStr">
        <is>
          <t>Yes</t>
        </is>
      </c>
      <c r="G3183" s="8" t="n"/>
    </row>
    <row r="3184">
      <c r="A3184" s="8" t="inlineStr">
        <is>
          <t>PGCV_0032_3108</t>
        </is>
      </c>
      <c r="B3184" s="8" t="inlineStr">
        <is>
          <t>COVID-SNL-22-87708</t>
        </is>
      </c>
      <c r="C3184" s="8" t="n"/>
      <c r="D3184" s="7" t="n">
        <v>32</v>
      </c>
      <c r="E3184" s="7" t="n">
        <v>3108</v>
      </c>
      <c r="F3184" s="7" t="inlineStr">
        <is>
          <t>Yes</t>
        </is>
      </c>
      <c r="G3184" s="8" t="n"/>
    </row>
    <row r="3185">
      <c r="A3185" s="8" t="inlineStr">
        <is>
          <t>PGCV_0032_3109</t>
        </is>
      </c>
      <c r="B3185" s="8" t="inlineStr">
        <is>
          <t>COVID-SNL-22-87740</t>
        </is>
      </c>
      <c r="C3185" s="8" t="n"/>
      <c r="D3185" s="7" t="n">
        <v>32</v>
      </c>
      <c r="E3185" s="7" t="n">
        <v>3109</v>
      </c>
      <c r="F3185" s="7" t="inlineStr">
        <is>
          <t>Yes</t>
        </is>
      </c>
      <c r="G3185" s="8" t="n"/>
    </row>
    <row r="3186">
      <c r="A3186" s="8" t="inlineStr">
        <is>
          <t>PGCV_0032_3110</t>
        </is>
      </c>
      <c r="B3186" s="8" t="inlineStr">
        <is>
          <t>COVID-SNL-22-87798</t>
        </is>
      </c>
      <c r="C3186" s="8" t="n"/>
      <c r="D3186" s="7" t="n">
        <v>32</v>
      </c>
      <c r="E3186" s="7" t="n">
        <v>3110</v>
      </c>
      <c r="F3186" s="7" t="inlineStr">
        <is>
          <t>Yes</t>
        </is>
      </c>
      <c r="G3186" s="8" t="n"/>
    </row>
    <row r="3187">
      <c r="A3187" s="8" t="inlineStr">
        <is>
          <t>PGCV_0032_3111</t>
        </is>
      </c>
      <c r="B3187" s="8" t="inlineStr">
        <is>
          <t>COVID-SNL-22-87820</t>
        </is>
      </c>
      <c r="C3187" s="8" t="n"/>
      <c r="D3187" s="7" t="n">
        <v>32</v>
      </c>
      <c r="E3187" s="7" t="n">
        <v>3111</v>
      </c>
      <c r="F3187" s="7" t="inlineStr">
        <is>
          <t>Yes</t>
        </is>
      </c>
      <c r="G3187" s="8" t="n"/>
    </row>
    <row r="3188">
      <c r="A3188" s="8" t="inlineStr">
        <is>
          <t>PGCV_0032_3112</t>
        </is>
      </c>
      <c r="B3188" s="8" t="inlineStr">
        <is>
          <t>COVID-SNL-22-87829</t>
        </is>
      </c>
      <c r="C3188" s="8" t="n"/>
      <c r="D3188" s="7" t="n">
        <v>32</v>
      </c>
      <c r="E3188" s="7" t="n">
        <v>3112</v>
      </c>
      <c r="F3188" s="7" t="inlineStr">
        <is>
          <t>Yes</t>
        </is>
      </c>
      <c r="G3188" s="8" t="n"/>
    </row>
    <row r="3189">
      <c r="A3189" s="8" t="inlineStr">
        <is>
          <t>PGCV_0032_3113</t>
        </is>
      </c>
      <c r="B3189" s="8" t="inlineStr">
        <is>
          <t>COVID-SNL-22-87872</t>
        </is>
      </c>
      <c r="C3189" s="8" t="n"/>
      <c r="D3189" s="7" t="n">
        <v>32</v>
      </c>
      <c r="E3189" s="7" t="n">
        <v>3113</v>
      </c>
      <c r="F3189" s="7" t="inlineStr">
        <is>
          <t>Yes</t>
        </is>
      </c>
      <c r="G3189" s="8" t="n"/>
    </row>
    <row r="3190">
      <c r="A3190" s="8" t="inlineStr">
        <is>
          <t>PGCV_0032_3114</t>
        </is>
      </c>
      <c r="B3190" s="8" t="inlineStr">
        <is>
          <t>COVID-SNL-22-87877</t>
        </is>
      </c>
      <c r="C3190" s="8" t="n"/>
      <c r="D3190" s="7" t="n">
        <v>32</v>
      </c>
      <c r="E3190" s="7" t="n">
        <v>3114</v>
      </c>
      <c r="F3190" s="7" t="inlineStr">
        <is>
          <t>Yes</t>
        </is>
      </c>
      <c r="G3190" s="8" t="n"/>
    </row>
    <row r="3191">
      <c r="A3191" s="8" t="inlineStr">
        <is>
          <t>PGCV_0032_3115</t>
        </is>
      </c>
      <c r="B3191" s="8" t="inlineStr">
        <is>
          <t>COVID-SNL-22-87944</t>
        </is>
      </c>
      <c r="C3191" s="8" t="n"/>
      <c r="D3191" s="7" t="n">
        <v>32</v>
      </c>
      <c r="E3191" s="7" t="n">
        <v>3115</v>
      </c>
      <c r="F3191" s="7" t="inlineStr">
        <is>
          <t>Yes</t>
        </is>
      </c>
      <c r="G3191" s="8" t="n"/>
    </row>
    <row r="3192">
      <c r="A3192" s="8" t="inlineStr">
        <is>
          <t>PGCV_0032_3116</t>
        </is>
      </c>
      <c r="B3192" s="8" t="inlineStr">
        <is>
          <t>COVID-SNL-22-88074</t>
        </is>
      </c>
      <c r="C3192" s="8" t="n"/>
      <c r="D3192" s="7" t="n">
        <v>32</v>
      </c>
      <c r="E3192" s="7" t="n">
        <v>3116</v>
      </c>
      <c r="F3192" s="7" t="inlineStr">
        <is>
          <t>Yes</t>
        </is>
      </c>
      <c r="G3192" s="8" t="n"/>
    </row>
    <row r="3193">
      <c r="A3193" s="8" t="inlineStr">
        <is>
          <t>PGCV_0032_3117</t>
        </is>
      </c>
      <c r="B3193" s="8" t="inlineStr">
        <is>
          <t>COVID-SNL-22-88076</t>
        </is>
      </c>
      <c r="C3193" s="8" t="n"/>
      <c r="D3193" s="7" t="n">
        <v>32</v>
      </c>
      <c r="E3193" s="7" t="n">
        <v>3117</v>
      </c>
      <c r="F3193" s="7" t="inlineStr">
        <is>
          <t>Yes</t>
        </is>
      </c>
      <c r="G3193" s="8" t="n"/>
    </row>
    <row r="3194">
      <c r="A3194" s="8" t="inlineStr">
        <is>
          <t>PGCV_0032_3118</t>
        </is>
      </c>
      <c r="B3194" s="8" t="inlineStr">
        <is>
          <t>COVID-SNL-22-88171</t>
        </is>
      </c>
      <c r="C3194" s="8" t="n"/>
      <c r="D3194" s="7" t="n">
        <v>32</v>
      </c>
      <c r="E3194" s="7" t="n">
        <v>3118</v>
      </c>
      <c r="F3194" s="7" t="inlineStr">
        <is>
          <t>Yes</t>
        </is>
      </c>
      <c r="G3194" s="8" t="n"/>
    </row>
    <row r="3195">
      <c r="A3195" s="8" t="inlineStr">
        <is>
          <t>PGCV_0032_3119</t>
        </is>
      </c>
      <c r="B3195" s="8" t="inlineStr">
        <is>
          <t>COVID-SNL-22-88173</t>
        </is>
      </c>
      <c r="C3195" s="8" t="n"/>
      <c r="D3195" s="7" t="n">
        <v>32</v>
      </c>
      <c r="E3195" s="7" t="n">
        <v>3119</v>
      </c>
      <c r="F3195" s="7" t="inlineStr">
        <is>
          <t>Yes</t>
        </is>
      </c>
      <c r="G3195" s="8" t="n"/>
    </row>
    <row r="3196">
      <c r="A3196" s="8" t="inlineStr">
        <is>
          <t>PGCV_0032_3120</t>
        </is>
      </c>
      <c r="B3196" s="8" t="inlineStr">
        <is>
          <t>COVID-SNL-22-88174</t>
        </is>
      </c>
      <c r="C3196" s="8" t="n"/>
      <c r="D3196" s="7" t="n">
        <v>32</v>
      </c>
      <c r="E3196" s="7" t="n">
        <v>3120</v>
      </c>
      <c r="F3196" s="7" t="inlineStr">
        <is>
          <t>Yes</t>
        </is>
      </c>
      <c r="G3196" s="8" t="n"/>
    </row>
    <row r="3197">
      <c r="A3197" s="8" t="inlineStr">
        <is>
          <t>PGCV_0032_3121</t>
        </is>
      </c>
      <c r="B3197" s="8" t="inlineStr">
        <is>
          <t>COVID-SNL-22-88175</t>
        </is>
      </c>
      <c r="C3197" s="8" t="n"/>
      <c r="D3197" s="7" t="n">
        <v>32</v>
      </c>
      <c r="E3197" s="7" t="n">
        <v>3121</v>
      </c>
      <c r="F3197" s="7" t="inlineStr">
        <is>
          <t>Yes</t>
        </is>
      </c>
      <c r="G3197" s="8" t="n"/>
    </row>
    <row r="3198">
      <c r="A3198" s="8" t="inlineStr">
        <is>
          <t>PGCV_0032_3122</t>
        </is>
      </c>
      <c r="B3198" s="8" t="inlineStr">
        <is>
          <t>COVID-SNL-22-88177</t>
        </is>
      </c>
      <c r="C3198" s="8" t="n"/>
      <c r="D3198" s="7" t="n">
        <v>32</v>
      </c>
      <c r="E3198" s="7" t="n">
        <v>3122</v>
      </c>
      <c r="F3198" s="7" t="inlineStr">
        <is>
          <t>Yes</t>
        </is>
      </c>
      <c r="G3198" s="8" t="n"/>
    </row>
    <row r="3199">
      <c r="A3199" s="8" t="inlineStr">
        <is>
          <t>PGCV_0032_3123</t>
        </is>
      </c>
      <c r="B3199" s="8" t="inlineStr">
        <is>
          <t>COVID-SNL-22-88178</t>
        </is>
      </c>
      <c r="C3199" s="8" t="n"/>
      <c r="D3199" s="7" t="n">
        <v>32</v>
      </c>
      <c r="E3199" s="7" t="n">
        <v>3123</v>
      </c>
      <c r="F3199" s="7" t="inlineStr">
        <is>
          <t>Yes</t>
        </is>
      </c>
      <c r="G3199" s="8" t="n"/>
    </row>
    <row r="3200">
      <c r="A3200" s="8" t="inlineStr">
        <is>
          <t>PGCV_0032_3124</t>
        </is>
      </c>
      <c r="B3200" s="8" t="inlineStr">
        <is>
          <t>COVID-SNL-22-88180</t>
        </is>
      </c>
      <c r="C3200" s="8" t="n"/>
      <c r="D3200" s="7" t="n">
        <v>32</v>
      </c>
      <c r="E3200" s="7" t="n">
        <v>3124</v>
      </c>
      <c r="F3200" s="7" t="inlineStr">
        <is>
          <t>Yes</t>
        </is>
      </c>
      <c r="G3200" s="8" t="n"/>
    </row>
    <row r="3201">
      <c r="A3201" s="8" t="inlineStr">
        <is>
          <t>PGCV_0032_3125</t>
        </is>
      </c>
      <c r="B3201" s="8" t="inlineStr">
        <is>
          <t>COVID-SNL-22-88211</t>
        </is>
      </c>
      <c r="C3201" s="8" t="n"/>
      <c r="D3201" s="7" t="n">
        <v>32</v>
      </c>
      <c r="E3201" s="7" t="n">
        <v>3125</v>
      </c>
      <c r="F3201" s="7" t="inlineStr">
        <is>
          <t>Yes</t>
        </is>
      </c>
      <c r="G3201" s="8" t="n"/>
    </row>
    <row r="3202">
      <c r="A3202" s="8" t="inlineStr">
        <is>
          <t>PGCV_0032_3126</t>
        </is>
      </c>
      <c r="B3202" s="8" t="inlineStr">
        <is>
          <t>COVID-SNL-22-88212</t>
        </is>
      </c>
      <c r="C3202" s="8" t="n"/>
      <c r="D3202" s="7" t="n">
        <v>32</v>
      </c>
      <c r="E3202" s="7" t="n">
        <v>3126</v>
      </c>
      <c r="F3202" s="7" t="inlineStr">
        <is>
          <t>Yes</t>
        </is>
      </c>
      <c r="G3202" s="8" t="n"/>
    </row>
    <row r="3203">
      <c r="A3203" s="8" t="inlineStr">
        <is>
          <t>PGCV_0032_3127</t>
        </is>
      </c>
      <c r="B3203" s="8" t="inlineStr">
        <is>
          <t>COVID-SNL-22-88220</t>
        </is>
      </c>
      <c r="C3203" s="8" t="n"/>
      <c r="D3203" s="7" t="n">
        <v>32</v>
      </c>
      <c r="E3203" s="7" t="n">
        <v>3127</v>
      </c>
      <c r="F3203" s="7" t="inlineStr">
        <is>
          <t>Yes</t>
        </is>
      </c>
      <c r="G3203" s="8" t="n"/>
    </row>
    <row r="3204">
      <c r="A3204" s="8" t="inlineStr">
        <is>
          <t>PGCV_0032_3128</t>
        </is>
      </c>
      <c r="B3204" s="8" t="inlineStr">
        <is>
          <t>COVID-SNL-22-88228</t>
        </is>
      </c>
      <c r="C3204" s="8" t="n"/>
      <c r="D3204" s="7" t="n">
        <v>32</v>
      </c>
      <c r="E3204" s="7" t="n">
        <v>3128</v>
      </c>
      <c r="F3204" s="7" t="inlineStr">
        <is>
          <t>Yes</t>
        </is>
      </c>
      <c r="G3204" s="8" t="n"/>
    </row>
    <row r="3205">
      <c r="A3205" s="8" t="inlineStr">
        <is>
          <t>PGCV_0032_3129</t>
        </is>
      </c>
      <c r="B3205" s="8" t="inlineStr">
        <is>
          <t>COVID-SNL-22-88246</t>
        </is>
      </c>
      <c r="C3205" s="8" t="n"/>
      <c r="D3205" s="7" t="n">
        <v>32</v>
      </c>
      <c r="E3205" s="7" t="n">
        <v>3129</v>
      </c>
      <c r="F3205" s="7" t="inlineStr">
        <is>
          <t>Yes</t>
        </is>
      </c>
      <c r="G3205" s="8" t="n"/>
    </row>
    <row r="3206">
      <c r="A3206" s="8" t="inlineStr">
        <is>
          <t>PGCV_0032_3130</t>
        </is>
      </c>
      <c r="B3206" s="8" t="inlineStr">
        <is>
          <t>COVID-SNL-22-88287</t>
        </is>
      </c>
      <c r="C3206" s="8" t="n"/>
      <c r="D3206" s="7" t="n">
        <v>32</v>
      </c>
      <c r="E3206" s="7" t="n">
        <v>3130</v>
      </c>
      <c r="F3206" s="7" t="inlineStr">
        <is>
          <t>Yes</t>
        </is>
      </c>
      <c r="G3206" s="8" t="n"/>
    </row>
    <row r="3207">
      <c r="A3207" s="8" t="inlineStr">
        <is>
          <t>PGCV_0032_3131</t>
        </is>
      </c>
      <c r="B3207" s="8" t="inlineStr">
        <is>
          <t>COVID-SNL-22-88345</t>
        </is>
      </c>
      <c r="C3207" s="8" t="n"/>
      <c r="D3207" s="7" t="n">
        <v>32</v>
      </c>
      <c r="E3207" s="7" t="n">
        <v>3131</v>
      </c>
      <c r="F3207" s="7" t="inlineStr">
        <is>
          <t>Yes</t>
        </is>
      </c>
      <c r="G3207" s="8" t="n"/>
    </row>
    <row r="3208">
      <c r="A3208" s="8" t="inlineStr">
        <is>
          <t>PGCV_0032_3132</t>
        </is>
      </c>
      <c r="B3208" s="8" t="inlineStr">
        <is>
          <t>COVID-SNL-22-88353</t>
        </is>
      </c>
      <c r="C3208" s="8" t="n"/>
      <c r="D3208" s="7" t="n">
        <v>32</v>
      </c>
      <c r="E3208" s="7" t="n">
        <v>3132</v>
      </c>
      <c r="F3208" s="7" t="inlineStr">
        <is>
          <t>Yes</t>
        </is>
      </c>
      <c r="G3208" s="8" t="n"/>
    </row>
    <row r="3209">
      <c r="A3209" s="8" t="inlineStr">
        <is>
          <t>PGCV_0032_3133</t>
        </is>
      </c>
      <c r="B3209" s="8" t="inlineStr">
        <is>
          <t>COVID-SNL-22-88356</t>
        </is>
      </c>
      <c r="C3209" s="8" t="n"/>
      <c r="D3209" s="7" t="n">
        <v>32</v>
      </c>
      <c r="E3209" s="7" t="n">
        <v>3133</v>
      </c>
      <c r="F3209" s="7" t="inlineStr">
        <is>
          <t>Yes</t>
        </is>
      </c>
      <c r="G3209" s="8" t="n"/>
    </row>
    <row r="3210">
      <c r="A3210" s="8" t="inlineStr">
        <is>
          <t>PGCV_0032_3134</t>
        </is>
      </c>
      <c r="B3210" s="8" t="inlineStr">
        <is>
          <t>COVID-SNL-22-88357</t>
        </is>
      </c>
      <c r="C3210" s="8" t="n"/>
      <c r="D3210" s="7" t="n">
        <v>32</v>
      </c>
      <c r="E3210" s="7" t="n">
        <v>3134</v>
      </c>
      <c r="F3210" s="7" t="inlineStr">
        <is>
          <t>Yes</t>
        </is>
      </c>
      <c r="G3210" s="8" t="n"/>
    </row>
    <row r="3211">
      <c r="A3211" s="8" t="inlineStr">
        <is>
          <t>PGCV_0032_3135</t>
        </is>
      </c>
      <c r="B3211" s="8" t="inlineStr">
        <is>
          <t>COVID-SNL-22-88370</t>
        </is>
      </c>
      <c r="C3211" s="8" t="n"/>
      <c r="D3211" s="7" t="n">
        <v>32</v>
      </c>
      <c r="E3211" s="7" t="n">
        <v>3135</v>
      </c>
      <c r="F3211" s="7" t="inlineStr">
        <is>
          <t>Yes</t>
        </is>
      </c>
      <c r="G3211" s="8" t="n"/>
    </row>
    <row r="3212">
      <c r="A3212" s="8" t="inlineStr">
        <is>
          <t>PGCV_0032_3136</t>
        </is>
      </c>
      <c r="B3212" s="8" t="inlineStr">
        <is>
          <t>COVID-SNL-22-88394</t>
        </is>
      </c>
      <c r="C3212" s="8" t="n"/>
      <c r="D3212" s="7" t="n">
        <v>32</v>
      </c>
      <c r="E3212" s="7" t="n">
        <v>3136</v>
      </c>
      <c r="F3212" s="7" t="inlineStr">
        <is>
          <t>Yes</t>
        </is>
      </c>
      <c r="G3212" s="8" t="n"/>
    </row>
    <row r="3213">
      <c r="A3213" s="8" t="inlineStr">
        <is>
          <t>PGCV_0032_3137</t>
        </is>
      </c>
      <c r="B3213" s="8" t="inlineStr">
        <is>
          <t>COVID-SNL-22-88433</t>
        </is>
      </c>
      <c r="C3213" s="8" t="n"/>
      <c r="D3213" s="7" t="n">
        <v>32</v>
      </c>
      <c r="E3213" s="7" t="n">
        <v>3137</v>
      </c>
      <c r="F3213" s="7" t="inlineStr">
        <is>
          <t>Yes</t>
        </is>
      </c>
      <c r="G3213" s="8" t="n"/>
    </row>
    <row r="3214">
      <c r="A3214" s="8" t="inlineStr">
        <is>
          <t>PGCV_0032_3138</t>
        </is>
      </c>
      <c r="B3214" s="8" t="inlineStr">
        <is>
          <t>COVID-SNL-22-88461</t>
        </is>
      </c>
      <c r="C3214" s="8" t="n"/>
      <c r="D3214" s="7" t="n">
        <v>32</v>
      </c>
      <c r="E3214" s="7" t="n">
        <v>3138</v>
      </c>
      <c r="F3214" s="7" t="inlineStr">
        <is>
          <t>Yes</t>
        </is>
      </c>
      <c r="G3214" s="8" t="n"/>
    </row>
    <row r="3215">
      <c r="A3215" s="8" t="inlineStr">
        <is>
          <t>PGCV_0032_3139</t>
        </is>
      </c>
      <c r="B3215" s="8" t="inlineStr">
        <is>
          <t>COVID-SNL-22-88470</t>
        </is>
      </c>
      <c r="C3215" s="8" t="n"/>
      <c r="D3215" s="7" t="n">
        <v>32</v>
      </c>
      <c r="E3215" s="7" t="n">
        <v>3139</v>
      </c>
      <c r="F3215" s="7" t="inlineStr">
        <is>
          <t>Yes</t>
        </is>
      </c>
      <c r="G3215" s="8" t="n"/>
    </row>
    <row r="3216">
      <c r="A3216" s="8" t="inlineStr">
        <is>
          <t>PGCV_0032_3140</t>
        </is>
      </c>
      <c r="B3216" s="8" t="inlineStr">
        <is>
          <t>COVID-SNL-22-88510</t>
        </is>
      </c>
      <c r="C3216" s="8" t="n"/>
      <c r="D3216" s="7" t="n">
        <v>32</v>
      </c>
      <c r="E3216" s="7" t="n">
        <v>3140</v>
      </c>
      <c r="F3216" s="7" t="inlineStr">
        <is>
          <t>Yes</t>
        </is>
      </c>
      <c r="G3216" s="8" t="n"/>
    </row>
    <row r="3217">
      <c r="A3217" s="8" t="inlineStr">
        <is>
          <t>PGCV_0032_3141</t>
        </is>
      </c>
      <c r="B3217" s="8" t="inlineStr">
        <is>
          <t>COVID-SNL-22-88572</t>
        </is>
      </c>
      <c r="C3217" s="8" t="n"/>
      <c r="D3217" s="7" t="n">
        <v>32</v>
      </c>
      <c r="E3217" s="7" t="n">
        <v>3141</v>
      </c>
      <c r="F3217" s="7" t="inlineStr">
        <is>
          <t>Yes</t>
        </is>
      </c>
      <c r="G3217" s="8" t="n"/>
    </row>
    <row r="3218">
      <c r="A3218" s="8" t="inlineStr">
        <is>
          <t>PGCV_0032_3142</t>
        </is>
      </c>
      <c r="B3218" s="8" t="inlineStr">
        <is>
          <t>COVID-SNL-22-88534</t>
        </is>
      </c>
      <c r="C3218" s="8" t="n"/>
      <c r="D3218" s="7" t="n">
        <v>32</v>
      </c>
      <c r="E3218" s="7" t="n">
        <v>3142</v>
      </c>
      <c r="F3218" s="7" t="inlineStr">
        <is>
          <t>Yes</t>
        </is>
      </c>
      <c r="G3218" s="8" t="n"/>
    </row>
    <row r="3219">
      <c r="A3219" s="8" t="inlineStr">
        <is>
          <t>PGCV_0032_3143</t>
        </is>
      </c>
      <c r="B3219" s="8" t="inlineStr">
        <is>
          <t>COVID-SNL-22-88557</t>
        </is>
      </c>
      <c r="C3219" s="8" t="n"/>
      <c r="D3219" s="7" t="n">
        <v>32</v>
      </c>
      <c r="E3219" s="7" t="n">
        <v>3143</v>
      </c>
      <c r="F3219" s="7" t="inlineStr">
        <is>
          <t>Yes</t>
        </is>
      </c>
      <c r="G3219" s="8" t="n"/>
    </row>
    <row r="3220">
      <c r="A3220" s="8" t="inlineStr">
        <is>
          <t>PGCV_0032_3144</t>
        </is>
      </c>
      <c r="B3220" s="8" t="inlineStr">
        <is>
          <t>COVID-SNL-22-88598</t>
        </is>
      </c>
      <c r="C3220" s="8" t="n"/>
      <c r="D3220" s="7" t="n">
        <v>32</v>
      </c>
      <c r="E3220" s="7" t="n">
        <v>3144</v>
      </c>
      <c r="F3220" s="7" t="inlineStr">
        <is>
          <t>No</t>
        </is>
      </c>
      <c r="G3220" s="8" t="n"/>
    </row>
    <row r="3221">
      <c r="A3221" s="8" t="inlineStr">
        <is>
          <t>PGCV_0032_3145</t>
        </is>
      </c>
      <c r="B3221" s="8" t="inlineStr">
        <is>
          <t>COVID-SNL-22-88600</t>
        </is>
      </c>
      <c r="C3221" s="8" t="n"/>
      <c r="D3221" s="7" t="n">
        <v>32</v>
      </c>
      <c r="E3221" s="7" t="n">
        <v>3145</v>
      </c>
      <c r="F3221" s="7" t="inlineStr">
        <is>
          <t>Yes</t>
        </is>
      </c>
      <c r="G3221" s="8" t="n"/>
    </row>
    <row r="3222">
      <c r="A3222" s="8" t="inlineStr">
        <is>
          <t>PGCV_0032_3146</t>
        </is>
      </c>
      <c r="B3222" s="8" t="inlineStr">
        <is>
          <t>COVID-SNL-22-88611</t>
        </is>
      </c>
      <c r="C3222" s="8" t="n"/>
      <c r="D3222" s="7" t="n">
        <v>32</v>
      </c>
      <c r="E3222" s="7" t="n">
        <v>3146</v>
      </c>
      <c r="F3222" s="7" t="inlineStr">
        <is>
          <t>Yes</t>
        </is>
      </c>
      <c r="G3222" s="8" t="n"/>
    </row>
    <row r="3223">
      <c r="A3223" s="8" t="inlineStr">
        <is>
          <t>PGCV_0032_3147</t>
        </is>
      </c>
      <c r="B3223" s="8" t="inlineStr">
        <is>
          <t>COVID-SNL-22-88617</t>
        </is>
      </c>
      <c r="C3223" s="8" t="n"/>
      <c r="D3223" s="7" t="n">
        <v>32</v>
      </c>
      <c r="E3223" s="7" t="n">
        <v>3147</v>
      </c>
      <c r="F3223" s="7" t="inlineStr">
        <is>
          <t>Yes</t>
        </is>
      </c>
      <c r="G3223" s="8" t="n"/>
    </row>
    <row r="3224">
      <c r="A3224" s="8" t="inlineStr">
        <is>
          <t>PGCV_0032_3148</t>
        </is>
      </c>
      <c r="B3224" s="8" t="inlineStr">
        <is>
          <t>COVID-SNL-22-88825</t>
        </is>
      </c>
      <c r="C3224" s="8" t="n"/>
      <c r="D3224" s="7" t="n">
        <v>32</v>
      </c>
      <c r="E3224" s="7" t="n">
        <v>3148</v>
      </c>
      <c r="F3224" s="7" t="inlineStr">
        <is>
          <t>Yes</t>
        </is>
      </c>
      <c r="G3224" s="8" t="n"/>
    </row>
    <row r="3225">
      <c r="A3225" s="8" t="inlineStr">
        <is>
          <t>PGCV_0032_3149</t>
        </is>
      </c>
      <c r="B3225" s="8" t="inlineStr">
        <is>
          <t>COVID-SNL-22-88685</t>
        </is>
      </c>
      <c r="C3225" s="8" t="n"/>
      <c r="D3225" s="7" t="n">
        <v>32</v>
      </c>
      <c r="E3225" s="7" t="n">
        <v>3149</v>
      </c>
      <c r="F3225" s="7" t="inlineStr">
        <is>
          <t>Yes</t>
        </is>
      </c>
      <c r="G3225" s="8" t="n"/>
    </row>
    <row r="3226">
      <c r="A3226" s="8" t="inlineStr">
        <is>
          <t>PGCV_0032_3150</t>
        </is>
      </c>
      <c r="B3226" s="8" t="inlineStr">
        <is>
          <t>COVID-SNL-22-88866</t>
        </is>
      </c>
      <c r="C3226" s="8" t="n"/>
      <c r="D3226" s="7" t="n">
        <v>32</v>
      </c>
      <c r="E3226" s="7" t="n">
        <v>3150</v>
      </c>
      <c r="F3226" s="7" t="inlineStr">
        <is>
          <t>Yes</t>
        </is>
      </c>
      <c r="G3226" s="8" t="n"/>
    </row>
    <row r="3227">
      <c r="A3227" s="8" t="inlineStr">
        <is>
          <t>PGCV_0032_3151</t>
        </is>
      </c>
      <c r="B3227" s="8" t="inlineStr">
        <is>
          <t>COVID-SNL-22-88868</t>
        </is>
      </c>
      <c r="C3227" s="8" t="n"/>
      <c r="D3227" s="7" t="n">
        <v>32</v>
      </c>
      <c r="E3227" s="7" t="n">
        <v>3151</v>
      </c>
      <c r="F3227" s="7" t="inlineStr">
        <is>
          <t>Yes</t>
        </is>
      </c>
      <c r="G3227" s="8" t="n"/>
    </row>
    <row r="3228">
      <c r="A3228" s="8" t="inlineStr">
        <is>
          <t>PGCV_0032_3152</t>
        </is>
      </c>
      <c r="B3228" s="8" t="inlineStr">
        <is>
          <t>COVID-SNL-22-88872</t>
        </is>
      </c>
      <c r="C3228" s="8" t="n"/>
      <c r="D3228" s="7" t="n">
        <v>32</v>
      </c>
      <c r="E3228" s="7" t="n">
        <v>3152</v>
      </c>
      <c r="F3228" s="7" t="inlineStr">
        <is>
          <t>Yes</t>
        </is>
      </c>
      <c r="G3228" s="8" t="n"/>
    </row>
    <row r="3229">
      <c r="A3229" s="8" t="inlineStr">
        <is>
          <t>PGCV_0032_3153</t>
        </is>
      </c>
      <c r="B3229" s="8" t="inlineStr">
        <is>
          <t>COVID-SNL-22-88963</t>
        </is>
      </c>
      <c r="C3229" s="8" t="n"/>
      <c r="D3229" s="7" t="n">
        <v>32</v>
      </c>
      <c r="E3229" s="7" t="n">
        <v>3153</v>
      </c>
      <c r="F3229" s="7" t="inlineStr">
        <is>
          <t>Yes</t>
        </is>
      </c>
      <c r="G3229" s="8" t="n"/>
    </row>
    <row r="3230">
      <c r="A3230" s="8" t="inlineStr">
        <is>
          <t>PGCV_0032_3154</t>
        </is>
      </c>
      <c r="B3230" s="8" t="inlineStr">
        <is>
          <t>COVID-SNL-22-88964</t>
        </is>
      </c>
      <c r="C3230" s="8" t="n"/>
      <c r="D3230" s="7" t="n">
        <v>32</v>
      </c>
      <c r="E3230" s="7" t="n">
        <v>3154</v>
      </c>
      <c r="F3230" s="7" t="inlineStr">
        <is>
          <t>Yes</t>
        </is>
      </c>
      <c r="G3230" s="8" t="n"/>
    </row>
    <row r="3231">
      <c r="A3231" s="8" t="inlineStr">
        <is>
          <t>PGCV_0032_3155</t>
        </is>
      </c>
      <c r="B3231" s="8" t="inlineStr">
        <is>
          <t>COVID-SNL-22-88965</t>
        </is>
      </c>
      <c r="C3231" s="8" t="n"/>
      <c r="D3231" s="7" t="n">
        <v>32</v>
      </c>
      <c r="E3231" s="7" t="n">
        <v>3155</v>
      </c>
      <c r="F3231" s="7" t="inlineStr">
        <is>
          <t>Yes</t>
        </is>
      </c>
      <c r="G3231" s="8" t="n"/>
    </row>
    <row r="3232">
      <c r="A3232" s="8" t="inlineStr">
        <is>
          <t>PGCV_0032_3156</t>
        </is>
      </c>
      <c r="B3232" s="8" t="inlineStr">
        <is>
          <t>COVID-SNL-22-88976</t>
        </is>
      </c>
      <c r="C3232" s="8" t="n"/>
      <c r="D3232" s="7" t="n">
        <v>32</v>
      </c>
      <c r="E3232" s="7" t="n">
        <v>3156</v>
      </c>
      <c r="F3232" s="7" t="inlineStr">
        <is>
          <t>Yes</t>
        </is>
      </c>
      <c r="G3232" s="8" t="n"/>
    </row>
    <row r="3233">
      <c r="A3233" s="8" t="inlineStr">
        <is>
          <t>PGCV_0032_3157</t>
        </is>
      </c>
      <c r="B3233" s="8" t="inlineStr">
        <is>
          <t>COVID-SNL-22-89011</t>
        </is>
      </c>
      <c r="C3233" s="8" t="n"/>
      <c r="D3233" s="7" t="n">
        <v>32</v>
      </c>
      <c r="E3233" s="7" t="n">
        <v>3157</v>
      </c>
      <c r="F3233" s="7" t="inlineStr">
        <is>
          <t>Yes</t>
        </is>
      </c>
      <c r="G3233" s="8" t="n"/>
    </row>
    <row r="3234">
      <c r="A3234" s="8" t="inlineStr">
        <is>
          <t>PGCV_0032_3158</t>
        </is>
      </c>
      <c r="B3234" s="8" t="inlineStr">
        <is>
          <t>COVID-SNL-22-89096</t>
        </is>
      </c>
      <c r="C3234" s="8" t="n"/>
      <c r="D3234" s="7" t="n">
        <v>32</v>
      </c>
      <c r="E3234" s="7" t="n">
        <v>3158</v>
      </c>
      <c r="F3234" s="7" t="inlineStr">
        <is>
          <t>Yes</t>
        </is>
      </c>
      <c r="G3234" s="8" t="n"/>
    </row>
    <row r="3235">
      <c r="A3235" s="8" t="inlineStr">
        <is>
          <t>PGCV_0032_3159</t>
        </is>
      </c>
      <c r="B3235" s="8" t="inlineStr">
        <is>
          <t>COVID-SNL-22-89125</t>
        </is>
      </c>
      <c r="C3235" s="8" t="n"/>
      <c r="D3235" s="7" t="n">
        <v>32</v>
      </c>
      <c r="E3235" s="7" t="n">
        <v>3159</v>
      </c>
      <c r="F3235" s="7" t="inlineStr">
        <is>
          <t>Yes</t>
        </is>
      </c>
      <c r="G3235" s="8" t="n"/>
    </row>
    <row r="3236">
      <c r="A3236" s="8" t="inlineStr">
        <is>
          <t>PGCV_0032_3160</t>
        </is>
      </c>
      <c r="B3236" s="8" t="inlineStr">
        <is>
          <t>COVID-SNL-22-89167</t>
        </is>
      </c>
      <c r="C3236" s="8" t="n"/>
      <c r="D3236" s="7" t="n">
        <v>32</v>
      </c>
      <c r="E3236" s="7" t="n">
        <v>3160</v>
      </c>
      <c r="F3236" s="7" t="inlineStr">
        <is>
          <t>Yes</t>
        </is>
      </c>
      <c r="G3236" s="8" t="n"/>
    </row>
    <row r="3237">
      <c r="A3237" s="8" t="inlineStr">
        <is>
          <t>PGCV_0032_3161</t>
        </is>
      </c>
      <c r="B3237" s="8" t="inlineStr">
        <is>
          <t>COVID-SNL-22-89174</t>
        </is>
      </c>
      <c r="C3237" s="8" t="n"/>
      <c r="D3237" s="7" t="n">
        <v>32</v>
      </c>
      <c r="E3237" s="7" t="n">
        <v>3161</v>
      </c>
      <c r="F3237" s="7" t="inlineStr">
        <is>
          <t>Yes</t>
        </is>
      </c>
      <c r="G3237" s="8" t="n"/>
    </row>
    <row r="3238">
      <c r="A3238" s="8" t="inlineStr">
        <is>
          <t>PGCV_0032_3162</t>
        </is>
      </c>
      <c r="B3238" s="8" t="inlineStr">
        <is>
          <t>COVID-SNL-22-89169</t>
        </is>
      </c>
      <c r="C3238" s="8" t="n"/>
      <c r="D3238" s="7" t="n">
        <v>32</v>
      </c>
      <c r="E3238" s="7" t="n">
        <v>3162</v>
      </c>
      <c r="F3238" s="7" t="inlineStr">
        <is>
          <t>Yes</t>
        </is>
      </c>
      <c r="G3238" s="8" t="n"/>
    </row>
    <row r="3239">
      <c r="A3239" s="8" t="inlineStr">
        <is>
          <t>PGCV_0032_3163</t>
        </is>
      </c>
      <c r="B3239" s="8" t="inlineStr">
        <is>
          <t>COVID-SNL-22-89173</t>
        </is>
      </c>
      <c r="C3239" s="8" t="n"/>
      <c r="D3239" s="7" t="n">
        <v>32</v>
      </c>
      <c r="E3239" s="7" t="n">
        <v>3163</v>
      </c>
      <c r="F3239" s="7" t="inlineStr">
        <is>
          <t>Yes</t>
        </is>
      </c>
      <c r="G3239" s="8" t="n"/>
    </row>
    <row r="3240">
      <c r="A3240" s="8" t="inlineStr">
        <is>
          <t>PGCV_0032_3164</t>
        </is>
      </c>
      <c r="B3240" s="8" t="inlineStr">
        <is>
          <t>COVID-SNL-22-89188</t>
        </is>
      </c>
      <c r="C3240" s="8" t="n"/>
      <c r="D3240" s="7" t="n">
        <v>32</v>
      </c>
      <c r="E3240" s="7" t="n">
        <v>3164</v>
      </c>
      <c r="F3240" s="7" t="inlineStr">
        <is>
          <t>Yes</t>
        </is>
      </c>
      <c r="G3240" s="8" t="n"/>
    </row>
    <row r="3241">
      <c r="A3241" s="8" t="inlineStr">
        <is>
          <t>PGCV_0032_3165</t>
        </is>
      </c>
      <c r="B3241" s="8" t="inlineStr">
        <is>
          <t>COVID-SNL-22-89271</t>
        </is>
      </c>
      <c r="C3241" s="8" t="n"/>
      <c r="D3241" s="7" t="n">
        <v>32</v>
      </c>
      <c r="E3241" s="7" t="n">
        <v>3165</v>
      </c>
      <c r="F3241" s="7" t="inlineStr">
        <is>
          <t>Yes</t>
        </is>
      </c>
      <c r="G3241" s="8" t="n"/>
    </row>
    <row r="3242">
      <c r="A3242" s="8" t="inlineStr">
        <is>
          <t>PGCV_0032_3166</t>
        </is>
      </c>
      <c r="B3242" s="8" t="inlineStr">
        <is>
          <t>COVID-SNL-22-89275</t>
        </is>
      </c>
      <c r="C3242" s="8" t="n"/>
      <c r="D3242" s="7" t="n">
        <v>32</v>
      </c>
      <c r="E3242" s="7" t="n">
        <v>3166</v>
      </c>
      <c r="F3242" s="7" t="inlineStr">
        <is>
          <t>Yes</t>
        </is>
      </c>
      <c r="G3242" s="8" t="n"/>
    </row>
    <row r="3243">
      <c r="A3243" s="8" t="inlineStr">
        <is>
          <t>PGCV_0032_3167</t>
        </is>
      </c>
      <c r="B3243" s="8" t="inlineStr">
        <is>
          <t>COVID-SNL-22-89365</t>
        </is>
      </c>
      <c r="C3243" s="8" t="n"/>
      <c r="D3243" s="7" t="n">
        <v>32</v>
      </c>
      <c r="E3243" s="7" t="n">
        <v>3167</v>
      </c>
      <c r="F3243" s="7" t="inlineStr">
        <is>
          <t>Yes</t>
        </is>
      </c>
      <c r="G3243" s="8" t="n"/>
    </row>
    <row r="3244">
      <c r="A3244" s="8" t="inlineStr">
        <is>
          <t>PGCV_0032_3168</t>
        </is>
      </c>
      <c r="B3244" s="8" t="inlineStr">
        <is>
          <t>COVID-SNL-22-89366</t>
        </is>
      </c>
      <c r="C3244" s="8" t="n"/>
      <c r="D3244" s="7" t="n">
        <v>32</v>
      </c>
      <c r="E3244" s="7" t="n">
        <v>3168</v>
      </c>
      <c r="F3244" s="7" t="inlineStr">
        <is>
          <t>Yes</t>
        </is>
      </c>
      <c r="G3244" s="8" t="n"/>
    </row>
    <row r="3245">
      <c r="A3245" s="8" t="inlineStr">
        <is>
          <t>PGCV_0032_3169</t>
        </is>
      </c>
      <c r="B3245" s="8" t="inlineStr">
        <is>
          <t>COVID-SNL-22-89367</t>
        </is>
      </c>
      <c r="C3245" s="8" t="n"/>
      <c r="D3245" s="7" t="n">
        <v>32</v>
      </c>
      <c r="E3245" s="7" t="n">
        <v>3169</v>
      </c>
      <c r="F3245" s="7" t="inlineStr">
        <is>
          <t>Yes</t>
        </is>
      </c>
      <c r="G3245" s="8" t="n"/>
    </row>
    <row r="3246">
      <c r="A3246" s="8" t="inlineStr">
        <is>
          <t>PGCV_0032_3170</t>
        </is>
      </c>
      <c r="B3246" s="8" t="inlineStr">
        <is>
          <t>COVID-SNL-22-89354</t>
        </is>
      </c>
      <c r="C3246" s="8" t="n"/>
      <c r="D3246" s="7" t="n">
        <v>32</v>
      </c>
      <c r="E3246" s="7" t="n">
        <v>3170</v>
      </c>
      <c r="F3246" s="7" t="inlineStr">
        <is>
          <t>Yes</t>
        </is>
      </c>
      <c r="G3246" s="8" t="n"/>
    </row>
    <row r="3247">
      <c r="A3247" s="8" t="inlineStr">
        <is>
          <t>PGCV_0032_3171</t>
        </is>
      </c>
      <c r="B3247" s="8" t="inlineStr">
        <is>
          <t>COVID-SNL-22-89433</t>
        </is>
      </c>
      <c r="C3247" s="8" t="n"/>
      <c r="D3247" s="7" t="n">
        <v>32</v>
      </c>
      <c r="E3247" s="7" t="n">
        <v>3171</v>
      </c>
      <c r="F3247" s="7" t="inlineStr">
        <is>
          <t>Yes</t>
        </is>
      </c>
      <c r="G3247" s="8" t="n"/>
    </row>
    <row r="3248">
      <c r="A3248" s="8" t="inlineStr">
        <is>
          <t>PGCV_0032_3172</t>
        </is>
      </c>
      <c r="B3248" s="8" t="inlineStr">
        <is>
          <t>COVID-SNL-22-89452</t>
        </is>
      </c>
      <c r="C3248" s="8" t="n"/>
      <c r="D3248" s="7" t="n">
        <v>32</v>
      </c>
      <c r="E3248" s="7" t="n">
        <v>3172</v>
      </c>
      <c r="F3248" s="7" t="inlineStr">
        <is>
          <t>Yes</t>
        </is>
      </c>
      <c r="G3248" s="8" t="n"/>
    </row>
    <row r="3249">
      <c r="A3249" s="8" t="inlineStr">
        <is>
          <t>PGCV_0032_3173</t>
        </is>
      </c>
      <c r="B3249" s="8" t="inlineStr">
        <is>
          <t>COVID-SNL-22-89473</t>
        </is>
      </c>
      <c r="C3249" s="8" t="n"/>
      <c r="D3249" s="7" t="n">
        <v>32</v>
      </c>
      <c r="E3249" s="7" t="n">
        <v>3173</v>
      </c>
      <c r="F3249" s="7" t="inlineStr">
        <is>
          <t>Yes</t>
        </is>
      </c>
      <c r="G3249" s="8" t="n"/>
    </row>
    <row r="3250">
      <c r="A3250" s="8" t="inlineStr">
        <is>
          <t>PGCV_0032_3174</t>
        </is>
      </c>
      <c r="B3250" s="8" t="inlineStr">
        <is>
          <t>COVID-SNL-22-89530</t>
        </is>
      </c>
      <c r="C3250" s="8" t="n"/>
      <c r="D3250" s="7" t="n">
        <v>32</v>
      </c>
      <c r="E3250" s="7" t="n">
        <v>3174</v>
      </c>
      <c r="F3250" s="7" t="inlineStr">
        <is>
          <t>Yes</t>
        </is>
      </c>
      <c r="G3250" s="8" t="n"/>
    </row>
    <row r="3251">
      <c r="A3251" s="8" t="inlineStr">
        <is>
          <t>PGCV_0032_3175</t>
        </is>
      </c>
      <c r="B3251" s="8" t="inlineStr">
        <is>
          <t>COVID-SNL-22-89638</t>
        </is>
      </c>
      <c r="C3251" s="8" t="n"/>
      <c r="D3251" s="7" t="n">
        <v>32</v>
      </c>
      <c r="E3251" s="7" t="n">
        <v>3175</v>
      </c>
      <c r="F3251" s="7" t="inlineStr">
        <is>
          <t>Yes</t>
        </is>
      </c>
      <c r="G3251" s="8" t="n"/>
    </row>
    <row r="3252">
      <c r="A3252" s="8" t="inlineStr">
        <is>
          <t>PGCV_0032_3176</t>
        </is>
      </c>
      <c r="B3252" s="8" t="inlineStr">
        <is>
          <t>COVID-SNL-22-89591</t>
        </is>
      </c>
      <c r="C3252" s="8" t="n"/>
      <c r="D3252" s="7" t="n">
        <v>32</v>
      </c>
      <c r="E3252" s="7" t="n">
        <v>3176</v>
      </c>
      <c r="F3252" s="7" t="inlineStr">
        <is>
          <t>Yes</t>
        </is>
      </c>
      <c r="G3252" s="8" t="n"/>
    </row>
    <row r="3253">
      <c r="A3253" s="8" t="inlineStr">
        <is>
          <t>PGCV_0032_3177</t>
        </is>
      </c>
      <c r="B3253" s="8" t="inlineStr">
        <is>
          <t>COVID-SNL-22-89594</t>
        </is>
      </c>
      <c r="C3253" s="8" t="n"/>
      <c r="D3253" s="7" t="n">
        <v>32</v>
      </c>
      <c r="E3253" s="7" t="n">
        <v>3177</v>
      </c>
      <c r="F3253" s="7" t="inlineStr">
        <is>
          <t>Yes</t>
        </is>
      </c>
      <c r="G3253" s="8" t="n"/>
    </row>
    <row r="3254">
      <c r="A3254" s="8" t="inlineStr">
        <is>
          <t>PGCV_0032_3178</t>
        </is>
      </c>
      <c r="B3254" s="8" t="inlineStr">
        <is>
          <t>COVID-SNL-22-89606</t>
        </is>
      </c>
      <c r="C3254" s="8" t="n"/>
      <c r="D3254" s="7" t="n">
        <v>32</v>
      </c>
      <c r="E3254" s="7" t="n">
        <v>3178</v>
      </c>
      <c r="F3254" s="7" t="inlineStr">
        <is>
          <t>Yes</t>
        </is>
      </c>
      <c r="G3254" s="8" t="n"/>
    </row>
    <row r="3255">
      <c r="A3255" s="8" t="inlineStr">
        <is>
          <t>PGCV_0032_3179</t>
        </is>
      </c>
      <c r="B3255" s="8" t="inlineStr">
        <is>
          <t>COVID-SNL-22-89628</t>
        </is>
      </c>
      <c r="C3255" s="8" t="n"/>
      <c r="D3255" s="7" t="n">
        <v>32</v>
      </c>
      <c r="E3255" s="7" t="n">
        <v>3179</v>
      </c>
      <c r="F3255" s="7" t="inlineStr">
        <is>
          <t>Yes</t>
        </is>
      </c>
      <c r="G3255" s="8" t="n"/>
    </row>
    <row r="3256">
      <c r="A3256" s="8" t="inlineStr">
        <is>
          <t>PGCV_0032_3180</t>
        </is>
      </c>
      <c r="B3256" s="8" t="inlineStr">
        <is>
          <t>COVID-SNL-22-89726</t>
        </is>
      </c>
      <c r="C3256" s="8" t="n"/>
      <c r="D3256" s="7" t="n">
        <v>32</v>
      </c>
      <c r="E3256" s="7" t="n">
        <v>3180</v>
      </c>
      <c r="F3256" s="7" t="inlineStr">
        <is>
          <t>Yes</t>
        </is>
      </c>
      <c r="G3256" s="8" t="n"/>
    </row>
    <row r="3257">
      <c r="A3257" s="8" t="inlineStr">
        <is>
          <t>PGCV_0032_3181</t>
        </is>
      </c>
      <c r="B3257" s="8" t="inlineStr">
        <is>
          <t>COVID-SNL-22-89749</t>
        </is>
      </c>
      <c r="C3257" s="8" t="n"/>
      <c r="D3257" s="7" t="n">
        <v>32</v>
      </c>
      <c r="E3257" s="7" t="n">
        <v>3181</v>
      </c>
      <c r="F3257" s="7" t="inlineStr">
        <is>
          <t>Yes</t>
        </is>
      </c>
      <c r="G3257" s="8" t="n"/>
    </row>
    <row r="3258">
      <c r="A3258" s="8" t="inlineStr">
        <is>
          <t>PGCV_0032_3182</t>
        </is>
      </c>
      <c r="B3258" s="8" t="inlineStr">
        <is>
          <t>22-42379</t>
        </is>
      </c>
      <c r="C3258" s="8" t="n"/>
      <c r="D3258" s="7" t="n">
        <v>32</v>
      </c>
      <c r="E3258" s="7" t="n">
        <v>3182</v>
      </c>
      <c r="F3258" s="7" t="inlineStr">
        <is>
          <t>Yes</t>
        </is>
      </c>
      <c r="G3258" s="8" t="n"/>
    </row>
    <row r="3259">
      <c r="A3259" s="8" t="inlineStr">
        <is>
          <t>PGCV_0032_3183</t>
        </is>
      </c>
      <c r="B3259" s="8" t="inlineStr">
        <is>
          <t>22-42382</t>
        </is>
      </c>
      <c r="C3259" s="8" t="n"/>
      <c r="D3259" s="7" t="n">
        <v>32</v>
      </c>
      <c r="E3259" s="7" t="n">
        <v>3183</v>
      </c>
      <c r="F3259" s="7" t="inlineStr">
        <is>
          <t>Yes</t>
        </is>
      </c>
      <c r="G3259" s="8" t="n"/>
    </row>
    <row r="3260">
      <c r="A3260" s="8" t="inlineStr">
        <is>
          <t>PGCV_0032_3184</t>
        </is>
      </c>
      <c r="B3260" s="8" t="inlineStr">
        <is>
          <t>22-42404</t>
        </is>
      </c>
      <c r="C3260" s="8" t="n"/>
      <c r="D3260" s="7" t="n">
        <v>32</v>
      </c>
      <c r="E3260" s="7" t="n">
        <v>3184</v>
      </c>
      <c r="F3260" s="7" t="inlineStr">
        <is>
          <t>Yes</t>
        </is>
      </c>
      <c r="G3260" s="8" t="n"/>
    </row>
    <row r="3261">
      <c r="A3261" s="8" t="inlineStr">
        <is>
          <t>PGCV_0032_3185</t>
        </is>
      </c>
      <c r="B3261" s="8" t="inlineStr">
        <is>
          <t>22-42426</t>
        </is>
      </c>
      <c r="C3261" s="8" t="n"/>
      <c r="D3261" s="7" t="n">
        <v>32</v>
      </c>
      <c r="E3261" s="7" t="n">
        <v>3185</v>
      </c>
      <c r="F3261" s="7" t="inlineStr">
        <is>
          <t>Yes</t>
        </is>
      </c>
      <c r="G3261" s="8" t="n"/>
    </row>
    <row r="3262">
      <c r="A3262" s="8" t="inlineStr">
        <is>
          <t>PGCV_0032_3186</t>
        </is>
      </c>
      <c r="B3262" s="8" t="inlineStr">
        <is>
          <t>22-42487</t>
        </is>
      </c>
      <c r="C3262" s="8" t="n"/>
      <c r="D3262" s="7" t="n">
        <v>32</v>
      </c>
      <c r="E3262" s="7" t="n">
        <v>3186</v>
      </c>
      <c r="F3262" s="7" t="inlineStr">
        <is>
          <t>Yes</t>
        </is>
      </c>
      <c r="G3262" s="8" t="n"/>
    </row>
    <row r="3263">
      <c r="A3263" s="8" t="inlineStr">
        <is>
          <t>PGCV_0032_3187</t>
        </is>
      </c>
      <c r="B3263" s="8" t="inlineStr">
        <is>
          <t>22-42562</t>
        </is>
      </c>
      <c r="C3263" s="8" t="n"/>
      <c r="D3263" s="7" t="n">
        <v>32</v>
      </c>
      <c r="E3263" s="7" t="n">
        <v>3187</v>
      </c>
      <c r="F3263" s="7" t="inlineStr">
        <is>
          <t>Yes</t>
        </is>
      </c>
      <c r="G3263" s="8" t="n"/>
    </row>
    <row r="3264">
      <c r="A3264" s="8" t="inlineStr">
        <is>
          <t>PGCV_0032_3188</t>
        </is>
      </c>
      <c r="B3264" s="8" t="inlineStr">
        <is>
          <t>22-42696</t>
        </is>
      </c>
      <c r="C3264" s="8" t="n"/>
      <c r="D3264" s="7" t="n">
        <v>32</v>
      </c>
      <c r="E3264" s="7" t="n">
        <v>3188</v>
      </c>
      <c r="F3264" s="7" t="inlineStr">
        <is>
          <t>Yes</t>
        </is>
      </c>
      <c r="G3264" s="8" t="n"/>
    </row>
    <row r="3265">
      <c r="A3265" s="8" t="inlineStr">
        <is>
          <t>PGCV_0032_3189</t>
        </is>
      </c>
      <c r="B3265" s="8" t="inlineStr">
        <is>
          <t>22-42790</t>
        </is>
      </c>
      <c r="C3265" s="8" t="n"/>
      <c r="D3265" s="7" t="n">
        <v>32</v>
      </c>
      <c r="E3265" s="7" t="n">
        <v>3189</v>
      </c>
      <c r="F3265" s="7" t="inlineStr">
        <is>
          <t>Yes</t>
        </is>
      </c>
      <c r="G3265" s="8" t="n"/>
    </row>
    <row r="3266">
      <c r="A3266" s="8" t="inlineStr">
        <is>
          <t>PGCV_0032_3190</t>
        </is>
      </c>
      <c r="B3266" s="8" t="inlineStr">
        <is>
          <t>22-42802</t>
        </is>
      </c>
      <c r="C3266" s="8" t="n"/>
      <c r="D3266" s="7" t="n">
        <v>32</v>
      </c>
      <c r="E3266" s="7" t="n">
        <v>3190</v>
      </c>
      <c r="F3266" s="7" t="inlineStr">
        <is>
          <t>Yes</t>
        </is>
      </c>
      <c r="G3266" s="8" t="n"/>
    </row>
    <row r="3267">
      <c r="A3267" s="8" t="inlineStr">
        <is>
          <t>PGCV_0032_3191</t>
        </is>
      </c>
      <c r="B3267" s="8" t="inlineStr">
        <is>
          <t>22-42875</t>
        </is>
      </c>
      <c r="C3267" s="8" t="n"/>
      <c r="D3267" s="7" t="n">
        <v>32</v>
      </c>
      <c r="E3267" s="7" t="n">
        <v>3191</v>
      </c>
      <c r="F3267" s="7" t="inlineStr">
        <is>
          <t>Yes</t>
        </is>
      </c>
      <c r="G3267" s="8" t="n"/>
    </row>
    <row r="3268">
      <c r="A3268" s="8" t="inlineStr">
        <is>
          <t>PGCV_0032_3192</t>
        </is>
      </c>
      <c r="B3268" s="8" t="inlineStr">
        <is>
          <t>22-42881</t>
        </is>
      </c>
      <c r="C3268" s="8" t="n"/>
      <c r="D3268" s="7" t="n">
        <v>32</v>
      </c>
      <c r="E3268" s="7" t="n">
        <v>3192</v>
      </c>
      <c r="F3268" s="7" t="inlineStr">
        <is>
          <t>Yes</t>
        </is>
      </c>
      <c r="G3268" s="8" t="n"/>
    </row>
    <row r="3269">
      <c r="A3269" s="8" t="inlineStr">
        <is>
          <t>PGCV_0032_3193</t>
        </is>
      </c>
      <c r="B3269" s="8" t="inlineStr">
        <is>
          <t>22-42909</t>
        </is>
      </c>
      <c r="C3269" s="8" t="n"/>
      <c r="D3269" s="7" t="n">
        <v>32</v>
      </c>
      <c r="E3269" s="7" t="n">
        <v>3193</v>
      </c>
      <c r="F3269" s="7" t="inlineStr">
        <is>
          <t>Yes</t>
        </is>
      </c>
      <c r="G3269" s="8" t="n"/>
    </row>
    <row r="3270">
      <c r="A3270" s="8" t="inlineStr">
        <is>
          <t>PGCV_0032_3194</t>
        </is>
      </c>
      <c r="B3270" s="8" t="inlineStr">
        <is>
          <t>C37976</t>
        </is>
      </c>
      <c r="C3270" s="8" t="n"/>
      <c r="D3270" s="7" t="n">
        <v>32</v>
      </c>
      <c r="E3270" s="7" t="n">
        <v>3194</v>
      </c>
      <c r="F3270" s="7" t="inlineStr">
        <is>
          <t>Yes</t>
        </is>
      </c>
      <c r="G3270" s="8" t="n"/>
    </row>
    <row r="3271">
      <c r="A3271" s="8" t="inlineStr">
        <is>
          <t>PGCV_0032_3195</t>
        </is>
      </c>
      <c r="B3271" s="8" t="inlineStr">
        <is>
          <t>C38011</t>
        </is>
      </c>
      <c r="C3271" s="8" t="n"/>
      <c r="D3271" s="7" t="n">
        <v>32</v>
      </c>
      <c r="E3271" s="7" t="n">
        <v>3195</v>
      </c>
      <c r="F3271" s="7" t="inlineStr">
        <is>
          <t>Yes</t>
        </is>
      </c>
      <c r="G3271" s="8" t="n"/>
    </row>
    <row r="3272">
      <c r="A3272" s="8" t="inlineStr">
        <is>
          <t>PGCV_0032_3196</t>
        </is>
      </c>
      <c r="B3272" s="8" t="inlineStr">
        <is>
          <t>C38069</t>
        </is>
      </c>
      <c r="C3272" s="8" t="n"/>
      <c r="D3272" s="7" t="n">
        <v>32</v>
      </c>
      <c r="E3272" s="7" t="n">
        <v>3196</v>
      </c>
      <c r="F3272" s="7" t="inlineStr">
        <is>
          <t>Yes</t>
        </is>
      </c>
      <c r="G3272" s="8" t="n"/>
    </row>
    <row r="3273">
      <c r="A3273" s="8" t="inlineStr">
        <is>
          <t>PGCV_0032_3197</t>
        </is>
      </c>
      <c r="B3273" s="8" t="inlineStr">
        <is>
          <t>C38073</t>
        </is>
      </c>
      <c r="C3273" s="8" t="n"/>
      <c r="D3273" s="7" t="n">
        <v>32</v>
      </c>
      <c r="E3273" s="7" t="n">
        <v>3197</v>
      </c>
      <c r="F3273" s="7" t="inlineStr">
        <is>
          <t>Yes</t>
        </is>
      </c>
      <c r="G3273" s="8" t="n"/>
    </row>
    <row r="3274">
      <c r="A3274" s="8" t="inlineStr">
        <is>
          <t>PGCV_0032_3198</t>
        </is>
      </c>
      <c r="B3274" s="8" t="inlineStr">
        <is>
          <t>C38227</t>
        </is>
      </c>
      <c r="C3274" s="8" t="n"/>
      <c r="D3274" s="7" t="n">
        <v>32</v>
      </c>
      <c r="E3274" s="7" t="n">
        <v>3198</v>
      </c>
      <c r="F3274" s="7" t="inlineStr">
        <is>
          <t>Yes</t>
        </is>
      </c>
      <c r="G3274" s="8" t="n"/>
    </row>
    <row r="3275">
      <c r="A3275" s="8" t="inlineStr">
        <is>
          <t>PGCV_0032_3199</t>
        </is>
      </c>
      <c r="B3275" s="8" t="inlineStr">
        <is>
          <t>C38516</t>
        </is>
      </c>
      <c r="C3275" s="8" t="n"/>
      <c r="D3275" s="7" t="n">
        <v>32</v>
      </c>
      <c r="E3275" s="7" t="n">
        <v>3199</v>
      </c>
      <c r="F3275" s="7" t="inlineStr">
        <is>
          <t>No</t>
        </is>
      </c>
      <c r="G3275" s="8" t="n"/>
    </row>
    <row r="3276">
      <c r="A3276" s="8" t="inlineStr">
        <is>
          <t>PGCV_0032_3200</t>
        </is>
      </c>
      <c r="B3276" s="8" t="inlineStr">
        <is>
          <t>C38540</t>
        </is>
      </c>
      <c r="C3276" s="8" t="n"/>
      <c r="D3276" s="7" t="n">
        <v>32</v>
      </c>
      <c r="E3276" s="7" t="n">
        <v>3200</v>
      </c>
      <c r="F3276" s="7" t="inlineStr">
        <is>
          <t>Yes</t>
        </is>
      </c>
      <c r="G3276" s="8" t="n"/>
    </row>
    <row r="3277">
      <c r="A3277" s="8" t="inlineStr">
        <is>
          <t>PGCV_0032_3201</t>
        </is>
      </c>
      <c r="B3277" s="8" t="inlineStr">
        <is>
          <t>C38553</t>
        </is>
      </c>
      <c r="C3277" s="8" t="n"/>
      <c r="D3277" s="7" t="n">
        <v>32</v>
      </c>
      <c r="E3277" s="7" t="n">
        <v>3201</v>
      </c>
      <c r="F3277" s="7" t="inlineStr">
        <is>
          <t>Yes</t>
        </is>
      </c>
      <c r="G3277" s="8" t="n"/>
    </row>
    <row r="3278">
      <c r="A3278" s="8" t="inlineStr">
        <is>
          <t>PGCV_0032_3202</t>
        </is>
      </c>
      <c r="B3278" s="8" t="inlineStr">
        <is>
          <t>C38658</t>
        </is>
      </c>
      <c r="C3278" s="8" t="n"/>
      <c r="D3278" s="7" t="n">
        <v>32</v>
      </c>
      <c r="E3278" s="7" t="n">
        <v>3202</v>
      </c>
      <c r="F3278" s="7" t="inlineStr">
        <is>
          <t>Yes</t>
        </is>
      </c>
      <c r="G3278" s="8" t="n"/>
    </row>
    <row r="3279">
      <c r="A3279" s="8" t="inlineStr">
        <is>
          <t>PGCV_0032_3203</t>
        </is>
      </c>
      <c r="B3279" s="8" t="inlineStr">
        <is>
          <t>C38665</t>
        </is>
      </c>
      <c r="C3279" s="8" t="n"/>
      <c r="D3279" s="7" t="n">
        <v>32</v>
      </c>
      <c r="E3279" s="7" t="n">
        <v>3203</v>
      </c>
      <c r="F3279" s="7" t="inlineStr">
        <is>
          <t>Yes</t>
        </is>
      </c>
      <c r="G3279" s="8" t="n"/>
    </row>
    <row r="3280">
      <c r="A3280" s="8" t="inlineStr">
        <is>
          <t>PGCV_0032_3204</t>
        </is>
      </c>
      <c r="B3280" s="8" t="inlineStr">
        <is>
          <t>765B118759</t>
        </is>
      </c>
      <c r="C3280" s="8" t="n"/>
      <c r="D3280" s="7" t="n">
        <v>32</v>
      </c>
      <c r="E3280" s="7" t="n">
        <v>3204</v>
      </c>
      <c r="F3280" s="7" t="inlineStr">
        <is>
          <t>Yes</t>
        </is>
      </c>
      <c r="G3280" s="8" t="n"/>
    </row>
    <row r="3281">
      <c r="A3281" s="8" t="inlineStr">
        <is>
          <t>PGCV_0032_3205</t>
        </is>
      </c>
      <c r="B3281" s="8" t="inlineStr">
        <is>
          <t>765B118763</t>
        </is>
      </c>
      <c r="C3281" s="8" t="n"/>
      <c r="D3281" s="7" t="n">
        <v>32</v>
      </c>
      <c r="E3281" s="7" t="n">
        <v>3205</v>
      </c>
      <c r="F3281" s="7" t="inlineStr">
        <is>
          <t>Yes</t>
        </is>
      </c>
      <c r="G3281" s="8" t="n"/>
    </row>
    <row r="3282">
      <c r="A3282" s="8" t="inlineStr">
        <is>
          <t>PGCV_0032_3206</t>
        </is>
      </c>
      <c r="B3282" s="8" t="inlineStr">
        <is>
          <t>765B118764</t>
        </is>
      </c>
      <c r="C3282" s="8" t="n"/>
      <c r="D3282" s="7" t="n">
        <v>32</v>
      </c>
      <c r="E3282" s="7" t="n">
        <v>3206</v>
      </c>
      <c r="F3282" s="7" t="inlineStr">
        <is>
          <t>Yes</t>
        </is>
      </c>
      <c r="G3282" s="8" t="n"/>
    </row>
    <row r="3283">
      <c r="A3283" s="8" t="inlineStr">
        <is>
          <t>PGCV_0032_3207</t>
        </is>
      </c>
      <c r="B3283" s="8" t="inlineStr">
        <is>
          <t>765B118769</t>
        </is>
      </c>
      <c r="C3283" s="8" t="n"/>
      <c r="D3283" s="7" t="n">
        <v>32</v>
      </c>
      <c r="E3283" s="7" t="n">
        <v>3207</v>
      </c>
      <c r="F3283" s="7" t="inlineStr">
        <is>
          <t>Yes</t>
        </is>
      </c>
      <c r="G3283" s="8" t="n"/>
    </row>
    <row r="3284">
      <c r="A3284" s="8" t="inlineStr">
        <is>
          <t>PGCV_0032_3208</t>
        </is>
      </c>
      <c r="B3284" s="8" t="inlineStr">
        <is>
          <t>766B118806</t>
        </is>
      </c>
      <c r="C3284" s="8" t="n"/>
      <c r="D3284" s="7" t="n">
        <v>32</v>
      </c>
      <c r="E3284" s="7" t="n">
        <v>3208</v>
      </c>
      <c r="F3284" s="7" t="inlineStr">
        <is>
          <t>Yes</t>
        </is>
      </c>
      <c r="G3284" s="8" t="n"/>
    </row>
    <row r="3285">
      <c r="A3285" s="8" t="inlineStr">
        <is>
          <t>PGCV_0032_3209</t>
        </is>
      </c>
      <c r="B3285" s="8" t="inlineStr">
        <is>
          <t>766B118873</t>
        </is>
      </c>
      <c r="C3285" s="8" t="n"/>
      <c r="D3285" s="7" t="n">
        <v>32</v>
      </c>
      <c r="E3285" s="7" t="n">
        <v>3209</v>
      </c>
      <c r="F3285" s="7" t="inlineStr">
        <is>
          <t>Yes</t>
        </is>
      </c>
      <c r="G3285" s="8" t="n"/>
    </row>
    <row r="3286">
      <c r="A3286" s="8" t="inlineStr">
        <is>
          <t>PGCV_0032_3210</t>
        </is>
      </c>
      <c r="B3286" s="8" t="inlineStr">
        <is>
          <t>767B119009</t>
        </is>
      </c>
      <c r="C3286" s="8" t="n"/>
      <c r="D3286" s="7" t="n">
        <v>32</v>
      </c>
      <c r="E3286" s="7" t="n">
        <v>3210</v>
      </c>
      <c r="F3286" s="7" t="inlineStr">
        <is>
          <t>Yes</t>
        </is>
      </c>
      <c r="G3286" s="8" t="n"/>
    </row>
    <row r="3287">
      <c r="A3287" s="8" t="inlineStr">
        <is>
          <t>PGCV_0032_3211</t>
        </is>
      </c>
      <c r="B3287" s="8" t="inlineStr">
        <is>
          <t>767B119052</t>
        </is>
      </c>
      <c r="C3287" s="8" t="n"/>
      <c r="D3287" s="7" t="n">
        <v>32</v>
      </c>
      <c r="E3287" s="7" t="n">
        <v>3211</v>
      </c>
      <c r="F3287" s="7" t="inlineStr">
        <is>
          <t>Yes</t>
        </is>
      </c>
      <c r="G3287" s="8" t="n"/>
    </row>
    <row r="3288">
      <c r="A3288" s="8" t="inlineStr">
        <is>
          <t>PGCV_0032_3212</t>
        </is>
      </c>
      <c r="B3288" s="8" t="inlineStr">
        <is>
          <t>767B119054</t>
        </is>
      </c>
      <c r="C3288" s="8" t="n"/>
      <c r="D3288" s="7" t="n">
        <v>32</v>
      </c>
      <c r="E3288" s="7" t="n">
        <v>3212</v>
      </c>
      <c r="F3288" s="7" t="inlineStr">
        <is>
          <t>Yes</t>
        </is>
      </c>
      <c r="G3288" s="8" t="n"/>
    </row>
    <row r="3289">
      <c r="A3289" s="8" t="inlineStr">
        <is>
          <t>PGCV_0032_3213</t>
        </is>
      </c>
      <c r="B3289" s="8" t="inlineStr">
        <is>
          <t>767B119057</t>
        </is>
      </c>
      <c r="C3289" s="8" t="n"/>
      <c r="D3289" s="7" t="n">
        <v>32</v>
      </c>
      <c r="E3289" s="7" t="n">
        <v>3213</v>
      </c>
      <c r="F3289" s="7" t="inlineStr">
        <is>
          <t>Yes</t>
        </is>
      </c>
      <c r="G3289" s="8" t="n"/>
    </row>
    <row r="3290">
      <c r="A3290" s="8" t="inlineStr">
        <is>
          <t>PGCV_0032_3214</t>
        </is>
      </c>
      <c r="B3290" s="8" t="inlineStr">
        <is>
          <t>768B119107</t>
        </is>
      </c>
      <c r="C3290" s="8" t="n"/>
      <c r="D3290" s="7" t="n">
        <v>32</v>
      </c>
      <c r="E3290" s="7" t="n">
        <v>3214</v>
      </c>
      <c r="F3290" s="7" t="inlineStr">
        <is>
          <t>Yes</t>
        </is>
      </c>
      <c r="G3290" s="8" t="n"/>
    </row>
    <row r="3291">
      <c r="A3291" s="8" t="inlineStr">
        <is>
          <t>PGCV_0032_3215</t>
        </is>
      </c>
      <c r="B3291" s="8" t="inlineStr">
        <is>
          <t>768B119150</t>
        </is>
      </c>
      <c r="C3291" s="8" t="n"/>
      <c r="D3291" s="7" t="n">
        <v>32</v>
      </c>
      <c r="E3291" s="7" t="n">
        <v>3215</v>
      </c>
      <c r="F3291" s="7" t="inlineStr">
        <is>
          <t>Yes</t>
        </is>
      </c>
      <c r="G3291" s="8" t="n"/>
    </row>
    <row r="3292">
      <c r="A3292" s="8" t="inlineStr">
        <is>
          <t>PGCV_0032_3216</t>
        </is>
      </c>
      <c r="B3292" s="8" t="inlineStr">
        <is>
          <t>768B119153</t>
        </is>
      </c>
      <c r="C3292" s="8" t="n"/>
      <c r="D3292" s="7" t="n">
        <v>32</v>
      </c>
      <c r="E3292" s="7" t="n">
        <v>3216</v>
      </c>
      <c r="F3292" s="7" t="inlineStr">
        <is>
          <t>Yes</t>
        </is>
      </c>
      <c r="G3292" s="8" t="n"/>
    </row>
    <row r="3293">
      <c r="A3293" s="8" t="inlineStr">
        <is>
          <t>PGCV_0032_3217</t>
        </is>
      </c>
      <c r="B3293" s="8" t="inlineStr">
        <is>
          <t>768B119160</t>
        </is>
      </c>
      <c r="C3293" s="8" t="n"/>
      <c r="D3293" s="7" t="n">
        <v>32</v>
      </c>
      <c r="E3293" s="7" t="n">
        <v>3217</v>
      </c>
      <c r="F3293" s="7" t="inlineStr">
        <is>
          <t>Yes</t>
        </is>
      </c>
      <c r="G3293" s="8" t="n"/>
    </row>
    <row r="3294">
      <c r="A3294" s="8" t="inlineStr">
        <is>
          <t>PGCV_0032_3218</t>
        </is>
      </c>
      <c r="B3294" s="8" t="inlineStr">
        <is>
          <t>768B119162</t>
        </is>
      </c>
      <c r="C3294" s="8" t="n"/>
      <c r="D3294" s="7" t="n">
        <v>32</v>
      </c>
      <c r="E3294" s="7" t="n">
        <v>3218</v>
      </c>
      <c r="F3294" s="7" t="inlineStr">
        <is>
          <t>Yes</t>
        </is>
      </c>
      <c r="G3294" s="8" t="n"/>
    </row>
    <row r="3295">
      <c r="A3295" s="8" t="inlineStr">
        <is>
          <t>PGCV_0032_3219</t>
        </is>
      </c>
      <c r="B3295" s="8" t="inlineStr">
        <is>
          <t>768B119177</t>
        </is>
      </c>
      <c r="C3295" s="8" t="n"/>
      <c r="D3295" s="7" t="n">
        <v>32</v>
      </c>
      <c r="E3295" s="7" t="n">
        <v>3219</v>
      </c>
      <c r="F3295" s="7" t="inlineStr">
        <is>
          <t>Yes</t>
        </is>
      </c>
      <c r="G3295" s="8" t="n"/>
    </row>
    <row r="3296">
      <c r="A3296" s="8" t="inlineStr">
        <is>
          <t>PGCV_0032_3220</t>
        </is>
      </c>
      <c r="B3296" s="8" t="inlineStr">
        <is>
          <t>769B119220</t>
        </is>
      </c>
      <c r="C3296" s="8" t="n"/>
      <c r="D3296" s="7" t="n">
        <v>32</v>
      </c>
      <c r="E3296" s="7" t="n">
        <v>3220</v>
      </c>
      <c r="F3296" s="7" t="inlineStr">
        <is>
          <t>Yes</t>
        </is>
      </c>
      <c r="G3296" s="8" t="n"/>
    </row>
    <row r="3297">
      <c r="A3297" s="8" t="inlineStr">
        <is>
          <t>PGCV_0032_3221</t>
        </is>
      </c>
      <c r="B3297" s="8" t="inlineStr">
        <is>
          <t>769B119244</t>
        </is>
      </c>
      <c r="C3297" s="8" t="n"/>
      <c r="D3297" s="7" t="n">
        <v>32</v>
      </c>
      <c r="E3297" s="7" t="n">
        <v>3221</v>
      </c>
      <c r="F3297" s="7" t="inlineStr">
        <is>
          <t>Yes</t>
        </is>
      </c>
      <c r="G3297" s="8" t="n"/>
    </row>
    <row r="3298">
      <c r="A3298" s="8" t="inlineStr">
        <is>
          <t>PGCV_0032_3222</t>
        </is>
      </c>
      <c r="B3298" s="8" t="inlineStr">
        <is>
          <t>769B119262</t>
        </is>
      </c>
      <c r="C3298" s="8" t="n"/>
      <c r="D3298" s="7" t="n">
        <v>32</v>
      </c>
      <c r="E3298" s="7" t="n">
        <v>3222</v>
      </c>
      <c r="F3298" s="7" t="inlineStr">
        <is>
          <t>Yes</t>
        </is>
      </c>
      <c r="G3298" s="8" t="n"/>
    </row>
    <row r="3299">
      <c r="A3299" s="8" t="inlineStr">
        <is>
          <t>PGCV_0033_3223</t>
        </is>
      </c>
      <c r="B3299" s="8" t="inlineStr">
        <is>
          <t>MLAB179065</t>
        </is>
      </c>
      <c r="C3299" s="8" t="n"/>
      <c r="D3299" s="7" t="n">
        <v>33</v>
      </c>
      <c r="E3299" s="7" t="n">
        <v>3223</v>
      </c>
      <c r="F3299" s="7" t="inlineStr">
        <is>
          <t>Yes</t>
        </is>
      </c>
      <c r="G3299" s="8" t="n"/>
    </row>
    <row r="3300">
      <c r="A3300" s="8" t="inlineStr">
        <is>
          <t>PGCV_0033_3224</t>
        </is>
      </c>
      <c r="B3300" s="8" t="inlineStr">
        <is>
          <t>MLAB179125</t>
        </is>
      </c>
      <c r="C3300" s="8" t="n"/>
      <c r="D3300" s="7" t="n">
        <v>33</v>
      </c>
      <c r="E3300" s="7" t="n">
        <v>3224</v>
      </c>
      <c r="F3300" s="7" t="inlineStr">
        <is>
          <t>Yes</t>
        </is>
      </c>
      <c r="G3300" s="8" t="n"/>
    </row>
    <row r="3301">
      <c r="A3301" s="8" t="inlineStr">
        <is>
          <t>PGCV_0033_3225</t>
        </is>
      </c>
      <c r="B3301" s="8" t="inlineStr">
        <is>
          <t>MLAB179127</t>
        </is>
      </c>
      <c r="C3301" s="8" t="n"/>
      <c r="D3301" s="7" t="n">
        <v>33</v>
      </c>
      <c r="E3301" s="7" t="n">
        <v>3225</v>
      </c>
      <c r="F3301" s="7" t="inlineStr">
        <is>
          <t>Yes</t>
        </is>
      </c>
      <c r="G3301" s="8" t="n"/>
    </row>
    <row r="3302">
      <c r="A3302" s="8" t="inlineStr">
        <is>
          <t>PGCV_0033_3226</t>
        </is>
      </c>
      <c r="B3302" s="8" t="inlineStr">
        <is>
          <t>MLAB179161</t>
        </is>
      </c>
      <c r="C3302" s="8" t="n"/>
      <c r="D3302" s="7" t="n">
        <v>33</v>
      </c>
      <c r="E3302" s="7" t="n">
        <v>3226</v>
      </c>
      <c r="F3302" s="7" t="inlineStr">
        <is>
          <t>Yes</t>
        </is>
      </c>
      <c r="G3302" s="8" t="n"/>
    </row>
    <row r="3303">
      <c r="A3303" s="8" t="inlineStr">
        <is>
          <t>PGCV_0033_3227</t>
        </is>
      </c>
      <c r="B3303" s="8" t="inlineStr">
        <is>
          <t>MLAB179169</t>
        </is>
      </c>
      <c r="C3303" s="8" t="n"/>
      <c r="D3303" s="7" t="n">
        <v>33</v>
      </c>
      <c r="E3303" s="7" t="n">
        <v>3227</v>
      </c>
      <c r="F3303" s="7" t="inlineStr">
        <is>
          <t>Yes</t>
        </is>
      </c>
      <c r="G3303" s="8" t="n"/>
    </row>
    <row r="3304">
      <c r="A3304" s="8" t="inlineStr">
        <is>
          <t>PGCV_0033_3228</t>
        </is>
      </c>
      <c r="B3304" s="8" t="inlineStr">
        <is>
          <t>MLAB179177</t>
        </is>
      </c>
      <c r="C3304" s="8" t="n"/>
      <c r="D3304" s="7" t="n">
        <v>33</v>
      </c>
      <c r="E3304" s="7" t="n">
        <v>3228</v>
      </c>
      <c r="F3304" s="7" t="inlineStr">
        <is>
          <t>Yes</t>
        </is>
      </c>
      <c r="G3304" s="8" t="n"/>
    </row>
    <row r="3305">
      <c r="A3305" s="8" t="inlineStr">
        <is>
          <t>PGCV_0033_3229</t>
        </is>
      </c>
      <c r="B3305" s="8" t="inlineStr">
        <is>
          <t>MLAB179183</t>
        </is>
      </c>
      <c r="C3305" s="8" t="n"/>
      <c r="D3305" s="7" t="n">
        <v>33</v>
      </c>
      <c r="E3305" s="7" t="n">
        <v>3229</v>
      </c>
      <c r="F3305" s="7" t="inlineStr">
        <is>
          <t>Yes</t>
        </is>
      </c>
      <c r="G3305" s="8" t="n"/>
    </row>
    <row r="3306">
      <c r="A3306" s="8" t="inlineStr">
        <is>
          <t>PGCV_0033_3230</t>
        </is>
      </c>
      <c r="B3306" s="8" t="inlineStr">
        <is>
          <t>MLAB179302</t>
        </is>
      </c>
      <c r="C3306" s="8" t="n"/>
      <c r="D3306" s="7" t="n">
        <v>33</v>
      </c>
      <c r="E3306" s="7" t="n">
        <v>3230</v>
      </c>
      <c r="F3306" s="7" t="inlineStr">
        <is>
          <t>Yes</t>
        </is>
      </c>
      <c r="G3306" s="8" t="n"/>
    </row>
    <row r="3307">
      <c r="A3307" s="8" t="inlineStr">
        <is>
          <t>PGCV_0033_3231</t>
        </is>
      </c>
      <c r="B3307" s="8" t="inlineStr">
        <is>
          <t>MLAB179327</t>
        </is>
      </c>
      <c r="C3307" s="8" t="n"/>
      <c r="D3307" s="7" t="n">
        <v>33</v>
      </c>
      <c r="E3307" s="7" t="n">
        <v>3231</v>
      </c>
      <c r="F3307" s="7" t="inlineStr">
        <is>
          <t>Yes</t>
        </is>
      </c>
      <c r="G3307" s="8" t="n"/>
    </row>
    <row r="3308">
      <c r="A3308" s="8" t="inlineStr">
        <is>
          <t>PGCV_0033_3232</t>
        </is>
      </c>
      <c r="B3308" s="8" t="inlineStr">
        <is>
          <t>MLAB179369</t>
        </is>
      </c>
      <c r="C3308" s="8" t="n"/>
      <c r="D3308" s="7" t="n">
        <v>33</v>
      </c>
      <c r="E3308" s="7" t="n">
        <v>3232</v>
      </c>
      <c r="F3308" s="7" t="inlineStr">
        <is>
          <t>Yes</t>
        </is>
      </c>
      <c r="G3308" s="8" t="n"/>
    </row>
    <row r="3309">
      <c r="A3309" s="8" t="inlineStr">
        <is>
          <t>PGCV_0033_3233</t>
        </is>
      </c>
      <c r="B3309" s="8" t="inlineStr">
        <is>
          <t>MLAB179370</t>
        </is>
      </c>
      <c r="C3309" s="8" t="n"/>
      <c r="D3309" s="7" t="n">
        <v>33</v>
      </c>
      <c r="E3309" s="7" t="n">
        <v>3233</v>
      </c>
      <c r="F3309" s="7" t="inlineStr">
        <is>
          <t>Yes</t>
        </is>
      </c>
      <c r="G3309" s="8" t="n"/>
    </row>
    <row r="3310">
      <c r="A3310" s="8" t="inlineStr">
        <is>
          <t>PGCV_0033_3234</t>
        </is>
      </c>
      <c r="B3310" s="8" t="inlineStr">
        <is>
          <t>MLAB179377</t>
        </is>
      </c>
      <c r="C3310" s="8" t="n"/>
      <c r="D3310" s="7" t="n">
        <v>33</v>
      </c>
      <c r="E3310" s="7" t="n">
        <v>3234</v>
      </c>
      <c r="F3310" s="7" t="inlineStr">
        <is>
          <t>Yes</t>
        </is>
      </c>
      <c r="G3310" s="8" t="n"/>
    </row>
    <row r="3311">
      <c r="A3311" s="8" t="inlineStr">
        <is>
          <t>PGCV_0033_3235</t>
        </is>
      </c>
      <c r="B3311" s="8" t="inlineStr">
        <is>
          <t>MLAB179387</t>
        </is>
      </c>
      <c r="C3311" s="8" t="n"/>
      <c r="D3311" s="7" t="n">
        <v>33</v>
      </c>
      <c r="E3311" s="7" t="n">
        <v>3235</v>
      </c>
      <c r="F3311" s="7" t="inlineStr">
        <is>
          <t>Yes</t>
        </is>
      </c>
      <c r="G3311" s="8" t="n"/>
    </row>
    <row r="3312">
      <c r="A3312" s="8" t="inlineStr">
        <is>
          <t>PGCV_0033_3236</t>
        </is>
      </c>
      <c r="B3312" s="8" t="inlineStr">
        <is>
          <t>COVID-SNL-22-89827</t>
        </is>
      </c>
      <c r="C3312" s="8" t="n"/>
      <c r="D3312" s="7" t="n">
        <v>33</v>
      </c>
      <c r="E3312" s="7" t="n">
        <v>3236</v>
      </c>
      <c r="F3312" s="7" t="inlineStr">
        <is>
          <t>Yes</t>
        </is>
      </c>
      <c r="G3312" s="8" t="n"/>
    </row>
    <row r="3313">
      <c r="A3313" s="8" t="inlineStr">
        <is>
          <t>PGCV_0033_3237</t>
        </is>
      </c>
      <c r="B3313" s="8" t="inlineStr">
        <is>
          <t>COVID-SNL-22-89839</t>
        </is>
      </c>
      <c r="C3313" s="8" t="n"/>
      <c r="D3313" s="7" t="n">
        <v>33</v>
      </c>
      <c r="E3313" s="7" t="n">
        <v>3237</v>
      </c>
      <c r="F3313" s="7" t="inlineStr">
        <is>
          <t>Yes</t>
        </is>
      </c>
      <c r="G3313" s="8" t="n"/>
    </row>
    <row r="3314">
      <c r="A3314" s="8" t="inlineStr">
        <is>
          <t>PGCV_0033_3238</t>
        </is>
      </c>
      <c r="B3314" s="8" t="inlineStr">
        <is>
          <t>COVID-SNL-22-89880</t>
        </is>
      </c>
      <c r="C3314" s="8" t="n"/>
      <c r="D3314" s="7" t="n">
        <v>33</v>
      </c>
      <c r="E3314" s="7" t="n">
        <v>3238</v>
      </c>
      <c r="F3314" s="7" t="inlineStr">
        <is>
          <t>Yes</t>
        </is>
      </c>
      <c r="G3314" s="8" t="n"/>
    </row>
    <row r="3315">
      <c r="A3315" s="8" t="inlineStr">
        <is>
          <t>PGCV_0033_3239</t>
        </is>
      </c>
      <c r="B3315" s="8" t="inlineStr">
        <is>
          <t>COVID-SNL-22-89919</t>
        </is>
      </c>
      <c r="C3315" s="8" t="n"/>
      <c r="D3315" s="7" t="n">
        <v>33</v>
      </c>
      <c r="E3315" s="7" t="n">
        <v>3239</v>
      </c>
      <c r="F3315" s="7" t="inlineStr">
        <is>
          <t>Yes</t>
        </is>
      </c>
      <c r="G3315" s="8" t="n"/>
    </row>
    <row r="3316">
      <c r="A3316" s="8" t="inlineStr">
        <is>
          <t>PGCV_0033_3240</t>
        </is>
      </c>
      <c r="B3316" s="8" t="inlineStr">
        <is>
          <t>COVID-SNL-22-89920</t>
        </is>
      </c>
      <c r="C3316" s="8" t="n"/>
      <c r="D3316" s="7" t="n">
        <v>33</v>
      </c>
      <c r="E3316" s="7" t="n">
        <v>3240</v>
      </c>
      <c r="F3316" s="7" t="inlineStr">
        <is>
          <t>Yes</t>
        </is>
      </c>
      <c r="G3316" s="8" t="n"/>
    </row>
    <row r="3317">
      <c r="A3317" s="8" t="inlineStr">
        <is>
          <t>PGCV_0033_3241</t>
        </is>
      </c>
      <c r="B3317" s="8" t="inlineStr">
        <is>
          <t>COVID-SNL-22-90203</t>
        </is>
      </c>
      <c r="C3317" s="8" t="n"/>
      <c r="D3317" s="7" t="n">
        <v>33</v>
      </c>
      <c r="E3317" s="7" t="n">
        <v>3241</v>
      </c>
      <c r="F3317" s="7" t="inlineStr">
        <is>
          <t>Yes</t>
        </is>
      </c>
      <c r="G3317" s="8" t="n"/>
    </row>
    <row r="3318">
      <c r="A3318" s="8" t="inlineStr">
        <is>
          <t>PGCV_0033_3242</t>
        </is>
      </c>
      <c r="B3318" s="8" t="inlineStr">
        <is>
          <t>COVID-SNL-22-90025</t>
        </is>
      </c>
      <c r="C3318" s="8" t="n"/>
      <c r="D3318" s="7" t="n">
        <v>33</v>
      </c>
      <c r="E3318" s="7" t="n">
        <v>3242</v>
      </c>
      <c r="F3318" s="7" t="inlineStr">
        <is>
          <t>Yes</t>
        </is>
      </c>
      <c r="G3318" s="8" t="n"/>
    </row>
    <row r="3319">
      <c r="A3319" s="8" t="inlineStr">
        <is>
          <t>PGCV_0033_3243</t>
        </is>
      </c>
      <c r="B3319" s="8" t="inlineStr">
        <is>
          <t>COVID-SNL-22-90086</t>
        </is>
      </c>
      <c r="C3319" s="8" t="n"/>
      <c r="D3319" s="7" t="n">
        <v>33</v>
      </c>
      <c r="E3319" s="7" t="n">
        <v>3243</v>
      </c>
      <c r="F3319" s="7" t="inlineStr">
        <is>
          <t>Yes</t>
        </is>
      </c>
      <c r="G3319" s="8" t="n"/>
    </row>
    <row r="3320">
      <c r="A3320" s="8" t="inlineStr">
        <is>
          <t>PGCV_0033_3244</t>
        </is>
      </c>
      <c r="B3320" s="8" t="inlineStr">
        <is>
          <t>COVID-SNL-22-90087</t>
        </is>
      </c>
      <c r="C3320" s="8" t="n"/>
      <c r="D3320" s="7" t="n">
        <v>33</v>
      </c>
      <c r="E3320" s="7" t="n">
        <v>3244</v>
      </c>
      <c r="F3320" s="7" t="inlineStr">
        <is>
          <t>Yes</t>
        </is>
      </c>
      <c r="G3320" s="8" t="n"/>
    </row>
    <row r="3321">
      <c r="A3321" s="8" t="inlineStr">
        <is>
          <t>PGCV_0033_3245</t>
        </is>
      </c>
      <c r="B3321" s="8" t="inlineStr">
        <is>
          <t>COVID-SNL-22-90097</t>
        </is>
      </c>
      <c r="C3321" s="8" t="n"/>
      <c r="D3321" s="7" t="n">
        <v>33</v>
      </c>
      <c r="E3321" s="7" t="n">
        <v>3245</v>
      </c>
      <c r="F3321" s="7" t="inlineStr">
        <is>
          <t>Yes</t>
        </is>
      </c>
      <c r="G3321" s="8" t="n"/>
    </row>
    <row r="3322">
      <c r="A3322" s="8" t="inlineStr">
        <is>
          <t>PGCV_0033_3246</t>
        </is>
      </c>
      <c r="B3322" s="8" t="inlineStr">
        <is>
          <t>COVID-SNL-22-90107</t>
        </is>
      </c>
      <c r="C3322" s="8" t="n"/>
      <c r="D3322" s="7" t="n">
        <v>33</v>
      </c>
      <c r="E3322" s="7" t="n">
        <v>3246</v>
      </c>
      <c r="F3322" s="7" t="inlineStr">
        <is>
          <t>Yes</t>
        </is>
      </c>
      <c r="G3322" s="8" t="n"/>
    </row>
    <row r="3323">
      <c r="A3323" s="8" t="inlineStr">
        <is>
          <t>PGCV_0033_3247</t>
        </is>
      </c>
      <c r="B3323" s="8" t="inlineStr">
        <is>
          <t>COVID-SNL-22-90113</t>
        </is>
      </c>
      <c r="C3323" s="8" t="n"/>
      <c r="D3323" s="7" t="n">
        <v>33</v>
      </c>
      <c r="E3323" s="7" t="n">
        <v>3247</v>
      </c>
      <c r="F3323" s="7" t="inlineStr">
        <is>
          <t>Yes</t>
        </is>
      </c>
      <c r="G3323" s="8" t="n"/>
    </row>
    <row r="3324">
      <c r="A3324" s="8" t="inlineStr">
        <is>
          <t>PGCV_0033_3248</t>
        </is>
      </c>
      <c r="B3324" s="8" t="inlineStr">
        <is>
          <t>COVID-SNL-22-90217</t>
        </is>
      </c>
      <c r="C3324" s="8" t="n"/>
      <c r="D3324" s="7" t="n">
        <v>33</v>
      </c>
      <c r="E3324" s="7" t="n">
        <v>3248</v>
      </c>
      <c r="F3324" s="7" t="inlineStr">
        <is>
          <t>Yes</t>
        </is>
      </c>
      <c r="G3324" s="8" t="n"/>
    </row>
    <row r="3325">
      <c r="A3325" s="8" t="inlineStr">
        <is>
          <t>PGCV_0033_3249</t>
        </is>
      </c>
      <c r="B3325" s="8" t="inlineStr">
        <is>
          <t>COVID-SNL-22-90218</t>
        </is>
      </c>
      <c r="C3325" s="8" t="n"/>
      <c r="D3325" s="7" t="n">
        <v>33</v>
      </c>
      <c r="E3325" s="7" t="n">
        <v>3249</v>
      </c>
      <c r="F3325" s="7" t="inlineStr">
        <is>
          <t>Yes</t>
        </is>
      </c>
      <c r="G3325" s="8" t="n"/>
    </row>
    <row r="3326">
      <c r="A3326" s="8" t="inlineStr">
        <is>
          <t>PGCV_0033_3250</t>
        </is>
      </c>
      <c r="B3326" s="8" t="inlineStr">
        <is>
          <t>COVID-SNL-22-90221</t>
        </is>
      </c>
      <c r="C3326" s="8" t="n"/>
      <c r="D3326" s="7" t="n">
        <v>33</v>
      </c>
      <c r="E3326" s="7" t="n">
        <v>3250</v>
      </c>
      <c r="F3326" s="7" t="inlineStr">
        <is>
          <t>Yes</t>
        </is>
      </c>
      <c r="G3326" s="8" t="n"/>
    </row>
    <row r="3327">
      <c r="A3327" s="8" t="inlineStr">
        <is>
          <t>PGCV_0033_3251</t>
        </is>
      </c>
      <c r="B3327" s="8" t="inlineStr">
        <is>
          <t>COVID-SNL-22-90170</t>
        </is>
      </c>
      <c r="C3327" s="8" t="n"/>
      <c r="D3327" s="7" t="n">
        <v>33</v>
      </c>
      <c r="E3327" s="7" t="n">
        <v>3251</v>
      </c>
      <c r="F3327" s="7" t="inlineStr">
        <is>
          <t>No</t>
        </is>
      </c>
      <c r="G3327" s="8" t="n"/>
    </row>
    <row r="3328">
      <c r="A3328" s="8" t="inlineStr">
        <is>
          <t>PGCV_0033_3252</t>
        </is>
      </c>
      <c r="B3328" s="8" t="inlineStr">
        <is>
          <t>COVID-SNL-22-90324</t>
        </is>
      </c>
      <c r="C3328" s="8" t="n"/>
      <c r="D3328" s="7" t="n">
        <v>33</v>
      </c>
      <c r="E3328" s="7" t="n">
        <v>3252</v>
      </c>
      <c r="F3328" s="7" t="inlineStr">
        <is>
          <t>Yes</t>
        </is>
      </c>
      <c r="G3328" s="8" t="n"/>
    </row>
    <row r="3329">
      <c r="A3329" s="8" t="inlineStr">
        <is>
          <t>PGCV_0033_3253</t>
        </is>
      </c>
      <c r="B3329" s="8" t="inlineStr">
        <is>
          <t>COVID-SNL-22-90411</t>
        </is>
      </c>
      <c r="C3329" s="8" t="n"/>
      <c r="D3329" s="7" t="n">
        <v>33</v>
      </c>
      <c r="E3329" s="7" t="n">
        <v>3253</v>
      </c>
      <c r="F3329" s="7" t="inlineStr">
        <is>
          <t>No</t>
        </is>
      </c>
      <c r="G3329" s="8" t="n"/>
    </row>
    <row r="3330">
      <c r="A3330" s="8" t="inlineStr">
        <is>
          <t>PGCV_0033_3254</t>
        </is>
      </c>
      <c r="B3330" s="8" t="inlineStr">
        <is>
          <t>COVID-SNL-22-90431</t>
        </is>
      </c>
      <c r="C3330" s="8" t="n"/>
      <c r="D3330" s="7" t="n">
        <v>33</v>
      </c>
      <c r="E3330" s="7" t="n">
        <v>3254</v>
      </c>
      <c r="F3330" s="7" t="inlineStr">
        <is>
          <t>Yes</t>
        </is>
      </c>
      <c r="G3330" s="8" t="n"/>
    </row>
    <row r="3331">
      <c r="A3331" s="8" t="inlineStr">
        <is>
          <t>PGCV_0033_3255</t>
        </is>
      </c>
      <c r="B3331" s="8" t="inlineStr">
        <is>
          <t>COVID-SNL-22-90476</t>
        </is>
      </c>
      <c r="C3331" s="8" t="n"/>
      <c r="D3331" s="7" t="n">
        <v>33</v>
      </c>
      <c r="E3331" s="7" t="n">
        <v>3255</v>
      </c>
      <c r="F3331" s="7" t="inlineStr">
        <is>
          <t>Yes</t>
        </is>
      </c>
      <c r="G3331" s="8" t="n"/>
    </row>
    <row r="3332">
      <c r="A3332" s="8" t="inlineStr">
        <is>
          <t>PGCV_0033_3256</t>
        </is>
      </c>
      <c r="B3332" s="8" t="inlineStr">
        <is>
          <t>COVID-SNL-22-90480</t>
        </is>
      </c>
      <c r="C3332" s="8" t="n"/>
      <c r="D3332" s="7" t="n">
        <v>33</v>
      </c>
      <c r="E3332" s="7" t="n">
        <v>3256</v>
      </c>
      <c r="F3332" s="7" t="inlineStr">
        <is>
          <t>Yes</t>
        </is>
      </c>
      <c r="G3332" s="8" t="n"/>
    </row>
    <row r="3333">
      <c r="A3333" s="8" t="inlineStr">
        <is>
          <t>PGCV_0033_3257</t>
        </is>
      </c>
      <c r="B3333" s="8" t="inlineStr">
        <is>
          <t>COVID-SNL-22-90454</t>
        </is>
      </c>
      <c r="C3333" s="8" t="n"/>
      <c r="D3333" s="7" t="n">
        <v>33</v>
      </c>
      <c r="E3333" s="7" t="n">
        <v>3257</v>
      </c>
      <c r="F3333" s="7" t="inlineStr">
        <is>
          <t>Yes</t>
        </is>
      </c>
      <c r="G3333" s="8" t="n"/>
    </row>
    <row r="3334">
      <c r="A3334" s="8" t="inlineStr">
        <is>
          <t>PGCV_0033_3258</t>
        </is>
      </c>
      <c r="B3334" s="8" t="inlineStr">
        <is>
          <t>COVID-SNL-22-90565</t>
        </is>
      </c>
      <c r="C3334" s="8" t="n"/>
      <c r="D3334" s="7" t="n">
        <v>33</v>
      </c>
      <c r="E3334" s="7" t="n">
        <v>3258</v>
      </c>
      <c r="F3334" s="7" t="inlineStr">
        <is>
          <t>Yes</t>
        </is>
      </c>
      <c r="G3334" s="8" t="n"/>
    </row>
    <row r="3335">
      <c r="A3335" s="8" t="inlineStr">
        <is>
          <t>PGCV_0033_3259</t>
        </is>
      </c>
      <c r="B3335" s="8" t="inlineStr">
        <is>
          <t>COVID-SNL-22-90567</t>
        </is>
      </c>
      <c r="C3335" s="8" t="n"/>
      <c r="D3335" s="7" t="n">
        <v>33</v>
      </c>
      <c r="E3335" s="7" t="n">
        <v>3259</v>
      </c>
      <c r="F3335" s="7" t="inlineStr">
        <is>
          <t>Yes</t>
        </is>
      </c>
      <c r="G3335" s="8" t="n"/>
    </row>
    <row r="3336">
      <c r="A3336" s="8" t="inlineStr">
        <is>
          <t>PGCV_0033_3260</t>
        </is>
      </c>
      <c r="B3336" s="8" t="inlineStr">
        <is>
          <t>COVID-SNL-22-90614</t>
        </is>
      </c>
      <c r="C3336" s="8" t="n"/>
      <c r="D3336" s="7" t="n">
        <v>33</v>
      </c>
      <c r="E3336" s="7" t="n">
        <v>3260</v>
      </c>
      <c r="F3336" s="7" t="inlineStr">
        <is>
          <t>Yes</t>
        </is>
      </c>
      <c r="G3336" s="8" t="n"/>
    </row>
    <row r="3337">
      <c r="A3337" s="8" t="inlineStr">
        <is>
          <t>PGCV_0033_3261</t>
        </is>
      </c>
      <c r="B3337" s="8" t="inlineStr">
        <is>
          <t>COVID-SNL-22-90624</t>
        </is>
      </c>
      <c r="C3337" s="8" t="n"/>
      <c r="D3337" s="7" t="n">
        <v>33</v>
      </c>
      <c r="E3337" s="7" t="n">
        <v>3261</v>
      </c>
      <c r="F3337" s="7" t="inlineStr">
        <is>
          <t>Yes</t>
        </is>
      </c>
      <c r="G3337" s="8" t="n"/>
    </row>
    <row r="3338">
      <c r="A3338" s="8" t="inlineStr">
        <is>
          <t>PGCV_0033_3262</t>
        </is>
      </c>
      <c r="B3338" s="8" t="inlineStr">
        <is>
          <t>COVID-SNL-22-90627</t>
        </is>
      </c>
      <c r="C3338" s="8" t="n"/>
      <c r="D3338" s="7" t="n">
        <v>33</v>
      </c>
      <c r="E3338" s="7" t="n">
        <v>3262</v>
      </c>
      <c r="F3338" s="7" t="inlineStr">
        <is>
          <t>Yes</t>
        </is>
      </c>
      <c r="G3338" s="8" t="n"/>
    </row>
    <row r="3339">
      <c r="A3339" s="8" t="inlineStr">
        <is>
          <t>PGCV_0033_3263</t>
        </is>
      </c>
      <c r="B3339" s="8" t="inlineStr">
        <is>
          <t>COVID-SNL-22-90701</t>
        </is>
      </c>
      <c r="C3339" s="8" t="n"/>
      <c r="D3339" s="7" t="n">
        <v>33</v>
      </c>
      <c r="E3339" s="7" t="n">
        <v>3263</v>
      </c>
      <c r="F3339" s="7" t="inlineStr">
        <is>
          <t>Yes</t>
        </is>
      </c>
      <c r="G3339" s="8" t="n"/>
    </row>
    <row r="3340">
      <c r="A3340" s="8" t="inlineStr">
        <is>
          <t>PGCV_0033_3264</t>
        </is>
      </c>
      <c r="B3340" s="8" t="inlineStr">
        <is>
          <t>COVID-SNL-22-90752</t>
        </is>
      </c>
      <c r="C3340" s="8" t="n"/>
      <c r="D3340" s="7" t="n">
        <v>33</v>
      </c>
      <c r="E3340" s="7" t="n">
        <v>3264</v>
      </c>
      <c r="F3340" s="7" t="inlineStr">
        <is>
          <t>Yes</t>
        </is>
      </c>
      <c r="G3340" s="8" t="n"/>
    </row>
    <row r="3341">
      <c r="A3341" s="8" t="inlineStr">
        <is>
          <t>PGCV_0033_3265</t>
        </is>
      </c>
      <c r="B3341" s="8" t="inlineStr">
        <is>
          <t>COVID-SNL-22-90783</t>
        </is>
      </c>
      <c r="C3341" s="8" t="n"/>
      <c r="D3341" s="7" t="n">
        <v>33</v>
      </c>
      <c r="E3341" s="7" t="n">
        <v>3265</v>
      </c>
      <c r="F3341" s="7" t="inlineStr">
        <is>
          <t>Yes</t>
        </is>
      </c>
      <c r="G3341" s="8" t="n"/>
    </row>
    <row r="3342">
      <c r="A3342" s="8" t="inlineStr">
        <is>
          <t>PGCV_0033_3266</t>
        </is>
      </c>
      <c r="B3342" s="8" t="inlineStr">
        <is>
          <t>COVID-SNL-22-90876</t>
        </is>
      </c>
      <c r="C3342" s="8" t="n"/>
      <c r="D3342" s="7" t="n">
        <v>33</v>
      </c>
      <c r="E3342" s="7" t="n">
        <v>3266</v>
      </c>
      <c r="F3342" s="7" t="inlineStr">
        <is>
          <t>Yes</t>
        </is>
      </c>
      <c r="G3342" s="8" t="n"/>
    </row>
    <row r="3343">
      <c r="A3343" s="8" t="inlineStr">
        <is>
          <t>PGCV_0033_3267</t>
        </is>
      </c>
      <c r="B3343" s="8" t="inlineStr">
        <is>
          <t>COVID-SNL-22-90971</t>
        </is>
      </c>
      <c r="C3343" s="8" t="n"/>
      <c r="D3343" s="7" t="n">
        <v>33</v>
      </c>
      <c r="E3343" s="7" t="n">
        <v>3267</v>
      </c>
      <c r="F3343" s="7" t="inlineStr">
        <is>
          <t>Yes</t>
        </is>
      </c>
      <c r="G3343" s="8" t="n"/>
    </row>
    <row r="3344">
      <c r="A3344" s="8" t="inlineStr">
        <is>
          <t>PGCV_0033_3268</t>
        </is>
      </c>
      <c r="B3344" s="8" t="inlineStr">
        <is>
          <t>COVID-SNL-22-91019</t>
        </is>
      </c>
      <c r="C3344" s="8" t="n"/>
      <c r="D3344" s="7" t="n">
        <v>33</v>
      </c>
      <c r="E3344" s="7" t="n">
        <v>3268</v>
      </c>
      <c r="F3344" s="7" t="inlineStr">
        <is>
          <t>No</t>
        </is>
      </c>
      <c r="G3344" s="8" t="n"/>
    </row>
    <row r="3345">
      <c r="A3345" s="8" t="inlineStr">
        <is>
          <t>PGCV_0033_3269</t>
        </is>
      </c>
      <c r="B3345" s="8" t="inlineStr">
        <is>
          <t>COVID-SNL-22-91045</t>
        </is>
      </c>
      <c r="C3345" s="8" t="n"/>
      <c r="D3345" s="7" t="n">
        <v>33</v>
      </c>
      <c r="E3345" s="7" t="n">
        <v>3269</v>
      </c>
      <c r="F3345" s="7" t="inlineStr">
        <is>
          <t>Yes</t>
        </is>
      </c>
      <c r="G3345" s="8" t="n"/>
    </row>
    <row r="3346">
      <c r="A3346" s="8" t="inlineStr">
        <is>
          <t>PGCV_0033_3270</t>
        </is>
      </c>
      <c r="B3346" s="8" t="inlineStr">
        <is>
          <t>COVID-SNL-22-91079</t>
        </is>
      </c>
      <c r="C3346" s="8" t="n"/>
      <c r="D3346" s="7" t="n">
        <v>33</v>
      </c>
      <c r="E3346" s="7" t="n">
        <v>3270</v>
      </c>
      <c r="F3346" s="7" t="inlineStr">
        <is>
          <t>Yes</t>
        </is>
      </c>
      <c r="G3346" s="8" t="n"/>
    </row>
    <row r="3347">
      <c r="A3347" s="8" t="inlineStr">
        <is>
          <t>PGCV_0033_3271</t>
        </is>
      </c>
      <c r="B3347" s="8" t="inlineStr">
        <is>
          <t>COVID-SNL-22-91124</t>
        </is>
      </c>
      <c r="C3347" s="8" t="n"/>
      <c r="D3347" s="7" t="n">
        <v>33</v>
      </c>
      <c r="E3347" s="7" t="n">
        <v>3271</v>
      </c>
      <c r="F3347" s="7" t="inlineStr">
        <is>
          <t>Yes</t>
        </is>
      </c>
      <c r="G3347" s="8" t="n"/>
    </row>
    <row r="3348">
      <c r="A3348" s="8" t="inlineStr">
        <is>
          <t>PGCV_0033_3272</t>
        </is>
      </c>
      <c r="B3348" s="8" t="inlineStr">
        <is>
          <t>COVID-SNL-22-91127</t>
        </is>
      </c>
      <c r="C3348" s="8" t="n"/>
      <c r="D3348" s="7" t="n">
        <v>33</v>
      </c>
      <c r="E3348" s="7" t="n">
        <v>3272</v>
      </c>
      <c r="F3348" s="7" t="inlineStr">
        <is>
          <t>Yes</t>
        </is>
      </c>
      <c r="G3348" s="8" t="n"/>
    </row>
    <row r="3349">
      <c r="A3349" s="8" t="inlineStr">
        <is>
          <t>PGCV_0033_3273</t>
        </is>
      </c>
      <c r="B3349" s="8" t="inlineStr">
        <is>
          <t>COVID-SNL-22-91131</t>
        </is>
      </c>
      <c r="C3349" s="8" t="n"/>
      <c r="D3349" s="7" t="n">
        <v>33</v>
      </c>
      <c r="E3349" s="7" t="n">
        <v>3273</v>
      </c>
      <c r="F3349" s="7" t="inlineStr">
        <is>
          <t>Yes</t>
        </is>
      </c>
      <c r="G3349" s="8" t="n"/>
    </row>
    <row r="3350">
      <c r="A3350" s="8" t="inlineStr">
        <is>
          <t>PGCV_0033_3274</t>
        </is>
      </c>
      <c r="B3350" s="8" t="inlineStr">
        <is>
          <t>COVID-SNL-22-91168</t>
        </is>
      </c>
      <c r="C3350" s="8" t="n"/>
      <c r="D3350" s="7" t="n">
        <v>33</v>
      </c>
      <c r="E3350" s="7" t="n">
        <v>3274</v>
      </c>
      <c r="F3350" s="7" t="inlineStr">
        <is>
          <t>Yes</t>
        </is>
      </c>
      <c r="G3350" s="8" t="n"/>
    </row>
    <row r="3351">
      <c r="A3351" s="8" t="inlineStr">
        <is>
          <t>PGCV_0033_3275</t>
        </is>
      </c>
      <c r="B3351" s="8" t="inlineStr">
        <is>
          <t>COVID-SNL-22-91182</t>
        </is>
      </c>
      <c r="C3351" s="8" t="n"/>
      <c r="D3351" s="7" t="n">
        <v>33</v>
      </c>
      <c r="E3351" s="7" t="n">
        <v>3275</v>
      </c>
      <c r="F3351" s="7" t="inlineStr">
        <is>
          <t>Yes</t>
        </is>
      </c>
      <c r="G3351" s="8" t="n"/>
    </row>
    <row r="3352">
      <c r="A3352" s="8" t="inlineStr">
        <is>
          <t>PGCV_0033_3276</t>
        </is>
      </c>
      <c r="B3352" s="8" t="inlineStr">
        <is>
          <t>COVID-SNL-22-91183</t>
        </is>
      </c>
      <c r="C3352" s="8" t="n"/>
      <c r="D3352" s="7" t="n">
        <v>33</v>
      </c>
      <c r="E3352" s="7" t="n">
        <v>3276</v>
      </c>
      <c r="F3352" s="7" t="inlineStr">
        <is>
          <t>Yes</t>
        </is>
      </c>
      <c r="G3352" s="8" t="n"/>
    </row>
    <row r="3353">
      <c r="A3353" s="8" t="inlineStr">
        <is>
          <t>PGCV_0033_3277</t>
        </is>
      </c>
      <c r="B3353" s="8" t="inlineStr">
        <is>
          <t>COVID-SNL-22-91235</t>
        </is>
      </c>
      <c r="C3353" s="8" t="n"/>
      <c r="D3353" s="7" t="n">
        <v>33</v>
      </c>
      <c r="E3353" s="7" t="n">
        <v>3277</v>
      </c>
      <c r="F3353" s="7" t="inlineStr">
        <is>
          <t>Yes</t>
        </is>
      </c>
      <c r="G3353" s="8" t="n"/>
    </row>
    <row r="3354">
      <c r="A3354" s="8" t="inlineStr">
        <is>
          <t>PGCV_0033_3278</t>
        </is>
      </c>
      <c r="B3354" s="8" t="inlineStr">
        <is>
          <t>COVID-SNL-22-91290</t>
        </is>
      </c>
      <c r="C3354" s="8" t="n"/>
      <c r="D3354" s="7" t="n">
        <v>33</v>
      </c>
      <c r="E3354" s="7" t="n">
        <v>3278</v>
      </c>
      <c r="F3354" s="7" t="inlineStr">
        <is>
          <t>Yes</t>
        </is>
      </c>
      <c r="G3354" s="8" t="n"/>
    </row>
    <row r="3355">
      <c r="A3355" s="8" t="inlineStr">
        <is>
          <t>PGCV_0033_3279</t>
        </is>
      </c>
      <c r="B3355" s="8" t="inlineStr">
        <is>
          <t>COVID-SNL-22-91296</t>
        </is>
      </c>
      <c r="C3355" s="8" t="n"/>
      <c r="D3355" s="7" t="n">
        <v>33</v>
      </c>
      <c r="E3355" s="7" t="n">
        <v>3279</v>
      </c>
      <c r="F3355" s="7" t="inlineStr">
        <is>
          <t>Yes</t>
        </is>
      </c>
      <c r="G3355" s="8" t="n"/>
    </row>
    <row r="3356">
      <c r="A3356" s="8" t="inlineStr">
        <is>
          <t>PGCV_0033_3280</t>
        </is>
      </c>
      <c r="B3356" s="8" t="inlineStr">
        <is>
          <t>COVID-SNL-22-91320</t>
        </is>
      </c>
      <c r="C3356" s="8" t="n"/>
      <c r="D3356" s="7" t="n">
        <v>33</v>
      </c>
      <c r="E3356" s="7" t="n">
        <v>3280</v>
      </c>
      <c r="F3356" s="7" t="inlineStr">
        <is>
          <t>Yes</t>
        </is>
      </c>
      <c r="G3356" s="8" t="n"/>
    </row>
    <row r="3357">
      <c r="A3357" s="8" t="inlineStr">
        <is>
          <t>PGCV_0033_3281</t>
        </is>
      </c>
      <c r="B3357" s="8" t="inlineStr">
        <is>
          <t>COVID-SNL-22-91336</t>
        </is>
      </c>
      <c r="C3357" s="8" t="n"/>
      <c r="D3357" s="7" t="n">
        <v>33</v>
      </c>
      <c r="E3357" s="7" t="n">
        <v>3281</v>
      </c>
      <c r="F3357" s="7" t="inlineStr">
        <is>
          <t>Yes</t>
        </is>
      </c>
      <c r="G3357" s="8" t="n"/>
    </row>
    <row r="3358">
      <c r="A3358" s="8" t="inlineStr">
        <is>
          <t>PGCV_0033_3282</t>
        </is>
      </c>
      <c r="B3358" s="8" t="inlineStr">
        <is>
          <t>COVID-SNL-22-91352</t>
        </is>
      </c>
      <c r="C3358" s="8" t="n"/>
      <c r="D3358" s="7" t="n">
        <v>33</v>
      </c>
      <c r="E3358" s="7" t="n">
        <v>3282</v>
      </c>
      <c r="F3358" s="7" t="inlineStr">
        <is>
          <t>Yes</t>
        </is>
      </c>
      <c r="G3358" s="8" t="n"/>
    </row>
    <row r="3359">
      <c r="A3359" s="8" t="inlineStr">
        <is>
          <t>PGCV_0033_3283</t>
        </is>
      </c>
      <c r="B3359" s="8" t="inlineStr">
        <is>
          <t>COVID-SNL-22-91560</t>
        </is>
      </c>
      <c r="C3359" s="8" t="n"/>
      <c r="D3359" s="7" t="n">
        <v>33</v>
      </c>
      <c r="E3359" s="7" t="n">
        <v>3283</v>
      </c>
      <c r="F3359" s="7" t="inlineStr">
        <is>
          <t>Yes</t>
        </is>
      </c>
      <c r="G3359" s="8" t="n"/>
    </row>
    <row r="3360">
      <c r="A3360" s="8" t="inlineStr">
        <is>
          <t>PGCV_0033_3284</t>
        </is>
      </c>
      <c r="B3360" s="8" t="inlineStr">
        <is>
          <t>COVID-SNL-22-91518</t>
        </is>
      </c>
      <c r="C3360" s="8" t="n"/>
      <c r="D3360" s="7" t="n">
        <v>33</v>
      </c>
      <c r="E3360" s="7" t="n">
        <v>3284</v>
      </c>
      <c r="F3360" s="7" t="inlineStr">
        <is>
          <t>Yes</t>
        </is>
      </c>
      <c r="G3360" s="8" t="n"/>
    </row>
    <row r="3361">
      <c r="A3361" s="8" t="inlineStr">
        <is>
          <t>PGCV_0033_3285</t>
        </is>
      </c>
      <c r="B3361" s="8" t="inlineStr">
        <is>
          <t>COVID-SNL-22-91761</t>
        </is>
      </c>
      <c r="C3361" s="8" t="n"/>
      <c r="D3361" s="7" t="n">
        <v>33</v>
      </c>
      <c r="E3361" s="7" t="n">
        <v>3285</v>
      </c>
      <c r="F3361" s="7" t="inlineStr">
        <is>
          <t>No</t>
        </is>
      </c>
      <c r="G3361" s="8" t="n"/>
    </row>
    <row r="3362">
      <c r="A3362" s="8" t="inlineStr">
        <is>
          <t>PGCV_0033_3286</t>
        </is>
      </c>
      <c r="B3362" s="8" t="inlineStr">
        <is>
          <t>COVID-SNL-22-91690</t>
        </is>
      </c>
      <c r="C3362" s="8" t="n"/>
      <c r="D3362" s="7" t="n">
        <v>33</v>
      </c>
      <c r="E3362" s="7" t="n">
        <v>3286</v>
      </c>
      <c r="F3362" s="7" t="inlineStr">
        <is>
          <t>Yes</t>
        </is>
      </c>
      <c r="G3362" s="8" t="n"/>
    </row>
    <row r="3363">
      <c r="A3363" s="8" t="inlineStr">
        <is>
          <t>PGCV_0033_3287</t>
        </is>
      </c>
      <c r="B3363" s="8" t="inlineStr">
        <is>
          <t>COVID-SNL-22-91807</t>
        </is>
      </c>
      <c r="C3363" s="8" t="n"/>
      <c r="D3363" s="7" t="n">
        <v>33</v>
      </c>
      <c r="E3363" s="7" t="n">
        <v>3287</v>
      </c>
      <c r="F3363" s="7" t="inlineStr">
        <is>
          <t>Yes</t>
        </is>
      </c>
      <c r="G3363" s="8" t="n"/>
    </row>
    <row r="3364">
      <c r="A3364" s="8" t="inlineStr">
        <is>
          <t>PGCV_0033_3288</t>
        </is>
      </c>
      <c r="B3364" s="8" t="inlineStr">
        <is>
          <t>COVID-SNL-22-91863</t>
        </is>
      </c>
      <c r="C3364" s="8" t="n"/>
      <c r="D3364" s="7" t="n">
        <v>33</v>
      </c>
      <c r="E3364" s="7" t="n">
        <v>3288</v>
      </c>
      <c r="F3364" s="7" t="inlineStr">
        <is>
          <t>Yes</t>
        </is>
      </c>
      <c r="G3364" s="8" t="n"/>
    </row>
    <row r="3365">
      <c r="A3365" s="8" t="inlineStr">
        <is>
          <t>PGCV_0033_3289</t>
        </is>
      </c>
      <c r="B3365" s="8" t="inlineStr">
        <is>
          <t>COVID-SNL-22-91915</t>
        </is>
      </c>
      <c r="C3365" s="8" t="n"/>
      <c r="D3365" s="7" t="n">
        <v>33</v>
      </c>
      <c r="E3365" s="7" t="n">
        <v>3289</v>
      </c>
      <c r="F3365" s="7" t="inlineStr">
        <is>
          <t>Yes</t>
        </is>
      </c>
      <c r="G3365" s="8" t="n"/>
    </row>
    <row r="3366">
      <c r="A3366" s="8" t="inlineStr">
        <is>
          <t>PGCV_0033_3290</t>
        </is>
      </c>
      <c r="B3366" s="8" t="inlineStr">
        <is>
          <t>COVID-SNL-22-91918</t>
        </is>
      </c>
      <c r="C3366" s="8" t="n"/>
      <c r="D3366" s="7" t="n">
        <v>33</v>
      </c>
      <c r="E3366" s="7" t="n">
        <v>3290</v>
      </c>
      <c r="F3366" s="7" t="inlineStr">
        <is>
          <t>Yes</t>
        </is>
      </c>
      <c r="G3366" s="8" t="n"/>
    </row>
    <row r="3367">
      <c r="A3367" s="8" t="inlineStr">
        <is>
          <t>PGCV_0033_3291</t>
        </is>
      </c>
      <c r="B3367" s="8" t="inlineStr">
        <is>
          <t>COVID-SNL-22-91920</t>
        </is>
      </c>
      <c r="C3367" s="8" t="n"/>
      <c r="D3367" s="7" t="n">
        <v>33</v>
      </c>
      <c r="E3367" s="7" t="n">
        <v>3291</v>
      </c>
      <c r="F3367" s="7" t="inlineStr">
        <is>
          <t>Yes</t>
        </is>
      </c>
      <c r="G3367" s="8" t="n"/>
    </row>
    <row r="3368">
      <c r="A3368" s="8" t="inlineStr">
        <is>
          <t>PGCV_0033_3292</t>
        </is>
      </c>
      <c r="B3368" s="8" t="inlineStr">
        <is>
          <t>COVID-SNL-22-91933</t>
        </is>
      </c>
      <c r="C3368" s="8" t="n"/>
      <c r="D3368" s="7" t="n">
        <v>33</v>
      </c>
      <c r="E3368" s="7" t="n">
        <v>3292</v>
      </c>
      <c r="F3368" s="7" t="inlineStr">
        <is>
          <t>Yes</t>
        </is>
      </c>
      <c r="G3368" s="8" t="n"/>
    </row>
    <row r="3369">
      <c r="A3369" s="8" t="inlineStr">
        <is>
          <t>PGCV_0033_3293</t>
        </is>
      </c>
      <c r="B3369" s="8" t="inlineStr">
        <is>
          <t>COVID-SNL-22-92027</t>
        </is>
      </c>
      <c r="C3369" s="8" t="n"/>
      <c r="D3369" s="7" t="n">
        <v>33</v>
      </c>
      <c r="E3369" s="7" t="n">
        <v>3293</v>
      </c>
      <c r="F3369" s="7" t="inlineStr">
        <is>
          <t>Yes</t>
        </is>
      </c>
      <c r="G3369" s="8" t="n"/>
    </row>
    <row r="3370">
      <c r="A3370" s="8" t="inlineStr">
        <is>
          <t>PGCV_0033_3294</t>
        </is>
      </c>
      <c r="B3370" s="8" t="inlineStr">
        <is>
          <t>COVID-SNL-22-91923</t>
        </is>
      </c>
      <c r="C3370" s="8" t="n"/>
      <c r="D3370" s="7" t="n">
        <v>33</v>
      </c>
      <c r="E3370" s="7" t="n">
        <v>3294</v>
      </c>
      <c r="F3370" s="7" t="inlineStr">
        <is>
          <t>Yes</t>
        </is>
      </c>
      <c r="G3370" s="8" t="n"/>
    </row>
    <row r="3371">
      <c r="A3371" s="8" t="inlineStr">
        <is>
          <t>PGCV_0033_3295</t>
        </is>
      </c>
      <c r="B3371" s="8" t="inlineStr">
        <is>
          <t>COVID-SNL-22-92158</t>
        </is>
      </c>
      <c r="C3371" s="8" t="n"/>
      <c r="D3371" s="7" t="n">
        <v>33</v>
      </c>
      <c r="E3371" s="7" t="n">
        <v>3295</v>
      </c>
      <c r="F3371" s="7" t="inlineStr">
        <is>
          <t>Yes</t>
        </is>
      </c>
      <c r="G3371" s="8" t="n"/>
    </row>
    <row r="3372">
      <c r="A3372" s="8" t="inlineStr">
        <is>
          <t>PGCV_0033_3296</t>
        </is>
      </c>
      <c r="B3372" s="8" t="inlineStr">
        <is>
          <t>COVID-SNL-22-92188</t>
        </is>
      </c>
      <c r="C3372" s="8" t="n"/>
      <c r="D3372" s="7" t="n">
        <v>33</v>
      </c>
      <c r="E3372" s="7" t="n">
        <v>3296</v>
      </c>
      <c r="F3372" s="7" t="inlineStr">
        <is>
          <t>Yes</t>
        </is>
      </c>
      <c r="G3372" s="8" t="n"/>
    </row>
    <row r="3373">
      <c r="A3373" s="8" t="inlineStr">
        <is>
          <t>PGCV_0033_3297</t>
        </is>
      </c>
      <c r="B3373" s="8" t="inlineStr">
        <is>
          <t>COVID-SNL-22-92189</t>
        </is>
      </c>
      <c r="C3373" s="8" t="n"/>
      <c r="D3373" s="7" t="n">
        <v>33</v>
      </c>
      <c r="E3373" s="7" t="n">
        <v>3297</v>
      </c>
      <c r="F3373" s="7" t="inlineStr">
        <is>
          <t>Yes</t>
        </is>
      </c>
      <c r="G3373" s="8" t="n"/>
    </row>
    <row r="3374">
      <c r="A3374" s="8" t="inlineStr">
        <is>
          <t>PGCV_0033_3298</t>
        </is>
      </c>
      <c r="B3374" s="8" t="inlineStr">
        <is>
          <t>COVID-SNL-22-92113</t>
        </is>
      </c>
      <c r="C3374" s="8" t="n"/>
      <c r="D3374" s="7" t="n">
        <v>33</v>
      </c>
      <c r="E3374" s="7" t="n">
        <v>3298</v>
      </c>
      <c r="F3374" s="7" t="inlineStr">
        <is>
          <t>Yes</t>
        </is>
      </c>
      <c r="G3374" s="8" t="n"/>
    </row>
    <row r="3375">
      <c r="A3375" s="8" t="inlineStr">
        <is>
          <t>PGCV_0033_3299</t>
        </is>
      </c>
      <c r="B3375" s="8" t="inlineStr">
        <is>
          <t>COVID-SNL-22-92261</t>
        </is>
      </c>
      <c r="C3375" s="8" t="n"/>
      <c r="D3375" s="7" t="n">
        <v>33</v>
      </c>
      <c r="E3375" s="7" t="n">
        <v>3299</v>
      </c>
      <c r="F3375" s="7" t="inlineStr">
        <is>
          <t>Yes</t>
        </is>
      </c>
      <c r="G3375" s="8" t="n"/>
    </row>
    <row r="3376">
      <c r="A3376" s="8" t="inlineStr">
        <is>
          <t>PGCV_0033_3300</t>
        </is>
      </c>
      <c r="B3376" s="8" t="inlineStr">
        <is>
          <t>COVID-SNL-22-92262</t>
        </is>
      </c>
      <c r="C3376" s="8" t="n"/>
      <c r="D3376" s="7" t="n">
        <v>33</v>
      </c>
      <c r="E3376" s="7" t="n">
        <v>3300</v>
      </c>
      <c r="F3376" s="7" t="inlineStr">
        <is>
          <t>Yes</t>
        </is>
      </c>
      <c r="G3376" s="8" t="n"/>
    </row>
    <row r="3377">
      <c r="A3377" s="8" t="inlineStr">
        <is>
          <t>PGCV_0033_3301</t>
        </is>
      </c>
      <c r="B3377" s="8" t="inlineStr">
        <is>
          <t>COVID-SNL-22-92282</t>
        </is>
      </c>
      <c r="C3377" s="8" t="n"/>
      <c r="D3377" s="7" t="n">
        <v>33</v>
      </c>
      <c r="E3377" s="7" t="n">
        <v>3301</v>
      </c>
      <c r="F3377" s="7" t="inlineStr">
        <is>
          <t>Yes</t>
        </is>
      </c>
      <c r="G3377" s="8" t="n"/>
    </row>
    <row r="3378">
      <c r="A3378" s="8" t="inlineStr">
        <is>
          <t>PGCV_0033_3302</t>
        </is>
      </c>
      <c r="B3378" s="8" t="inlineStr">
        <is>
          <t>C38798</t>
        </is>
      </c>
      <c r="C3378" s="8" t="n"/>
      <c r="D3378" s="7" t="n">
        <v>33</v>
      </c>
      <c r="E3378" s="7" t="n">
        <v>3302</v>
      </c>
      <c r="F3378" s="7" t="inlineStr">
        <is>
          <t>Yes</t>
        </is>
      </c>
      <c r="G3378" s="8" t="n"/>
    </row>
    <row r="3379">
      <c r="A3379" s="8" t="inlineStr">
        <is>
          <t>PGCV_0033_3303</t>
        </is>
      </c>
      <c r="B3379" s="8" t="inlineStr">
        <is>
          <t>C38838</t>
        </is>
      </c>
      <c r="C3379" s="8" t="n"/>
      <c r="D3379" s="7" t="n">
        <v>33</v>
      </c>
      <c r="E3379" s="7" t="n">
        <v>3303</v>
      </c>
      <c r="F3379" s="7" t="inlineStr">
        <is>
          <t>Yes</t>
        </is>
      </c>
      <c r="G3379" s="8" t="n"/>
    </row>
    <row r="3380">
      <c r="A3380" s="8" t="inlineStr">
        <is>
          <t>PGCV_0033_3304</t>
        </is>
      </c>
      <c r="B3380" s="8" t="inlineStr">
        <is>
          <t>C38864</t>
        </is>
      </c>
      <c r="C3380" s="8" t="n"/>
      <c r="D3380" s="7" t="n">
        <v>33</v>
      </c>
      <c r="E3380" s="7" t="n">
        <v>3304</v>
      </c>
      <c r="F3380" s="7" t="inlineStr">
        <is>
          <t>Yes</t>
        </is>
      </c>
      <c r="G3380" s="8" t="n"/>
    </row>
    <row r="3381">
      <c r="A3381" s="8" t="inlineStr">
        <is>
          <t>PGCV_0033_3305</t>
        </is>
      </c>
      <c r="B3381" s="8" t="inlineStr">
        <is>
          <t>C39003</t>
        </is>
      </c>
      <c r="C3381" s="8" t="n"/>
      <c r="D3381" s="7" t="n">
        <v>33</v>
      </c>
      <c r="E3381" s="7" t="n">
        <v>3305</v>
      </c>
      <c r="F3381" s="7" t="inlineStr">
        <is>
          <t>Yes</t>
        </is>
      </c>
      <c r="G3381" s="8" t="n"/>
    </row>
    <row r="3382">
      <c r="A3382" s="8" t="inlineStr">
        <is>
          <t>PGCV_0033_3306</t>
        </is>
      </c>
      <c r="B3382" s="8" t="inlineStr">
        <is>
          <t>C39372</t>
        </is>
      </c>
      <c r="C3382" s="8" t="n"/>
      <c r="D3382" s="7" t="n">
        <v>33</v>
      </c>
      <c r="E3382" s="7" t="n">
        <v>3306</v>
      </c>
      <c r="F3382" s="7" t="inlineStr">
        <is>
          <t>Yes</t>
        </is>
      </c>
      <c r="G3382" s="8" t="n"/>
    </row>
    <row r="3383">
      <c r="A3383" s="8" t="inlineStr">
        <is>
          <t>PGCV_0033_3307</t>
        </is>
      </c>
      <c r="B3383" s="8" t="inlineStr">
        <is>
          <t>C39419</t>
        </is>
      </c>
      <c r="C3383" s="8" t="n"/>
      <c r="D3383" s="7" t="n">
        <v>33</v>
      </c>
      <c r="E3383" s="7" t="n">
        <v>3307</v>
      </c>
      <c r="F3383" s="7" t="inlineStr">
        <is>
          <t>Yes</t>
        </is>
      </c>
      <c r="G3383" s="8" t="n"/>
    </row>
    <row r="3384">
      <c r="A3384" s="8" t="inlineStr">
        <is>
          <t>PGCV_0033_3308</t>
        </is>
      </c>
      <c r="B3384" s="8" t="inlineStr">
        <is>
          <t>C39432</t>
        </is>
      </c>
      <c r="C3384" s="8" t="n"/>
      <c r="D3384" s="7" t="n">
        <v>33</v>
      </c>
      <c r="E3384" s="7" t="n">
        <v>3308</v>
      </c>
      <c r="F3384" s="7" t="inlineStr">
        <is>
          <t>Yes</t>
        </is>
      </c>
      <c r="G3384" s="8" t="n"/>
    </row>
    <row r="3385">
      <c r="A3385" s="8" t="inlineStr">
        <is>
          <t>PGCV_0033_3309</t>
        </is>
      </c>
      <c r="B3385" s="8" t="inlineStr">
        <is>
          <t>C39529</t>
        </is>
      </c>
      <c r="C3385" s="8" t="n"/>
      <c r="D3385" s="7" t="n">
        <v>33</v>
      </c>
      <c r="E3385" s="7" t="n">
        <v>3309</v>
      </c>
      <c r="F3385" s="7" t="inlineStr">
        <is>
          <t>Yes</t>
        </is>
      </c>
      <c r="G3385" s="8" t="n"/>
    </row>
    <row r="3386">
      <c r="A3386" s="8" t="inlineStr">
        <is>
          <t>PGCV_0033_3310</t>
        </is>
      </c>
      <c r="B3386" s="8" t="inlineStr">
        <is>
          <t>C39567</t>
        </is>
      </c>
      <c r="C3386" s="8" t="n"/>
      <c r="D3386" s="7" t="n">
        <v>33</v>
      </c>
      <c r="E3386" s="7" t="n">
        <v>3310</v>
      </c>
      <c r="F3386" s="7" t="inlineStr">
        <is>
          <t>Yes</t>
        </is>
      </c>
      <c r="G3386" s="8" t="n"/>
    </row>
    <row r="3387">
      <c r="A3387" s="8" t="inlineStr">
        <is>
          <t>PGCV_0033_3311</t>
        </is>
      </c>
      <c r="B3387" s="8" t="inlineStr">
        <is>
          <t>771B119467</t>
        </is>
      </c>
      <c r="C3387" s="8" t="n"/>
      <c r="D3387" s="7" t="n">
        <v>33</v>
      </c>
      <c r="E3387" s="7" t="n">
        <v>3311</v>
      </c>
      <c r="F3387" s="7" t="inlineStr">
        <is>
          <t>Yes</t>
        </is>
      </c>
      <c r="G3387" s="8" t="n"/>
    </row>
    <row r="3388">
      <c r="A3388" s="8" t="inlineStr">
        <is>
          <t>PGCV_0033_3312</t>
        </is>
      </c>
      <c r="B3388" s="8" t="inlineStr">
        <is>
          <t>772B119539</t>
        </is>
      </c>
      <c r="C3388" s="8" t="n"/>
      <c r="D3388" s="7" t="n">
        <v>33</v>
      </c>
      <c r="E3388" s="7" t="n">
        <v>3312</v>
      </c>
      <c r="F3388" s="7" t="inlineStr">
        <is>
          <t>Yes</t>
        </is>
      </c>
      <c r="G3388" s="8" t="n"/>
    </row>
    <row r="3389">
      <c r="A3389" s="8" t="inlineStr">
        <is>
          <t>PGCV_0033_3313</t>
        </is>
      </c>
      <c r="B3389" s="8" t="inlineStr">
        <is>
          <t>772B119564</t>
        </is>
      </c>
      <c r="C3389" s="8" t="n"/>
      <c r="D3389" s="7" t="n">
        <v>33</v>
      </c>
      <c r="E3389" s="7" t="n">
        <v>3313</v>
      </c>
      <c r="F3389" s="7" t="inlineStr">
        <is>
          <t>Yes</t>
        </is>
      </c>
      <c r="G3389" s="8" t="n"/>
    </row>
    <row r="3390">
      <c r="A3390" s="8" t="inlineStr">
        <is>
          <t>PGCV_0033_3314</t>
        </is>
      </c>
      <c r="B3390" s="8" t="inlineStr">
        <is>
          <t>772B119603</t>
        </is>
      </c>
      <c r="C3390" s="8" t="n"/>
      <c r="D3390" s="7" t="n">
        <v>33</v>
      </c>
      <c r="E3390" s="7" t="n">
        <v>3314</v>
      </c>
      <c r="F3390" s="7" t="inlineStr">
        <is>
          <t>Yes</t>
        </is>
      </c>
      <c r="G3390" s="8" t="n"/>
    </row>
    <row r="3391">
      <c r="A3391" s="8" t="inlineStr">
        <is>
          <t>PGCV_0033_3315</t>
        </is>
      </c>
      <c r="B3391" s="8" t="inlineStr">
        <is>
          <t>773B119668</t>
        </is>
      </c>
      <c r="C3391" s="8" t="n"/>
      <c r="D3391" s="7" t="n">
        <v>33</v>
      </c>
      <c r="E3391" s="7" t="n">
        <v>3315</v>
      </c>
      <c r="F3391" s="7" t="inlineStr">
        <is>
          <t>Yes</t>
        </is>
      </c>
      <c r="G3391" s="8" t="n"/>
    </row>
    <row r="3392">
      <c r="A3392" s="8" t="inlineStr">
        <is>
          <t>PGCV_0033_3316</t>
        </is>
      </c>
      <c r="B3392" s="8" t="inlineStr">
        <is>
          <t>773B119673</t>
        </is>
      </c>
      <c r="C3392" s="8" t="n"/>
      <c r="D3392" s="7" t="n">
        <v>33</v>
      </c>
      <c r="E3392" s="7" t="n">
        <v>3316</v>
      </c>
      <c r="F3392" s="7" t="inlineStr">
        <is>
          <t>Yes</t>
        </is>
      </c>
      <c r="G3392" s="8" t="n"/>
    </row>
    <row r="3393">
      <c r="A3393" s="8" t="inlineStr">
        <is>
          <t>PGCV_0033_3317</t>
        </is>
      </c>
      <c r="B3393" s="8" t="inlineStr">
        <is>
          <t>773B119680</t>
        </is>
      </c>
      <c r="C3393" s="8" t="n"/>
      <c r="D3393" s="7" t="n">
        <v>33</v>
      </c>
      <c r="E3393" s="7" t="n">
        <v>3317</v>
      </c>
      <c r="F3393" s="7" t="inlineStr">
        <is>
          <t>Yes</t>
        </is>
      </c>
      <c r="G3393" s="8" t="n"/>
    </row>
    <row r="3394">
      <c r="A3394" s="8" t="inlineStr">
        <is>
          <t>PGCV_0033_3318</t>
        </is>
      </c>
      <c r="B3394" s="8" t="inlineStr">
        <is>
          <t>773B119705</t>
        </is>
      </c>
      <c r="C3394" s="8" t="n"/>
      <c r="D3394" s="7" t="n">
        <v>33</v>
      </c>
      <c r="E3394" s="7" t="n">
        <v>3318</v>
      </c>
      <c r="F3394" s="7" t="inlineStr">
        <is>
          <t>Yes</t>
        </is>
      </c>
      <c r="G3394" s="8" t="n"/>
    </row>
    <row r="3395">
      <c r="A3395" s="8" t="inlineStr">
        <is>
          <t>PGCV_0033_3319</t>
        </is>
      </c>
      <c r="B3395" s="8" t="inlineStr">
        <is>
          <t>774B119798</t>
        </is>
      </c>
      <c r="C3395" s="8" t="n"/>
      <c r="D3395" s="7" t="n">
        <v>33</v>
      </c>
      <c r="E3395" s="7" t="n">
        <v>3319</v>
      </c>
      <c r="F3395" s="7" t="inlineStr">
        <is>
          <t>Yes</t>
        </is>
      </c>
      <c r="G3395" s="8" t="n"/>
    </row>
    <row r="3396">
      <c r="A3396" s="8" t="inlineStr">
        <is>
          <t>PGCV_0033_3320</t>
        </is>
      </c>
      <c r="B3396" s="8" t="inlineStr">
        <is>
          <t>774B119799</t>
        </is>
      </c>
      <c r="C3396" s="8" t="n"/>
      <c r="D3396" s="7" t="n">
        <v>33</v>
      </c>
      <c r="E3396" s="7" t="n">
        <v>3320</v>
      </c>
      <c r="F3396" s="7" t="inlineStr">
        <is>
          <t>Yes</t>
        </is>
      </c>
      <c r="G3396" s="8" t="n"/>
    </row>
    <row r="3397">
      <c r="A3397" s="8" t="inlineStr">
        <is>
          <t>PGCV_0033_3321</t>
        </is>
      </c>
      <c r="B3397" s="8" t="inlineStr">
        <is>
          <t>774B119800</t>
        </is>
      </c>
      <c r="C3397" s="8" t="n"/>
      <c r="D3397" s="7" t="n">
        <v>33</v>
      </c>
      <c r="E3397" s="7" t="n">
        <v>3321</v>
      </c>
      <c r="F3397" s="7" t="inlineStr">
        <is>
          <t>Yes</t>
        </is>
      </c>
      <c r="G3397" s="8" t="n"/>
    </row>
    <row r="3398">
      <c r="A3398" s="8" t="inlineStr">
        <is>
          <t>PGCV_0033_3322</t>
        </is>
      </c>
      <c r="B3398" s="8" t="inlineStr">
        <is>
          <t>774B119801</t>
        </is>
      </c>
      <c r="C3398" s="8" t="n"/>
      <c r="D3398" s="7" t="n">
        <v>33</v>
      </c>
      <c r="E3398" s="7" t="n">
        <v>3322</v>
      </c>
      <c r="F3398" s="7" t="inlineStr">
        <is>
          <t>No</t>
        </is>
      </c>
      <c r="G3398" s="8" t="n"/>
    </row>
    <row r="3399">
      <c r="A3399" s="8" t="inlineStr">
        <is>
          <t>PGCV_0033_3323</t>
        </is>
      </c>
      <c r="B3399" s="8" t="inlineStr">
        <is>
          <t>775B119907</t>
        </is>
      </c>
      <c r="C3399" s="8" t="n"/>
      <c r="D3399" s="7" t="n">
        <v>33</v>
      </c>
      <c r="E3399" s="7" t="n">
        <v>3323</v>
      </c>
      <c r="F3399" s="7" t="inlineStr">
        <is>
          <t>Yes</t>
        </is>
      </c>
      <c r="G3399" s="8" t="n"/>
    </row>
    <row r="3400">
      <c r="A3400" s="8" t="inlineStr">
        <is>
          <t>PGCV_0033_3324</t>
        </is>
      </c>
      <c r="B3400" s="8" t="inlineStr">
        <is>
          <t>775B119953</t>
        </is>
      </c>
      <c r="C3400" s="8" t="n"/>
      <c r="D3400" s="7" t="n">
        <v>33</v>
      </c>
      <c r="E3400" s="7" t="n">
        <v>3324</v>
      </c>
      <c r="F3400" s="7" t="inlineStr">
        <is>
          <t>Yes</t>
        </is>
      </c>
      <c r="G3400" s="8" t="n"/>
    </row>
    <row r="3401">
      <c r="A3401" s="8" t="inlineStr">
        <is>
          <t>PGCV_0033_3325</t>
        </is>
      </c>
      <c r="B3401" s="8" t="inlineStr">
        <is>
          <t>775B119963</t>
        </is>
      </c>
      <c r="C3401" s="8" t="n"/>
      <c r="D3401" s="7" t="n">
        <v>33</v>
      </c>
      <c r="E3401" s="7" t="n">
        <v>3325</v>
      </c>
      <c r="F3401" s="7" t="inlineStr">
        <is>
          <t>Yes</t>
        </is>
      </c>
      <c r="G3401" s="8" t="n"/>
    </row>
    <row r="3402">
      <c r="A3402" s="8" t="inlineStr">
        <is>
          <t>PGCV_0033_3326</t>
        </is>
      </c>
      <c r="B3402" s="8" t="inlineStr">
        <is>
          <t>775B119970</t>
        </is>
      </c>
      <c r="C3402" s="8" t="n"/>
      <c r="D3402" s="7" t="n">
        <v>33</v>
      </c>
      <c r="E3402" s="7" t="n">
        <v>3326</v>
      </c>
      <c r="F3402" s="7" t="inlineStr">
        <is>
          <t>Yes</t>
        </is>
      </c>
      <c r="G3402" s="8" t="n"/>
    </row>
    <row r="3403">
      <c r="A3403" s="8" t="inlineStr">
        <is>
          <t>PGCV_0033_3327</t>
        </is>
      </c>
      <c r="B3403" s="8" t="inlineStr">
        <is>
          <t>776B120070</t>
        </is>
      </c>
      <c r="C3403" s="8" t="n"/>
      <c r="D3403" s="7" t="n">
        <v>33</v>
      </c>
      <c r="E3403" s="7" t="n">
        <v>3327</v>
      </c>
      <c r="F3403" s="7" t="inlineStr">
        <is>
          <t>Yes</t>
        </is>
      </c>
      <c r="G3403" s="8" t="n"/>
    </row>
    <row r="3404">
      <c r="A3404" s="8" t="inlineStr">
        <is>
          <t>PGCV_0033_3328</t>
        </is>
      </c>
      <c r="B3404" s="8" t="inlineStr">
        <is>
          <t>777B120181</t>
        </is>
      </c>
      <c r="C3404" s="8" t="n"/>
      <c r="D3404" s="7" t="n">
        <v>33</v>
      </c>
      <c r="E3404" s="7" t="n">
        <v>3328</v>
      </c>
      <c r="F3404" s="7" t="inlineStr">
        <is>
          <t>Yes</t>
        </is>
      </c>
      <c r="G3404" s="8" t="n"/>
    </row>
    <row r="3405">
      <c r="A3405" s="8" t="inlineStr">
        <is>
          <t>PGCV_0033_3329</t>
        </is>
      </c>
      <c r="B3405" s="8" t="inlineStr">
        <is>
          <t>777B120194</t>
        </is>
      </c>
      <c r="C3405" s="8" t="n"/>
      <c r="D3405" s="7" t="n">
        <v>33</v>
      </c>
      <c r="E3405" s="7" t="n">
        <v>3329</v>
      </c>
      <c r="F3405" s="7" t="inlineStr">
        <is>
          <t>Yes</t>
        </is>
      </c>
      <c r="G3405" s="8" t="n"/>
    </row>
    <row r="3406">
      <c r="A3406" s="8" t="inlineStr">
        <is>
          <t>PGCV_0033_3330</t>
        </is>
      </c>
      <c r="B3406" s="8" t="inlineStr">
        <is>
          <t>777B120219</t>
        </is>
      </c>
      <c r="C3406" s="8" t="n"/>
      <c r="D3406" s="7" t="n">
        <v>33</v>
      </c>
      <c r="E3406" s="7" t="n">
        <v>3330</v>
      </c>
      <c r="F3406" s="7" t="inlineStr">
        <is>
          <t>Yes</t>
        </is>
      </c>
      <c r="G3406" s="8" t="n"/>
    </row>
    <row r="3407">
      <c r="A3407" s="8" t="inlineStr">
        <is>
          <t>PGCV_0033_3331</t>
        </is>
      </c>
      <c r="B3407" s="8" t="inlineStr">
        <is>
          <t>778B120284</t>
        </is>
      </c>
      <c r="C3407" s="8" t="n"/>
      <c r="D3407" s="7" t="n">
        <v>33</v>
      </c>
      <c r="E3407" s="7" t="n">
        <v>3331</v>
      </c>
      <c r="F3407" s="7" t="inlineStr">
        <is>
          <t>Yes</t>
        </is>
      </c>
      <c r="G3407" s="8" t="n"/>
    </row>
    <row r="3408">
      <c r="A3408" s="8" t="inlineStr">
        <is>
          <t>PGCV_0033_3332</t>
        </is>
      </c>
      <c r="B3408" s="8" t="inlineStr">
        <is>
          <t>22-43062</t>
        </is>
      </c>
      <c r="C3408" s="8" t="n"/>
      <c r="D3408" s="7" t="n">
        <v>33</v>
      </c>
      <c r="E3408" s="7" t="n">
        <v>3332</v>
      </c>
      <c r="F3408" s="7" t="inlineStr">
        <is>
          <t>Yes</t>
        </is>
      </c>
      <c r="G3408" s="8" t="n"/>
    </row>
    <row r="3409">
      <c r="A3409" s="8" t="inlineStr">
        <is>
          <t>PGCV_0033_3333</t>
        </is>
      </c>
      <c r="B3409" s="8" t="inlineStr">
        <is>
          <t>22-43214</t>
        </is>
      </c>
      <c r="C3409" s="8" t="n"/>
      <c r="D3409" s="7" t="n">
        <v>33</v>
      </c>
      <c r="E3409" s="7" t="n">
        <v>3333</v>
      </c>
      <c r="F3409" s="7" t="inlineStr">
        <is>
          <t>Yes</t>
        </is>
      </c>
      <c r="G3409" s="8" t="n"/>
    </row>
    <row r="3410">
      <c r="A3410" s="8" t="inlineStr">
        <is>
          <t>PGCV_0033_3334</t>
        </is>
      </c>
      <c r="B3410" s="8" t="inlineStr">
        <is>
          <t>22-43245</t>
        </is>
      </c>
      <c r="C3410" s="8" t="n"/>
      <c r="D3410" s="7" t="n">
        <v>33</v>
      </c>
      <c r="E3410" s="7" t="n">
        <v>3334</v>
      </c>
      <c r="F3410" s="7" t="inlineStr">
        <is>
          <t>Yes</t>
        </is>
      </c>
      <c r="G3410" s="8" t="n"/>
    </row>
    <row r="3411">
      <c r="A3411" s="8" t="inlineStr">
        <is>
          <t>PGCV_0034_3335</t>
        </is>
      </c>
      <c r="B3411" s="8" t="inlineStr">
        <is>
          <t>MLAB179500</t>
        </is>
      </c>
      <c r="C3411" s="8" t="n"/>
      <c r="D3411" s="7" t="n">
        <v>34</v>
      </c>
      <c r="E3411" s="7" t="n">
        <v>3335</v>
      </c>
      <c r="F3411" s="7" t="inlineStr">
        <is>
          <t>Yes</t>
        </is>
      </c>
      <c r="G3411" s="8" t="n"/>
    </row>
    <row r="3412">
      <c r="A3412" s="8" t="inlineStr">
        <is>
          <t>PGCV_0034_3336</t>
        </is>
      </c>
      <c r="B3412" s="8" t="inlineStr">
        <is>
          <t>MLAB179574</t>
        </is>
      </c>
      <c r="C3412" s="8" t="n"/>
      <c r="D3412" s="7" t="n">
        <v>34</v>
      </c>
      <c r="E3412" s="7" t="n">
        <v>3336</v>
      </c>
      <c r="F3412" s="7" t="inlineStr">
        <is>
          <t>Yes</t>
        </is>
      </c>
      <c r="G3412" s="8" t="n"/>
    </row>
    <row r="3413">
      <c r="A3413" s="8" t="inlineStr">
        <is>
          <t>PGCV_0034_3337</t>
        </is>
      </c>
      <c r="B3413" s="8" t="inlineStr">
        <is>
          <t>MLAB179586</t>
        </is>
      </c>
      <c r="C3413" s="8" t="n"/>
      <c r="D3413" s="7" t="n">
        <v>34</v>
      </c>
      <c r="E3413" s="7" t="n">
        <v>3337</v>
      </c>
      <c r="F3413" s="7" t="inlineStr">
        <is>
          <t>Yes</t>
        </is>
      </c>
      <c r="G3413" s="8" t="n"/>
    </row>
    <row r="3414">
      <c r="A3414" s="8" t="inlineStr">
        <is>
          <t>PGCV_0034_3338</t>
        </is>
      </c>
      <c r="B3414" s="8" t="inlineStr">
        <is>
          <t>MLAB179587</t>
        </is>
      </c>
      <c r="C3414" s="8" t="n"/>
      <c r="D3414" s="7" t="n">
        <v>34</v>
      </c>
      <c r="E3414" s="7" t="n">
        <v>3338</v>
      </c>
      <c r="F3414" s="7" t="inlineStr">
        <is>
          <t>Yes</t>
        </is>
      </c>
      <c r="G3414" s="8" t="n"/>
    </row>
    <row r="3415">
      <c r="A3415" s="8" t="inlineStr">
        <is>
          <t>PGCV_0034_3339</t>
        </is>
      </c>
      <c r="B3415" s="8" t="inlineStr">
        <is>
          <t>MLAB179653</t>
        </is>
      </c>
      <c r="C3415" s="8" t="n"/>
      <c r="D3415" s="7" t="n">
        <v>34</v>
      </c>
      <c r="E3415" s="7" t="n">
        <v>3339</v>
      </c>
      <c r="F3415" s="7" t="inlineStr">
        <is>
          <t>Yes</t>
        </is>
      </c>
      <c r="G3415" s="8" t="n"/>
    </row>
    <row r="3416">
      <c r="A3416" s="8" t="inlineStr">
        <is>
          <t>PGCV_0034_3340</t>
        </is>
      </c>
      <c r="B3416" s="8" t="inlineStr">
        <is>
          <t>MLAB179657</t>
        </is>
      </c>
      <c r="C3416" s="8" t="n"/>
      <c r="D3416" s="7" t="n">
        <v>34</v>
      </c>
      <c r="E3416" s="7" t="n">
        <v>3340</v>
      </c>
      <c r="F3416" s="7" t="inlineStr">
        <is>
          <t>Yes</t>
        </is>
      </c>
      <c r="G3416" s="8" t="n"/>
    </row>
    <row r="3417">
      <c r="A3417" s="8" t="inlineStr">
        <is>
          <t>PGCV_0034_3341</t>
        </is>
      </c>
      <c r="B3417" s="8" t="inlineStr">
        <is>
          <t>MLAB179688</t>
        </is>
      </c>
      <c r="C3417" s="8" t="n"/>
      <c r="D3417" s="7" t="n">
        <v>34</v>
      </c>
      <c r="E3417" s="7" t="n">
        <v>3341</v>
      </c>
      <c r="F3417" s="7" t="inlineStr">
        <is>
          <t>Yes</t>
        </is>
      </c>
      <c r="G3417" s="8" t="n"/>
    </row>
    <row r="3418">
      <c r="A3418" s="8" t="inlineStr">
        <is>
          <t>PGCV_0034_3342</t>
        </is>
      </c>
      <c r="B3418" s="8" t="inlineStr">
        <is>
          <t>MLAB179701</t>
        </is>
      </c>
      <c r="C3418" s="8" t="n"/>
      <c r="D3418" s="7" t="n">
        <v>34</v>
      </c>
      <c r="E3418" s="7" t="n">
        <v>3342</v>
      </c>
      <c r="F3418" s="7" t="inlineStr">
        <is>
          <t>Yes</t>
        </is>
      </c>
      <c r="G3418" s="8" t="n"/>
    </row>
    <row r="3419">
      <c r="A3419" s="8" t="inlineStr">
        <is>
          <t>PGCV_0034_3343</t>
        </is>
      </c>
      <c r="B3419" s="8" t="inlineStr">
        <is>
          <t>MLAB179704</t>
        </is>
      </c>
      <c r="C3419" s="8" t="n"/>
      <c r="D3419" s="7" t="n">
        <v>34</v>
      </c>
      <c r="E3419" s="7" t="n">
        <v>3343</v>
      </c>
      <c r="F3419" s="7" t="inlineStr">
        <is>
          <t>Yes</t>
        </is>
      </c>
      <c r="G3419" s="8" t="n"/>
    </row>
    <row r="3420">
      <c r="A3420" s="8" t="inlineStr">
        <is>
          <t>PGCV_0034_3344</t>
        </is>
      </c>
      <c r="B3420" s="8" t="inlineStr">
        <is>
          <t>MLAB179831</t>
        </is>
      </c>
      <c r="C3420" s="8" t="n"/>
      <c r="D3420" s="7" t="n">
        <v>34</v>
      </c>
      <c r="E3420" s="7" t="n">
        <v>3344</v>
      </c>
      <c r="F3420" s="7" t="inlineStr">
        <is>
          <t>Yes</t>
        </is>
      </c>
      <c r="G3420" s="8" t="n"/>
    </row>
    <row r="3421">
      <c r="A3421" s="8" t="inlineStr">
        <is>
          <t>PGCV_0034_3345</t>
        </is>
      </c>
      <c r="B3421" s="8" t="inlineStr">
        <is>
          <t>MLAB179840</t>
        </is>
      </c>
      <c r="C3421" s="8" t="n"/>
      <c r="D3421" s="7" t="n">
        <v>34</v>
      </c>
      <c r="E3421" s="7" t="n">
        <v>3345</v>
      </c>
      <c r="F3421" s="7" t="inlineStr">
        <is>
          <t>Yes</t>
        </is>
      </c>
      <c r="G3421" s="8" t="n"/>
    </row>
    <row r="3422">
      <c r="A3422" s="8" t="inlineStr">
        <is>
          <t>PGCV_0034_3346</t>
        </is>
      </c>
      <c r="B3422" s="8" t="inlineStr">
        <is>
          <t>MLAB179842</t>
        </is>
      </c>
      <c r="C3422" s="8" t="n"/>
      <c r="D3422" s="7" t="n">
        <v>34</v>
      </c>
      <c r="E3422" s="7" t="n">
        <v>3346</v>
      </c>
      <c r="F3422" s="7" t="inlineStr">
        <is>
          <t>Yes</t>
        </is>
      </c>
      <c r="G3422" s="8" t="n"/>
    </row>
    <row r="3423">
      <c r="A3423" s="8" t="inlineStr">
        <is>
          <t>PGCV_0034_3347</t>
        </is>
      </c>
      <c r="B3423" s="8" t="inlineStr">
        <is>
          <t>MLAB179876</t>
        </is>
      </c>
      <c r="C3423" s="8" t="n"/>
      <c r="D3423" s="7" t="n">
        <v>34</v>
      </c>
      <c r="E3423" s="7" t="n">
        <v>3347</v>
      </c>
      <c r="F3423" s="7" t="inlineStr">
        <is>
          <t>Yes</t>
        </is>
      </c>
      <c r="G3423" s="8" t="n"/>
    </row>
    <row r="3424">
      <c r="A3424" s="8" t="inlineStr">
        <is>
          <t>PGCV_0034_3348</t>
        </is>
      </c>
      <c r="B3424" s="8" t="inlineStr">
        <is>
          <t>MLAB179904</t>
        </is>
      </c>
      <c r="C3424" s="8" t="n"/>
      <c r="D3424" s="7" t="n">
        <v>34</v>
      </c>
      <c r="E3424" s="7" t="n">
        <v>3348</v>
      </c>
      <c r="F3424" s="7" t="inlineStr">
        <is>
          <t>Yes</t>
        </is>
      </c>
      <c r="G3424" s="8" t="n"/>
    </row>
    <row r="3425">
      <c r="A3425" s="8" t="inlineStr">
        <is>
          <t>PGCV_0034_3349</t>
        </is>
      </c>
      <c r="B3425" s="8" t="inlineStr">
        <is>
          <t>MLAB179941</t>
        </is>
      </c>
      <c r="C3425" s="8" t="n"/>
      <c r="D3425" s="7" t="n">
        <v>34</v>
      </c>
      <c r="E3425" s="7" t="n">
        <v>3349</v>
      </c>
      <c r="F3425" s="7" t="inlineStr">
        <is>
          <t>Yes</t>
        </is>
      </c>
      <c r="G3425" s="8" t="n"/>
    </row>
    <row r="3426">
      <c r="A3426" s="8" t="inlineStr">
        <is>
          <t>PGCV_0034_3350</t>
        </is>
      </c>
      <c r="B3426" s="8" t="inlineStr">
        <is>
          <t>MLAB179956</t>
        </is>
      </c>
      <c r="C3426" s="8" t="n"/>
      <c r="D3426" s="7" t="n">
        <v>34</v>
      </c>
      <c r="E3426" s="7" t="n">
        <v>3350</v>
      </c>
      <c r="F3426" s="7" t="inlineStr">
        <is>
          <t>Yes</t>
        </is>
      </c>
      <c r="G3426" s="8" t="n"/>
    </row>
    <row r="3427">
      <c r="A3427" s="8" t="inlineStr">
        <is>
          <t>PGCV_0034_3351</t>
        </is>
      </c>
      <c r="B3427" s="8" t="inlineStr">
        <is>
          <t>COVID-SNL-22-92451</t>
        </is>
      </c>
      <c r="C3427" s="8" t="n"/>
      <c r="D3427" s="7" t="n">
        <v>34</v>
      </c>
      <c r="E3427" s="7" t="n">
        <v>3351</v>
      </c>
      <c r="F3427" s="7" t="inlineStr">
        <is>
          <t>Yes</t>
        </is>
      </c>
      <c r="G3427" s="8" t="n"/>
    </row>
    <row r="3428">
      <c r="A3428" s="8" t="inlineStr">
        <is>
          <t>PGCV_0034_3352</t>
        </is>
      </c>
      <c r="B3428" s="8" t="inlineStr">
        <is>
          <t>COVID-SNL-22-92467</t>
        </is>
      </c>
      <c r="C3428" s="8" t="n"/>
      <c r="D3428" s="7" t="n">
        <v>34</v>
      </c>
      <c r="E3428" s="7" t="n">
        <v>3352</v>
      </c>
      <c r="F3428" s="7" t="inlineStr">
        <is>
          <t>Yes</t>
        </is>
      </c>
      <c r="G3428" s="8" t="n"/>
    </row>
    <row r="3429">
      <c r="A3429" s="8" t="inlineStr">
        <is>
          <t>PGCV_0034_3353</t>
        </is>
      </c>
      <c r="B3429" s="8" t="inlineStr">
        <is>
          <t>COVID-SNL-22-92503</t>
        </is>
      </c>
      <c r="C3429" s="8" t="n"/>
      <c r="D3429" s="7" t="n">
        <v>34</v>
      </c>
      <c r="E3429" s="7" t="n">
        <v>3353</v>
      </c>
      <c r="F3429" s="7" t="inlineStr">
        <is>
          <t>Yes</t>
        </is>
      </c>
      <c r="G3429" s="8" t="n"/>
    </row>
    <row r="3430">
      <c r="A3430" s="8" t="inlineStr">
        <is>
          <t>PGCV_0034_3354</t>
        </is>
      </c>
      <c r="B3430" s="8" t="inlineStr">
        <is>
          <t>COVID-SNL-22-92517</t>
        </is>
      </c>
      <c r="C3430" s="8" t="n"/>
      <c r="D3430" s="7" t="n">
        <v>34</v>
      </c>
      <c r="E3430" s="7" t="n">
        <v>3354</v>
      </c>
      <c r="F3430" s="7" t="inlineStr">
        <is>
          <t>Yes</t>
        </is>
      </c>
      <c r="G3430" s="8" t="n"/>
    </row>
    <row r="3431">
      <c r="A3431" s="8" t="inlineStr">
        <is>
          <t>PGCV_0034_3355</t>
        </is>
      </c>
      <c r="B3431" s="8" t="inlineStr">
        <is>
          <t>COVID-SNL-22-92742</t>
        </is>
      </c>
      <c r="C3431" s="8" t="n"/>
      <c r="D3431" s="7" t="n">
        <v>34</v>
      </c>
      <c r="E3431" s="7" t="n">
        <v>3355</v>
      </c>
      <c r="F3431" s="7" t="inlineStr">
        <is>
          <t>Yes</t>
        </is>
      </c>
      <c r="G3431" s="8" t="n"/>
    </row>
    <row r="3432">
      <c r="A3432" s="8" t="inlineStr">
        <is>
          <t>PGCV_0034_3356</t>
        </is>
      </c>
      <c r="B3432" s="8" t="inlineStr">
        <is>
          <t>COVID-SNL-22-92664</t>
        </is>
      </c>
      <c r="C3432" s="8" t="n"/>
      <c r="D3432" s="7" t="n">
        <v>34</v>
      </c>
      <c r="E3432" s="7" t="n">
        <v>3356</v>
      </c>
      <c r="F3432" s="7" t="inlineStr">
        <is>
          <t>Yes</t>
        </is>
      </c>
      <c r="G3432" s="8" t="n"/>
    </row>
    <row r="3433">
      <c r="A3433" s="8" t="inlineStr">
        <is>
          <t>PGCV_0034_3357</t>
        </is>
      </c>
      <c r="B3433" s="8" t="inlineStr">
        <is>
          <t>COVID-SNL-22-92666</t>
        </is>
      </c>
      <c r="C3433" s="8" t="n"/>
      <c r="D3433" s="7" t="n">
        <v>34</v>
      </c>
      <c r="E3433" s="7" t="n">
        <v>3357</v>
      </c>
      <c r="F3433" s="7" t="inlineStr">
        <is>
          <t>Yes</t>
        </is>
      </c>
      <c r="G3433" s="8" t="n"/>
    </row>
    <row r="3434">
      <c r="A3434" s="8" t="inlineStr">
        <is>
          <t>PGCV_0034_3358</t>
        </is>
      </c>
      <c r="B3434" s="8" t="inlineStr">
        <is>
          <t>COVID-SNL-22-92821</t>
        </is>
      </c>
      <c r="C3434" s="8" t="n"/>
      <c r="D3434" s="7" t="n">
        <v>34</v>
      </c>
      <c r="E3434" s="7" t="n">
        <v>3358</v>
      </c>
      <c r="F3434" s="7" t="inlineStr">
        <is>
          <t>Yes</t>
        </is>
      </c>
      <c r="G3434" s="8" t="n"/>
    </row>
    <row r="3435">
      <c r="A3435" s="8" t="inlineStr">
        <is>
          <t>PGCV_0034_3359</t>
        </is>
      </c>
      <c r="B3435" s="8" t="inlineStr">
        <is>
          <t>COVID-SNL-22-92916</t>
        </is>
      </c>
      <c r="C3435" s="8" t="n"/>
      <c r="D3435" s="7" t="n">
        <v>34</v>
      </c>
      <c r="E3435" s="7" t="n">
        <v>3359</v>
      </c>
      <c r="F3435" s="7" t="inlineStr">
        <is>
          <t>Yes</t>
        </is>
      </c>
      <c r="G3435" s="8" t="n"/>
    </row>
    <row r="3436">
      <c r="A3436" s="8" t="inlineStr">
        <is>
          <t>PGCV_0034_3360</t>
        </is>
      </c>
      <c r="B3436" s="8" t="inlineStr">
        <is>
          <t>COVID-SNL-22-92927</t>
        </is>
      </c>
      <c r="C3436" s="8" t="n"/>
      <c r="D3436" s="7" t="n">
        <v>34</v>
      </c>
      <c r="E3436" s="7" t="n">
        <v>3360</v>
      </c>
      <c r="F3436" s="7" t="inlineStr">
        <is>
          <t>Yes</t>
        </is>
      </c>
      <c r="G3436" s="8" t="n"/>
    </row>
    <row r="3437">
      <c r="A3437" s="8" t="inlineStr">
        <is>
          <t>PGCV_0034_3361</t>
        </is>
      </c>
      <c r="B3437" s="8" t="inlineStr">
        <is>
          <t>COVID-SNL-22-92958</t>
        </is>
      </c>
      <c r="C3437" s="8" t="n"/>
      <c r="D3437" s="7" t="n">
        <v>34</v>
      </c>
      <c r="E3437" s="7" t="n">
        <v>3361</v>
      </c>
      <c r="F3437" s="7" t="inlineStr">
        <is>
          <t>Yes</t>
        </is>
      </c>
      <c r="G3437" s="8" t="n"/>
    </row>
    <row r="3438">
      <c r="A3438" s="8" t="inlineStr">
        <is>
          <t>PGCV_0034_3362</t>
        </is>
      </c>
      <c r="B3438" s="8" t="inlineStr">
        <is>
          <t>COVID-SNL-22-92961</t>
        </is>
      </c>
      <c r="C3438" s="8" t="n"/>
      <c r="D3438" s="7" t="n">
        <v>34</v>
      </c>
      <c r="E3438" s="7" t="n">
        <v>3362</v>
      </c>
      <c r="F3438" s="7" t="inlineStr">
        <is>
          <t>Yes</t>
        </is>
      </c>
      <c r="G3438" s="8" t="n"/>
    </row>
    <row r="3439">
      <c r="A3439" s="8" t="inlineStr">
        <is>
          <t>PGCV_0034_3363</t>
        </is>
      </c>
      <c r="B3439" s="8" t="inlineStr">
        <is>
          <t>COVID-SNL-22-93062</t>
        </is>
      </c>
      <c r="C3439" s="8" t="n"/>
      <c r="D3439" s="7" t="n">
        <v>34</v>
      </c>
      <c r="E3439" s="7" t="n">
        <v>3363</v>
      </c>
      <c r="F3439" s="7" t="inlineStr">
        <is>
          <t>Yes</t>
        </is>
      </c>
      <c r="G3439" s="8" t="n"/>
    </row>
    <row r="3440">
      <c r="A3440" s="8" t="inlineStr">
        <is>
          <t>PGCV_0034_3364</t>
        </is>
      </c>
      <c r="B3440" s="8" t="inlineStr">
        <is>
          <t>COVID-SNL-22-92975</t>
        </is>
      </c>
      <c r="C3440" s="8" t="n"/>
      <c r="D3440" s="7" t="n">
        <v>34</v>
      </c>
      <c r="E3440" s="7" t="n">
        <v>3364</v>
      </c>
      <c r="F3440" s="7" t="inlineStr">
        <is>
          <t>No</t>
        </is>
      </c>
      <c r="G3440" s="8" t="n"/>
    </row>
    <row r="3441">
      <c r="A3441" s="8" t="inlineStr">
        <is>
          <t>PGCV_0034_3365</t>
        </is>
      </c>
      <c r="B3441" s="8" t="inlineStr">
        <is>
          <t>COVID-SNL-22-92979</t>
        </is>
      </c>
      <c r="C3441" s="8" t="n"/>
      <c r="D3441" s="7" t="n">
        <v>34</v>
      </c>
      <c r="E3441" s="7" t="n">
        <v>3365</v>
      </c>
      <c r="F3441" s="7" t="inlineStr">
        <is>
          <t>Yes</t>
        </is>
      </c>
      <c r="G3441" s="8" t="n"/>
    </row>
    <row r="3442">
      <c r="A3442" s="8" t="inlineStr">
        <is>
          <t>PGCV_0034_3366</t>
        </is>
      </c>
      <c r="B3442" s="8" t="inlineStr">
        <is>
          <t>COVID-SNL-22-93082</t>
        </is>
      </c>
      <c r="C3442" s="8" t="n"/>
      <c r="D3442" s="7" t="n">
        <v>34</v>
      </c>
      <c r="E3442" s="7" t="n">
        <v>3366</v>
      </c>
      <c r="F3442" s="7" t="inlineStr">
        <is>
          <t>Yes</t>
        </is>
      </c>
      <c r="G3442" s="8" t="n"/>
    </row>
    <row r="3443">
      <c r="A3443" s="8" t="inlineStr">
        <is>
          <t>PGCV_0034_3367</t>
        </is>
      </c>
      <c r="B3443" s="8" t="inlineStr">
        <is>
          <t>COVID-SNL-22-93043</t>
        </is>
      </c>
      <c r="C3443" s="8" t="n"/>
      <c r="D3443" s="7" t="n">
        <v>34</v>
      </c>
      <c r="E3443" s="7" t="n">
        <v>3367</v>
      </c>
      <c r="F3443" s="7" t="inlineStr">
        <is>
          <t>Yes</t>
        </is>
      </c>
      <c r="G3443" s="8" t="n"/>
    </row>
    <row r="3444">
      <c r="A3444" s="8" t="inlineStr">
        <is>
          <t>PGCV_0034_3368</t>
        </is>
      </c>
      <c r="B3444" s="8" t="inlineStr">
        <is>
          <t>COVID-SNL-22-93057</t>
        </is>
      </c>
      <c r="C3444" s="8" t="n"/>
      <c r="D3444" s="7" t="n">
        <v>34</v>
      </c>
      <c r="E3444" s="7" t="n">
        <v>3368</v>
      </c>
      <c r="F3444" s="7" t="inlineStr">
        <is>
          <t>Yes</t>
        </is>
      </c>
      <c r="G3444" s="8" t="n"/>
    </row>
    <row r="3445">
      <c r="A3445" s="8" t="inlineStr">
        <is>
          <t>PGCV_0034_3369</t>
        </is>
      </c>
      <c r="B3445" s="8" t="inlineStr">
        <is>
          <t>COVID-SNL-22-93229</t>
        </is>
      </c>
      <c r="C3445" s="8" t="n"/>
      <c r="D3445" s="7" t="n">
        <v>34</v>
      </c>
      <c r="E3445" s="7" t="n">
        <v>3369</v>
      </c>
      <c r="F3445" s="7" t="inlineStr">
        <is>
          <t>Yes</t>
        </is>
      </c>
      <c r="G3445" s="8" t="n"/>
    </row>
    <row r="3446">
      <c r="A3446" s="8" t="inlineStr">
        <is>
          <t>PGCV_0034_3370</t>
        </is>
      </c>
      <c r="B3446" s="8" t="inlineStr">
        <is>
          <t>COVID-SNL-22-93281</t>
        </is>
      </c>
      <c r="C3446" s="8" t="n"/>
      <c r="D3446" s="7" t="n">
        <v>34</v>
      </c>
      <c r="E3446" s="7" t="n">
        <v>3370</v>
      </c>
      <c r="F3446" s="7" t="inlineStr">
        <is>
          <t>Yes</t>
        </is>
      </c>
      <c r="G3446" s="8" t="n"/>
    </row>
    <row r="3447">
      <c r="A3447" s="8" t="inlineStr">
        <is>
          <t>PGCV_0034_3371</t>
        </is>
      </c>
      <c r="B3447" s="8" t="inlineStr">
        <is>
          <t>COVID-SNL-22-93283</t>
        </is>
      </c>
      <c r="C3447" s="8" t="n"/>
      <c r="D3447" s="7" t="n">
        <v>34</v>
      </c>
      <c r="E3447" s="7" t="n">
        <v>3371</v>
      </c>
      <c r="F3447" s="7" t="inlineStr">
        <is>
          <t>No</t>
        </is>
      </c>
      <c r="G3447" s="8" t="n"/>
    </row>
    <row r="3448">
      <c r="A3448" s="8" t="inlineStr">
        <is>
          <t>PGCV_0034_3372</t>
        </is>
      </c>
      <c r="B3448" s="8" t="inlineStr">
        <is>
          <t>COVID-SNL-22-93305</t>
        </is>
      </c>
      <c r="C3448" s="8" t="n"/>
      <c r="D3448" s="7" t="n">
        <v>34</v>
      </c>
      <c r="E3448" s="7" t="n">
        <v>3372</v>
      </c>
      <c r="F3448" s="7" t="inlineStr">
        <is>
          <t>No</t>
        </is>
      </c>
      <c r="G3448" s="8" t="n"/>
    </row>
    <row r="3449">
      <c r="A3449" s="8" t="inlineStr">
        <is>
          <t>PGCV_0034_3373</t>
        </is>
      </c>
      <c r="B3449" s="8" t="inlineStr">
        <is>
          <t>COVID-SNL-22-93352</t>
        </is>
      </c>
      <c r="C3449" s="8" t="n"/>
      <c r="D3449" s="7" t="n">
        <v>34</v>
      </c>
      <c r="E3449" s="7" t="n">
        <v>3373</v>
      </c>
      <c r="F3449" s="7" t="inlineStr">
        <is>
          <t>Yes</t>
        </is>
      </c>
      <c r="G3449" s="8" t="n"/>
    </row>
    <row r="3450">
      <c r="A3450" s="8" t="inlineStr">
        <is>
          <t>PGCV_0034_3374</t>
        </is>
      </c>
      <c r="B3450" s="8" t="inlineStr">
        <is>
          <t>COVID-SNL-22-93621</t>
        </is>
      </c>
      <c r="C3450" s="8" t="n"/>
      <c r="D3450" s="7" t="n">
        <v>34</v>
      </c>
      <c r="E3450" s="7" t="n">
        <v>3374</v>
      </c>
      <c r="F3450" s="7" t="inlineStr">
        <is>
          <t>Yes</t>
        </is>
      </c>
      <c r="G3450" s="8" t="n"/>
    </row>
    <row r="3451">
      <c r="A3451" s="8" t="inlineStr">
        <is>
          <t>PGCV_0034_3375</t>
        </is>
      </c>
      <c r="B3451" s="8" t="inlineStr">
        <is>
          <t>COVID-SNL-22-93698</t>
        </is>
      </c>
      <c r="C3451" s="8" t="n"/>
      <c r="D3451" s="7" t="n">
        <v>34</v>
      </c>
      <c r="E3451" s="7" t="n">
        <v>3375</v>
      </c>
      <c r="F3451" s="7" t="inlineStr">
        <is>
          <t>Yes</t>
        </is>
      </c>
      <c r="G3451" s="8" t="n"/>
    </row>
    <row r="3452">
      <c r="A3452" s="8" t="inlineStr">
        <is>
          <t>PGCV_0034_3376</t>
        </is>
      </c>
      <c r="B3452" s="8" t="inlineStr">
        <is>
          <t>COVID-SNL-22-93769</t>
        </is>
      </c>
      <c r="C3452" s="8" t="n"/>
      <c r="D3452" s="7" t="n">
        <v>34</v>
      </c>
      <c r="E3452" s="7" t="n">
        <v>3376</v>
      </c>
      <c r="F3452" s="7" t="inlineStr">
        <is>
          <t>Yes</t>
        </is>
      </c>
      <c r="G3452" s="8" t="n"/>
    </row>
    <row r="3453">
      <c r="A3453" s="8" t="inlineStr">
        <is>
          <t>PGCV_0034_3377</t>
        </is>
      </c>
      <c r="B3453" s="8" t="inlineStr">
        <is>
          <t>COVID-SNL-22-93810</t>
        </is>
      </c>
      <c r="C3453" s="8" t="n"/>
      <c r="D3453" s="7" t="n">
        <v>34</v>
      </c>
      <c r="E3453" s="7" t="n">
        <v>3377</v>
      </c>
      <c r="F3453" s="7" t="inlineStr">
        <is>
          <t>No</t>
        </is>
      </c>
      <c r="G3453" s="8" t="n"/>
    </row>
    <row r="3454">
      <c r="A3454" s="8" t="inlineStr">
        <is>
          <t>PGCV_0034_3378</t>
        </is>
      </c>
      <c r="B3454" s="8" t="inlineStr">
        <is>
          <t>COVID-SNL-22-93972</t>
        </is>
      </c>
      <c r="C3454" s="8" t="n"/>
      <c r="D3454" s="7" t="n">
        <v>34</v>
      </c>
      <c r="E3454" s="7" t="n">
        <v>3378</v>
      </c>
      <c r="F3454" s="7" t="inlineStr">
        <is>
          <t>No</t>
        </is>
      </c>
      <c r="G3454" s="8" t="n"/>
    </row>
    <row r="3455">
      <c r="A3455" s="8" t="inlineStr">
        <is>
          <t>PGCV_0034_3379</t>
        </is>
      </c>
      <c r="B3455" s="8" t="inlineStr">
        <is>
          <t>COVID-SNL-22-93876</t>
        </is>
      </c>
      <c r="C3455" s="8" t="n"/>
      <c r="D3455" s="7" t="n">
        <v>34</v>
      </c>
      <c r="E3455" s="7" t="n">
        <v>3379</v>
      </c>
      <c r="F3455" s="7" t="inlineStr">
        <is>
          <t>Yes</t>
        </is>
      </c>
      <c r="G3455" s="8" t="n"/>
    </row>
    <row r="3456">
      <c r="A3456" s="8" t="inlineStr">
        <is>
          <t>PGCV_0034_3380</t>
        </is>
      </c>
      <c r="B3456" s="8" t="inlineStr">
        <is>
          <t>COVID-SNL-22-93901</t>
        </is>
      </c>
      <c r="C3456" s="8" t="n"/>
      <c r="D3456" s="7" t="n">
        <v>34</v>
      </c>
      <c r="E3456" s="7" t="n">
        <v>3380</v>
      </c>
      <c r="F3456" s="7" t="inlineStr">
        <is>
          <t>Yes</t>
        </is>
      </c>
      <c r="G3456" s="8" t="n"/>
    </row>
    <row r="3457">
      <c r="A3457" s="8" t="inlineStr">
        <is>
          <t>PGCV_0034_3381</t>
        </is>
      </c>
      <c r="B3457" s="8" t="inlineStr">
        <is>
          <t>COVID-SNL-22-93902</t>
        </is>
      </c>
      <c r="C3457" s="8" t="n"/>
      <c r="D3457" s="7" t="n">
        <v>34</v>
      </c>
      <c r="E3457" s="7" t="n">
        <v>3381</v>
      </c>
      <c r="F3457" s="7" t="inlineStr">
        <is>
          <t>Yes</t>
        </is>
      </c>
      <c r="G3457" s="8" t="n"/>
    </row>
    <row r="3458">
      <c r="A3458" s="8" t="inlineStr">
        <is>
          <t>PGCV_0034_3382</t>
        </is>
      </c>
      <c r="B3458" s="8" t="inlineStr">
        <is>
          <t>COVID-SNL-22-93906</t>
        </is>
      </c>
      <c r="C3458" s="8" t="n"/>
      <c r="D3458" s="7" t="n">
        <v>34</v>
      </c>
      <c r="E3458" s="7" t="n">
        <v>3382</v>
      </c>
      <c r="F3458" s="7" t="inlineStr">
        <is>
          <t>No</t>
        </is>
      </c>
      <c r="G3458" s="8" t="n"/>
    </row>
    <row r="3459">
      <c r="A3459" s="8" t="inlineStr">
        <is>
          <t>PGCV_0034_3383</t>
        </is>
      </c>
      <c r="B3459" s="8" t="inlineStr">
        <is>
          <t>COVID-SNL-22-94044</t>
        </is>
      </c>
      <c r="C3459" s="8" t="n"/>
      <c r="D3459" s="7" t="n">
        <v>34</v>
      </c>
      <c r="E3459" s="7" t="n">
        <v>3383</v>
      </c>
      <c r="F3459" s="7" t="inlineStr">
        <is>
          <t>Yes</t>
        </is>
      </c>
      <c r="G3459" s="8" t="n"/>
    </row>
    <row r="3460">
      <c r="A3460" s="8" t="inlineStr">
        <is>
          <t>PGCV_0034_3384</t>
        </is>
      </c>
      <c r="B3460" s="8" t="inlineStr">
        <is>
          <t>COVID-SNL-22-94068</t>
        </is>
      </c>
      <c r="C3460" s="8" t="n"/>
      <c r="D3460" s="7" t="n">
        <v>34</v>
      </c>
      <c r="E3460" s="7" t="n">
        <v>3384</v>
      </c>
      <c r="F3460" s="7" t="inlineStr">
        <is>
          <t>Yes</t>
        </is>
      </c>
      <c r="G3460" s="8" t="n"/>
    </row>
    <row r="3461">
      <c r="A3461" s="8" t="inlineStr">
        <is>
          <t>PGCV_0034_3385</t>
        </is>
      </c>
      <c r="B3461" s="8" t="inlineStr">
        <is>
          <t>COVID-SNL-22-94071</t>
        </is>
      </c>
      <c r="C3461" s="8" t="n"/>
      <c r="D3461" s="7" t="n">
        <v>34</v>
      </c>
      <c r="E3461" s="7" t="n">
        <v>3385</v>
      </c>
      <c r="F3461" s="7" t="inlineStr">
        <is>
          <t>Yes</t>
        </is>
      </c>
      <c r="G3461" s="8" t="n"/>
    </row>
    <row r="3462">
      <c r="A3462" s="8" t="inlineStr">
        <is>
          <t>PGCV_0034_3386</t>
        </is>
      </c>
      <c r="B3462" s="8" t="inlineStr">
        <is>
          <t>COVID-SNL-22-94076</t>
        </is>
      </c>
      <c r="C3462" s="8" t="n"/>
      <c r="D3462" s="7" t="n">
        <v>34</v>
      </c>
      <c r="E3462" s="7" t="n">
        <v>3386</v>
      </c>
      <c r="F3462" s="7" t="inlineStr">
        <is>
          <t>Yes</t>
        </is>
      </c>
      <c r="G3462" s="8" t="n"/>
    </row>
    <row r="3463">
      <c r="A3463" s="8" t="inlineStr">
        <is>
          <t>PGCV_0034_3387</t>
        </is>
      </c>
      <c r="B3463" s="8" t="inlineStr">
        <is>
          <t>COVID-SNL-22-94262</t>
        </is>
      </c>
      <c r="C3463" s="8" t="n"/>
      <c r="D3463" s="7" t="n">
        <v>34</v>
      </c>
      <c r="E3463" s="7" t="n">
        <v>3387</v>
      </c>
      <c r="F3463" s="7" t="inlineStr">
        <is>
          <t>Yes</t>
        </is>
      </c>
      <c r="G3463" s="8" t="n"/>
    </row>
    <row r="3464">
      <c r="A3464" s="8" t="inlineStr">
        <is>
          <t>PGCV_0034_3388</t>
        </is>
      </c>
      <c r="B3464" s="8" t="inlineStr">
        <is>
          <t>COVID-SNL-22-94264</t>
        </is>
      </c>
      <c r="C3464" s="8" t="n"/>
      <c r="D3464" s="7" t="n">
        <v>34</v>
      </c>
      <c r="E3464" s="7" t="n">
        <v>3388</v>
      </c>
      <c r="F3464" s="7" t="inlineStr">
        <is>
          <t>Yes</t>
        </is>
      </c>
      <c r="G3464" s="8" t="n"/>
    </row>
    <row r="3465">
      <c r="A3465" s="8" t="inlineStr">
        <is>
          <t>PGCV_0034_3389</t>
        </is>
      </c>
      <c r="B3465" s="8" t="inlineStr">
        <is>
          <t>COVID-SNL-22-94271</t>
        </is>
      </c>
      <c r="C3465" s="8" t="n"/>
      <c r="D3465" s="7" t="n">
        <v>34</v>
      </c>
      <c r="E3465" s="7" t="n">
        <v>3389</v>
      </c>
      <c r="F3465" s="7" t="inlineStr">
        <is>
          <t>Yes</t>
        </is>
      </c>
      <c r="G3465" s="8" t="n"/>
    </row>
    <row r="3466">
      <c r="A3466" s="8" t="inlineStr">
        <is>
          <t>PGCV_0034_3390</t>
        </is>
      </c>
      <c r="B3466" s="8" t="inlineStr">
        <is>
          <t>COVID-SNL-22-94285</t>
        </is>
      </c>
      <c r="C3466" s="8" t="n"/>
      <c r="D3466" s="7" t="n">
        <v>34</v>
      </c>
      <c r="E3466" s="7" t="n">
        <v>3390</v>
      </c>
      <c r="F3466" s="7" t="inlineStr">
        <is>
          <t>Yes</t>
        </is>
      </c>
      <c r="G3466" s="8" t="n"/>
    </row>
    <row r="3467">
      <c r="A3467" s="8" t="inlineStr">
        <is>
          <t>PGCV_0034_3391</t>
        </is>
      </c>
      <c r="B3467" s="8" t="inlineStr">
        <is>
          <t>COVID-SNL-22-94310</t>
        </is>
      </c>
      <c r="C3467" s="8" t="n"/>
      <c r="D3467" s="7" t="n">
        <v>34</v>
      </c>
      <c r="E3467" s="7" t="n">
        <v>3391</v>
      </c>
      <c r="F3467" s="7" t="inlineStr">
        <is>
          <t>No</t>
        </is>
      </c>
      <c r="G3467" s="8" t="n"/>
    </row>
    <row r="3468">
      <c r="A3468" s="8" t="inlineStr">
        <is>
          <t>PGCV_0034_3392</t>
        </is>
      </c>
      <c r="B3468" s="8" t="inlineStr">
        <is>
          <t>COVID-SNL-22-94311</t>
        </is>
      </c>
      <c r="C3468" s="8" t="n"/>
      <c r="D3468" s="7" t="n">
        <v>34</v>
      </c>
      <c r="E3468" s="7" t="n">
        <v>3392</v>
      </c>
      <c r="F3468" s="7" t="inlineStr">
        <is>
          <t>No</t>
        </is>
      </c>
      <c r="G3468" s="8" t="n"/>
    </row>
    <row r="3469">
      <c r="A3469" s="8" t="inlineStr">
        <is>
          <t>PGCV_0034_3393</t>
        </is>
      </c>
      <c r="B3469" s="8" t="inlineStr">
        <is>
          <t>COVID-SNL-22-94411</t>
        </is>
      </c>
      <c r="C3469" s="8" t="n"/>
      <c r="D3469" s="7" t="n">
        <v>34</v>
      </c>
      <c r="E3469" s="7" t="n">
        <v>3393</v>
      </c>
      <c r="F3469" s="7" t="inlineStr">
        <is>
          <t>Yes</t>
        </is>
      </c>
      <c r="G3469" s="8" t="n"/>
    </row>
    <row r="3470">
      <c r="A3470" s="8" t="inlineStr">
        <is>
          <t>PGCV_0034_3394</t>
        </is>
      </c>
      <c r="B3470" s="8" t="inlineStr">
        <is>
          <t>COVID-SNL-22-94488</t>
        </is>
      </c>
      <c r="C3470" s="8" t="n"/>
      <c r="D3470" s="7" t="n">
        <v>34</v>
      </c>
      <c r="E3470" s="7" t="n">
        <v>3394</v>
      </c>
      <c r="F3470" s="7" t="inlineStr">
        <is>
          <t>Yes</t>
        </is>
      </c>
      <c r="G3470" s="8" t="n"/>
    </row>
    <row r="3471">
      <c r="A3471" s="8" t="inlineStr">
        <is>
          <t>PGCV_0034_3395</t>
        </is>
      </c>
      <c r="B3471" s="8" t="inlineStr">
        <is>
          <t>COVID-SNL-22-94489</t>
        </is>
      </c>
      <c r="C3471" s="8" t="n"/>
      <c r="D3471" s="7" t="n">
        <v>34</v>
      </c>
      <c r="E3471" s="7" t="n">
        <v>3395</v>
      </c>
      <c r="F3471" s="7" t="inlineStr">
        <is>
          <t>Yes</t>
        </is>
      </c>
      <c r="G3471" s="8" t="n"/>
    </row>
    <row r="3472">
      <c r="A3472" s="8" t="inlineStr">
        <is>
          <t>PGCV_0034_3396</t>
        </is>
      </c>
      <c r="B3472" s="8" t="inlineStr">
        <is>
          <t>COVID-SNL-22-94535</t>
        </is>
      </c>
      <c r="C3472" s="8" t="n"/>
      <c r="D3472" s="7" t="n">
        <v>34</v>
      </c>
      <c r="E3472" s="7" t="n">
        <v>3396</v>
      </c>
      <c r="F3472" s="7" t="inlineStr">
        <is>
          <t>Yes</t>
        </is>
      </c>
      <c r="G3472" s="8" t="n"/>
    </row>
    <row r="3473">
      <c r="A3473" s="8" t="inlineStr">
        <is>
          <t>PGCV_0034_3397</t>
        </is>
      </c>
      <c r="B3473" s="8" t="inlineStr">
        <is>
          <t>COVID-SNL-22-94546</t>
        </is>
      </c>
      <c r="C3473" s="8" t="n"/>
      <c r="D3473" s="7" t="n">
        <v>34</v>
      </c>
      <c r="E3473" s="7" t="n">
        <v>3397</v>
      </c>
      <c r="F3473" s="7" t="inlineStr">
        <is>
          <t>Yes</t>
        </is>
      </c>
      <c r="G3473" s="8" t="n"/>
    </row>
    <row r="3474">
      <c r="A3474" s="8" t="inlineStr">
        <is>
          <t>PGCV_0034_3398</t>
        </is>
      </c>
      <c r="B3474" s="8" t="inlineStr">
        <is>
          <t>COVID-SNL-22-94560</t>
        </is>
      </c>
      <c r="C3474" s="8" t="n"/>
      <c r="D3474" s="7" t="n">
        <v>34</v>
      </c>
      <c r="E3474" s="7" t="n">
        <v>3398</v>
      </c>
      <c r="F3474" s="7" t="inlineStr">
        <is>
          <t>Yes</t>
        </is>
      </c>
      <c r="G3474" s="8" t="n"/>
    </row>
    <row r="3475">
      <c r="A3475" s="8" t="inlineStr">
        <is>
          <t>PGCV_0034_3399</t>
        </is>
      </c>
      <c r="B3475" s="8" t="inlineStr">
        <is>
          <t>COVID-SNL-22-94643</t>
        </is>
      </c>
      <c r="C3475" s="8" t="n"/>
      <c r="D3475" s="7" t="n">
        <v>34</v>
      </c>
      <c r="E3475" s="7" t="n">
        <v>3399</v>
      </c>
      <c r="F3475" s="7" t="inlineStr">
        <is>
          <t>Yes</t>
        </is>
      </c>
      <c r="G3475" s="8" t="n"/>
    </row>
    <row r="3476">
      <c r="A3476" s="8" t="inlineStr">
        <is>
          <t>PGCV_0034_3400</t>
        </is>
      </c>
      <c r="B3476" s="8" t="inlineStr">
        <is>
          <t>COVID-SNL-22-94736</t>
        </is>
      </c>
      <c r="C3476" s="8" t="n"/>
      <c r="D3476" s="7" t="n">
        <v>34</v>
      </c>
      <c r="E3476" s="7" t="n">
        <v>3400</v>
      </c>
      <c r="F3476" s="7" t="inlineStr">
        <is>
          <t>Yes</t>
        </is>
      </c>
      <c r="G3476" s="8" t="n"/>
    </row>
    <row r="3477">
      <c r="A3477" s="8" t="inlineStr">
        <is>
          <t>PGCV_0034_3401</t>
        </is>
      </c>
      <c r="B3477" s="8" t="inlineStr">
        <is>
          <t>COVID-SNL-22-94769</t>
        </is>
      </c>
      <c r="C3477" s="8" t="n"/>
      <c r="D3477" s="7" t="n">
        <v>34</v>
      </c>
      <c r="E3477" s="7" t="n">
        <v>3401</v>
      </c>
      <c r="F3477" s="7" t="inlineStr">
        <is>
          <t>Yes</t>
        </is>
      </c>
      <c r="G3477" s="8" t="n"/>
    </row>
    <row r="3478">
      <c r="A3478" s="8" t="inlineStr">
        <is>
          <t>PGCV_0034_3402</t>
        </is>
      </c>
      <c r="B3478" s="8" t="inlineStr">
        <is>
          <t>COVID-SNL-22-94908</t>
        </is>
      </c>
      <c r="C3478" s="8" t="n"/>
      <c r="D3478" s="7" t="n">
        <v>34</v>
      </c>
      <c r="E3478" s="7" t="n">
        <v>3402</v>
      </c>
      <c r="F3478" s="7" t="inlineStr">
        <is>
          <t>Yes</t>
        </is>
      </c>
      <c r="G3478" s="8" t="n"/>
    </row>
    <row r="3479">
      <c r="A3479" s="8" t="inlineStr">
        <is>
          <t>PGCV_0034_3403</t>
        </is>
      </c>
      <c r="B3479" s="8" t="inlineStr">
        <is>
          <t>COVID-SNL-22-94959</t>
        </is>
      </c>
      <c r="C3479" s="8" t="n"/>
      <c r="D3479" s="7" t="n">
        <v>34</v>
      </c>
      <c r="E3479" s="7" t="n">
        <v>3403</v>
      </c>
      <c r="F3479" s="7" t="inlineStr">
        <is>
          <t>Yes</t>
        </is>
      </c>
      <c r="G3479" s="8" t="n"/>
    </row>
    <row r="3480">
      <c r="A3480" s="8" t="inlineStr">
        <is>
          <t>PGCV_0034_3404</t>
        </is>
      </c>
      <c r="B3480" s="8" t="inlineStr">
        <is>
          <t>COVID-SNL-22-94988</t>
        </is>
      </c>
      <c r="C3480" s="8" t="n"/>
      <c r="D3480" s="7" t="n">
        <v>34</v>
      </c>
      <c r="E3480" s="7" t="n">
        <v>3404</v>
      </c>
      <c r="F3480" s="7" t="inlineStr">
        <is>
          <t>Yes</t>
        </is>
      </c>
      <c r="G3480" s="8" t="n"/>
    </row>
    <row r="3481">
      <c r="A3481" s="8" t="inlineStr">
        <is>
          <t>PGCV_0034_3405</t>
        </is>
      </c>
      <c r="B3481" s="8" t="inlineStr">
        <is>
          <t>COVID-SNL-22-95002</t>
        </is>
      </c>
      <c r="C3481" s="8" t="n"/>
      <c r="D3481" s="7" t="n">
        <v>34</v>
      </c>
      <c r="E3481" s="7" t="n">
        <v>3405</v>
      </c>
      <c r="F3481" s="7" t="inlineStr">
        <is>
          <t>Yes</t>
        </is>
      </c>
      <c r="G3481" s="8" t="n"/>
    </row>
    <row r="3482">
      <c r="A3482" s="8" t="inlineStr">
        <is>
          <t>PGCV_0034_3406</t>
        </is>
      </c>
      <c r="B3482" s="8" t="inlineStr">
        <is>
          <t>22-43496</t>
        </is>
      </c>
      <c r="C3482" s="8" t="n"/>
      <c r="D3482" s="7" t="n">
        <v>34</v>
      </c>
      <c r="E3482" s="7" t="n">
        <v>3406</v>
      </c>
      <c r="F3482" s="7" t="inlineStr">
        <is>
          <t>Yes</t>
        </is>
      </c>
      <c r="G3482" s="8" t="n"/>
    </row>
    <row r="3483">
      <c r="A3483" s="8" t="inlineStr">
        <is>
          <t>PGCV_0034_3407</t>
        </is>
      </c>
      <c r="B3483" s="8" t="inlineStr">
        <is>
          <t>22-43698</t>
        </is>
      </c>
      <c r="C3483" s="8" t="n"/>
      <c r="D3483" s="7" t="n">
        <v>34</v>
      </c>
      <c r="E3483" s="7" t="n">
        <v>3407</v>
      </c>
      <c r="F3483" s="7" t="inlineStr">
        <is>
          <t>Yes</t>
        </is>
      </c>
      <c r="G3483" s="8" t="n"/>
    </row>
    <row r="3484">
      <c r="A3484" s="8" t="inlineStr">
        <is>
          <t>PGCV_0034_3408</t>
        </is>
      </c>
      <c r="B3484" s="8" t="inlineStr">
        <is>
          <t>22-43839</t>
        </is>
      </c>
      <c r="C3484" s="8" t="n"/>
      <c r="D3484" s="7" t="n">
        <v>34</v>
      </c>
      <c r="E3484" s="7" t="n">
        <v>3408</v>
      </c>
      <c r="F3484" s="7" t="inlineStr">
        <is>
          <t>Yes</t>
        </is>
      </c>
      <c r="G3484" s="8" t="n"/>
    </row>
    <row r="3485">
      <c r="A3485" s="8" t="inlineStr">
        <is>
          <t>PGCV_0034_3409</t>
        </is>
      </c>
      <c r="B3485" s="8" t="inlineStr">
        <is>
          <t>22-43840</t>
        </is>
      </c>
      <c r="C3485" s="8" t="n"/>
      <c r="D3485" s="7" t="n">
        <v>34</v>
      </c>
      <c r="E3485" s="7" t="n">
        <v>3409</v>
      </c>
      <c r="F3485" s="7" t="inlineStr">
        <is>
          <t>Yes</t>
        </is>
      </c>
      <c r="G3485" s="8" t="n"/>
    </row>
    <row r="3486">
      <c r="A3486" s="8" t="inlineStr">
        <is>
          <t>PGCV_0034_3410</t>
        </is>
      </c>
      <c r="B3486" s="8" t="inlineStr">
        <is>
          <t>22-43841</t>
        </is>
      </c>
      <c r="C3486" s="8" t="n"/>
      <c r="D3486" s="7" t="n">
        <v>34</v>
      </c>
      <c r="E3486" s="7" t="n">
        <v>3410</v>
      </c>
      <c r="F3486" s="7" t="inlineStr">
        <is>
          <t>Yes</t>
        </is>
      </c>
      <c r="G3486" s="8" t="n"/>
    </row>
    <row r="3487">
      <c r="A3487" s="8" t="inlineStr">
        <is>
          <t>PGCV_0034_3411</t>
        </is>
      </c>
      <c r="B3487" s="8" t="inlineStr">
        <is>
          <t>22-43842</t>
        </is>
      </c>
      <c r="C3487" s="8" t="n"/>
      <c r="D3487" s="7" t="n">
        <v>34</v>
      </c>
      <c r="E3487" s="7" t="n">
        <v>3411</v>
      </c>
      <c r="F3487" s="7" t="inlineStr">
        <is>
          <t>Yes</t>
        </is>
      </c>
      <c r="G3487" s="8" t="n"/>
    </row>
    <row r="3488">
      <c r="A3488" s="8" t="inlineStr">
        <is>
          <t>PGCV_0034_3412</t>
        </is>
      </c>
      <c r="B3488" s="8" t="inlineStr">
        <is>
          <t>22-43888</t>
        </is>
      </c>
      <c r="C3488" s="8" t="n"/>
      <c r="D3488" s="7" t="n">
        <v>34</v>
      </c>
      <c r="E3488" s="7" t="n">
        <v>3412</v>
      </c>
      <c r="F3488" s="7" t="inlineStr">
        <is>
          <t>Yes</t>
        </is>
      </c>
      <c r="G3488" s="8" t="n"/>
    </row>
    <row r="3489">
      <c r="A3489" s="8" t="inlineStr">
        <is>
          <t>PGCV_0034_3413</t>
        </is>
      </c>
      <c r="B3489" s="8" t="inlineStr">
        <is>
          <t>22-43936</t>
        </is>
      </c>
      <c r="C3489" s="8" t="n"/>
      <c r="D3489" s="7" t="n">
        <v>34</v>
      </c>
      <c r="E3489" s="7" t="n">
        <v>3413</v>
      </c>
      <c r="F3489" s="7" t="inlineStr">
        <is>
          <t>Yes</t>
        </is>
      </c>
      <c r="G3489" s="8" t="n"/>
    </row>
    <row r="3490">
      <c r="A3490" s="8" t="inlineStr">
        <is>
          <t>PGCV_0034_3414</t>
        </is>
      </c>
      <c r="B3490" s="8" t="inlineStr">
        <is>
          <t>22-44004</t>
        </is>
      </c>
      <c r="C3490" s="8" t="n"/>
      <c r="D3490" s="7" t="n">
        <v>34</v>
      </c>
      <c r="E3490" s="7" t="n">
        <v>3414</v>
      </c>
      <c r="F3490" s="7" t="inlineStr">
        <is>
          <t>Yes</t>
        </is>
      </c>
      <c r="G3490" s="8" t="n"/>
    </row>
    <row r="3491">
      <c r="A3491" s="8" t="inlineStr">
        <is>
          <t>PGCV_0034_3415</t>
        </is>
      </c>
      <c r="B3491" s="8" t="inlineStr">
        <is>
          <t>22-44028</t>
        </is>
      </c>
      <c r="C3491" s="8" t="n"/>
      <c r="D3491" s="7" t="n">
        <v>34</v>
      </c>
      <c r="E3491" s="7" t="n">
        <v>3415</v>
      </c>
      <c r="F3491" s="7" t="inlineStr">
        <is>
          <t>Yes</t>
        </is>
      </c>
      <c r="G3491" s="8" t="n"/>
    </row>
    <row r="3492">
      <c r="A3492" s="8" t="inlineStr">
        <is>
          <t>PGCV_0034_3416</t>
        </is>
      </c>
      <c r="B3492" s="8" t="inlineStr">
        <is>
          <t>C39616</t>
        </is>
      </c>
      <c r="C3492" s="8" t="n"/>
      <c r="D3492" s="7" t="n">
        <v>34</v>
      </c>
      <c r="E3492" s="7" t="n">
        <v>3416</v>
      </c>
      <c r="F3492" s="7" t="inlineStr">
        <is>
          <t>Yes</t>
        </is>
      </c>
      <c r="G3492" s="8" t="n"/>
    </row>
    <row r="3493">
      <c r="A3493" s="8" t="inlineStr">
        <is>
          <t>PGCV_0034_3417</t>
        </is>
      </c>
      <c r="B3493" s="8" t="inlineStr">
        <is>
          <t>C39728</t>
        </is>
      </c>
      <c r="C3493" s="8" t="n"/>
      <c r="D3493" s="7" t="n">
        <v>34</v>
      </c>
      <c r="E3493" s="7" t="n">
        <v>3417</v>
      </c>
      <c r="F3493" s="7" t="inlineStr">
        <is>
          <t>No</t>
        </is>
      </c>
      <c r="G3493" s="8" t="n"/>
    </row>
    <row r="3494">
      <c r="A3494" s="8" t="inlineStr">
        <is>
          <t>PGCV_0034_3418</t>
        </is>
      </c>
      <c r="B3494" s="8" t="inlineStr">
        <is>
          <t>C39729</t>
        </is>
      </c>
      <c r="C3494" s="8" t="n"/>
      <c r="D3494" s="7" t="n">
        <v>34</v>
      </c>
      <c r="E3494" s="7" t="n">
        <v>3418</v>
      </c>
      <c r="F3494" s="7" t="inlineStr">
        <is>
          <t>Yes</t>
        </is>
      </c>
      <c r="G3494" s="8" t="n"/>
    </row>
    <row r="3495">
      <c r="A3495" s="8" t="inlineStr">
        <is>
          <t>PGCV_0034_3419</t>
        </is>
      </c>
      <c r="B3495" s="8" t="inlineStr">
        <is>
          <t>C39985</t>
        </is>
      </c>
      <c r="C3495" s="8" t="n"/>
      <c r="D3495" s="7" t="n">
        <v>34</v>
      </c>
      <c r="E3495" s="7" t="n">
        <v>3419</v>
      </c>
      <c r="F3495" s="7" t="inlineStr">
        <is>
          <t>Yes</t>
        </is>
      </c>
      <c r="G3495" s="8" t="n"/>
    </row>
    <row r="3496">
      <c r="A3496" s="8" t="inlineStr">
        <is>
          <t>PGCV_0034_3420</t>
        </is>
      </c>
      <c r="B3496" s="8" t="inlineStr">
        <is>
          <t>C39988</t>
        </is>
      </c>
      <c r="C3496" s="8" t="n"/>
      <c r="D3496" s="7" t="n">
        <v>34</v>
      </c>
      <c r="E3496" s="7" t="n">
        <v>3420</v>
      </c>
      <c r="F3496" s="7" t="inlineStr">
        <is>
          <t>Yes</t>
        </is>
      </c>
      <c r="G3496" s="8" t="n"/>
    </row>
    <row r="3497">
      <c r="A3497" s="8" t="inlineStr">
        <is>
          <t>PGCV_0034_3421</t>
        </is>
      </c>
      <c r="B3497" s="8" t="inlineStr">
        <is>
          <t>C40162</t>
        </is>
      </c>
      <c r="C3497" s="8" t="n"/>
      <c r="D3497" s="7" t="n">
        <v>34</v>
      </c>
      <c r="E3497" s="7" t="n">
        <v>3421</v>
      </c>
      <c r="F3497" s="7" t="inlineStr">
        <is>
          <t>Yes</t>
        </is>
      </c>
      <c r="G3497" s="8" t="n"/>
    </row>
    <row r="3498">
      <c r="A3498" s="8" t="inlineStr">
        <is>
          <t>PGCV_0034_3422</t>
        </is>
      </c>
      <c r="B3498" s="8" t="inlineStr">
        <is>
          <t>C40248</t>
        </is>
      </c>
      <c r="C3498" s="8" t="n"/>
      <c r="D3498" s="7" t="n">
        <v>34</v>
      </c>
      <c r="E3498" s="7" t="n">
        <v>3422</v>
      </c>
      <c r="F3498" s="7" t="inlineStr">
        <is>
          <t>Yes</t>
        </is>
      </c>
      <c r="G3498" s="8" t="n"/>
    </row>
    <row r="3499">
      <c r="A3499" s="8" t="inlineStr">
        <is>
          <t>PGCV_0034_3423</t>
        </is>
      </c>
      <c r="B3499" s="8" t="inlineStr">
        <is>
          <t>C40251</t>
        </is>
      </c>
      <c r="C3499" s="8" t="n"/>
      <c r="D3499" s="7" t="n">
        <v>34</v>
      </c>
      <c r="E3499" s="7" t="n">
        <v>3423</v>
      </c>
      <c r="F3499" s="7" t="inlineStr">
        <is>
          <t>Yes</t>
        </is>
      </c>
      <c r="G3499" s="8" t="n"/>
    </row>
    <row r="3500">
      <c r="A3500" s="8" t="inlineStr">
        <is>
          <t>PGCV_0034_3424</t>
        </is>
      </c>
      <c r="B3500" s="8" t="inlineStr">
        <is>
          <t>C40252</t>
        </is>
      </c>
      <c r="C3500" s="8" t="n"/>
      <c r="D3500" s="7" t="n">
        <v>34</v>
      </c>
      <c r="E3500" s="7" t="n">
        <v>3424</v>
      </c>
      <c r="F3500" s="7" t="inlineStr">
        <is>
          <t>Yes</t>
        </is>
      </c>
      <c r="G3500" s="8" t="n"/>
    </row>
    <row r="3501">
      <c r="A3501" s="8" t="inlineStr">
        <is>
          <t>PGCV_0034_3425</t>
        </is>
      </c>
      <c r="B3501" s="8" t="inlineStr">
        <is>
          <t>C40340</t>
        </is>
      </c>
      <c r="C3501" s="8" t="n"/>
      <c r="D3501" s="7" t="n">
        <v>34</v>
      </c>
      <c r="E3501" s="7" t="n">
        <v>3425</v>
      </c>
      <c r="F3501" s="7" t="inlineStr">
        <is>
          <t>Yes</t>
        </is>
      </c>
      <c r="G3501" s="8" t="n"/>
    </row>
    <row r="3502">
      <c r="A3502" s="8" t="inlineStr">
        <is>
          <t>PGCV_0034_3426</t>
        </is>
      </c>
      <c r="B3502" s="8" t="inlineStr">
        <is>
          <t>779B120335</t>
        </is>
      </c>
      <c r="C3502" s="8" t="n"/>
      <c r="D3502" s="7" t="n">
        <v>34</v>
      </c>
      <c r="E3502" s="7" t="n">
        <v>3426</v>
      </c>
      <c r="F3502" s="7" t="inlineStr">
        <is>
          <t>Yes</t>
        </is>
      </c>
      <c r="G3502" s="8" t="n"/>
    </row>
    <row r="3503">
      <c r="A3503" s="8" t="inlineStr">
        <is>
          <t>PGCV_0034_3427</t>
        </is>
      </c>
      <c r="B3503" s="8" t="inlineStr">
        <is>
          <t>779B120367</t>
        </is>
      </c>
      <c r="C3503" s="8" t="n"/>
      <c r="D3503" s="7" t="n">
        <v>34</v>
      </c>
      <c r="E3503" s="7" t="n">
        <v>3427</v>
      </c>
      <c r="F3503" s="7" t="inlineStr">
        <is>
          <t>Yes</t>
        </is>
      </c>
      <c r="G3503" s="8" t="n"/>
    </row>
    <row r="3504">
      <c r="A3504" s="8" t="inlineStr">
        <is>
          <t>PGCV_0034_3428</t>
        </is>
      </c>
      <c r="B3504" s="8" t="inlineStr">
        <is>
          <t>779B120420</t>
        </is>
      </c>
      <c r="C3504" s="8" t="n"/>
      <c r="D3504" s="7" t="n">
        <v>34</v>
      </c>
      <c r="E3504" s="7" t="n">
        <v>3428</v>
      </c>
      <c r="F3504" s="7" t="inlineStr">
        <is>
          <t>Yes</t>
        </is>
      </c>
      <c r="G3504" s="8" t="n"/>
    </row>
    <row r="3505">
      <c r="A3505" s="8" t="inlineStr">
        <is>
          <t>PGCV_0034_3429</t>
        </is>
      </c>
      <c r="B3505" s="8" t="inlineStr">
        <is>
          <t>780B120547</t>
        </is>
      </c>
      <c r="C3505" s="8" t="n"/>
      <c r="D3505" s="7" t="n">
        <v>34</v>
      </c>
      <c r="E3505" s="7" t="n">
        <v>3429</v>
      </c>
      <c r="F3505" s="7" t="inlineStr">
        <is>
          <t>Yes</t>
        </is>
      </c>
      <c r="G3505" s="8" t="n"/>
    </row>
    <row r="3506">
      <c r="A3506" s="8" t="inlineStr">
        <is>
          <t>PGCV_0034_3430</t>
        </is>
      </c>
      <c r="B3506" s="8" t="inlineStr">
        <is>
          <t>780B120604</t>
        </is>
      </c>
      <c r="C3506" s="8" t="n"/>
      <c r="D3506" s="7" t="n">
        <v>34</v>
      </c>
      <c r="E3506" s="7" t="n">
        <v>3430</v>
      </c>
      <c r="F3506" s="7" t="inlineStr">
        <is>
          <t>Yes</t>
        </is>
      </c>
      <c r="G3506" s="8" t="n"/>
    </row>
    <row r="3507">
      <c r="A3507" s="8" t="inlineStr">
        <is>
          <t>PGCV_0034_3431</t>
        </is>
      </c>
      <c r="B3507" s="8" t="inlineStr">
        <is>
          <t>780B120474</t>
        </is>
      </c>
      <c r="C3507" s="8" t="n"/>
      <c r="D3507" s="7" t="n">
        <v>34</v>
      </c>
      <c r="E3507" s="7" t="n">
        <v>3431</v>
      </c>
      <c r="F3507" s="7" t="inlineStr">
        <is>
          <t>Yes</t>
        </is>
      </c>
      <c r="G3507" s="8" t="n"/>
    </row>
    <row r="3508">
      <c r="A3508" s="8" t="inlineStr">
        <is>
          <t>PGCV_0034_3432</t>
        </is>
      </c>
      <c r="B3508" s="8" t="inlineStr">
        <is>
          <t>780B120489</t>
        </is>
      </c>
      <c r="C3508" s="8" t="n"/>
      <c r="D3508" s="7" t="n">
        <v>34</v>
      </c>
      <c r="E3508" s="7" t="n">
        <v>3432</v>
      </c>
      <c r="F3508" s="7" t="inlineStr">
        <is>
          <t>Yes</t>
        </is>
      </c>
      <c r="G3508" s="8" t="n"/>
    </row>
    <row r="3509">
      <c r="A3509" s="8" t="inlineStr">
        <is>
          <t>PGCV_0034_3433</t>
        </is>
      </c>
      <c r="B3509" s="8" t="inlineStr">
        <is>
          <t>781B120747</t>
        </is>
      </c>
      <c r="C3509" s="8" t="n"/>
      <c r="D3509" s="7" t="n">
        <v>34</v>
      </c>
      <c r="E3509" s="7" t="n">
        <v>3433</v>
      </c>
      <c r="F3509" s="7" t="inlineStr">
        <is>
          <t>Yes</t>
        </is>
      </c>
      <c r="G3509" s="8" t="n"/>
    </row>
    <row r="3510">
      <c r="A3510" s="8" t="inlineStr">
        <is>
          <t>PGCV_0034_3434</t>
        </is>
      </c>
      <c r="B3510" s="8" t="inlineStr">
        <is>
          <t>782B120831</t>
        </is>
      </c>
      <c r="C3510" s="8" t="n"/>
      <c r="D3510" s="7" t="n">
        <v>34</v>
      </c>
      <c r="E3510" s="7" t="n">
        <v>3434</v>
      </c>
      <c r="F3510" s="7" t="inlineStr">
        <is>
          <t>Yes</t>
        </is>
      </c>
      <c r="G3510" s="8" t="n"/>
    </row>
    <row r="3511">
      <c r="A3511" s="8" t="inlineStr">
        <is>
          <t>PGCV_0034_3435</t>
        </is>
      </c>
      <c r="B3511" s="8" t="inlineStr">
        <is>
          <t>782B120768</t>
        </is>
      </c>
      <c r="C3511" s="8" t="n"/>
      <c r="D3511" s="7" t="n">
        <v>34</v>
      </c>
      <c r="E3511" s="7" t="n">
        <v>3435</v>
      </c>
      <c r="F3511" s="7" t="inlineStr">
        <is>
          <t>Yes</t>
        </is>
      </c>
      <c r="G3511" s="8" t="n"/>
    </row>
  </sheetData>
  <autoFilter ref="A1:G35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B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Strain_ID</t>
        </is>
      </c>
      <c r="B1" s="6" t="inlineStr">
        <is>
          <t>In_Sample_Registry</t>
        </is>
      </c>
    </row>
    <row r="2">
      <c r="A2" s="8" t="inlineStr">
        <is>
          <t>PGCV_001_0006</t>
        </is>
      </c>
      <c r="B2" s="8" t="inlineStr">
        <is>
          <t>Yes</t>
        </is>
      </c>
    </row>
    <row r="3">
      <c r="A3" s="8" t="inlineStr">
        <is>
          <t>PGCV_001_0042</t>
        </is>
      </c>
      <c r="B3" s="8" t="inlineStr">
        <is>
          <t>Yes</t>
        </is>
      </c>
    </row>
    <row r="4">
      <c r="A4" s="8" t="inlineStr">
        <is>
          <t>PGCV_001_0055</t>
        </is>
      </c>
      <c r="B4" s="8" t="inlineStr">
        <is>
          <t>Yes</t>
        </is>
      </c>
    </row>
    <row r="5">
      <c r="A5" s="8" t="inlineStr">
        <is>
          <t>PGCV_001_0086</t>
        </is>
      </c>
      <c r="B5" s="8" t="inlineStr">
        <is>
          <t>Yes</t>
        </is>
      </c>
    </row>
    <row r="6">
      <c r="A6" s="8" t="inlineStr">
        <is>
          <t>PGCV_004_0104</t>
        </is>
      </c>
      <c r="B6" s="8" t="inlineStr">
        <is>
          <t>Yes</t>
        </is>
      </c>
    </row>
    <row r="7">
      <c r="A7" s="8" t="inlineStr">
        <is>
          <t>PGCV_004_0127</t>
        </is>
      </c>
      <c r="B7" s="8" t="inlineStr">
        <is>
          <t>Yes</t>
        </is>
      </c>
    </row>
    <row r="8">
      <c r="A8" s="8" t="inlineStr">
        <is>
          <t>PGCV_005_0208</t>
        </is>
      </c>
      <c r="B8" s="8" t="inlineStr">
        <is>
          <t>Yes</t>
        </is>
      </c>
    </row>
    <row r="9">
      <c r="A9" s="8" t="inlineStr">
        <is>
          <t>PGCV_005_0256</t>
        </is>
      </c>
      <c r="B9" s="8" t="inlineStr">
        <is>
          <t>Yes</t>
        </is>
      </c>
    </row>
    <row r="10">
      <c r="A10" s="8" t="inlineStr">
        <is>
          <t>PGCV_005_0259</t>
        </is>
      </c>
      <c r="B10" s="8" t="inlineStr">
        <is>
          <t>Yes</t>
        </is>
      </c>
    </row>
    <row r="11">
      <c r="A11" s="8" t="inlineStr">
        <is>
          <t>PGCV_007_0276</t>
        </is>
      </c>
      <c r="B11" s="8" t="inlineStr">
        <is>
          <t>Yes</t>
        </is>
      </c>
    </row>
    <row r="12">
      <c r="A12" s="8" t="inlineStr">
        <is>
          <t>PGCV_007_0284</t>
        </is>
      </c>
      <c r="B12" s="8" t="inlineStr">
        <is>
          <t>Yes</t>
        </is>
      </c>
    </row>
    <row r="13">
      <c r="A13" s="8" t="inlineStr">
        <is>
          <t>PGCV_007_0293</t>
        </is>
      </c>
      <c r="B13" s="8" t="inlineStr">
        <is>
          <t>Yes</t>
        </is>
      </c>
    </row>
    <row r="14">
      <c r="A14" s="8" t="inlineStr">
        <is>
          <t>PGCV_007_0295</t>
        </is>
      </c>
      <c r="B14" s="8" t="inlineStr">
        <is>
          <t>Yes</t>
        </is>
      </c>
    </row>
    <row r="15">
      <c r="A15" s="8" t="inlineStr">
        <is>
          <t>PGCV_007_0296</t>
        </is>
      </c>
      <c r="B15" s="8" t="inlineStr">
        <is>
          <t>Yes</t>
        </is>
      </c>
    </row>
    <row r="16">
      <c r="A16" s="8" t="inlineStr">
        <is>
          <t>PGCV_007_0299</t>
        </is>
      </c>
      <c r="B16" s="8" t="inlineStr">
        <is>
          <t>Yes</t>
        </is>
      </c>
    </row>
    <row r="17">
      <c r="A17" s="8" t="inlineStr">
        <is>
          <t>PGCV_007_0300</t>
        </is>
      </c>
      <c r="B17" s="8" t="inlineStr">
        <is>
          <t>Yes</t>
        </is>
      </c>
    </row>
    <row r="18">
      <c r="A18" s="8" t="inlineStr">
        <is>
          <t>PGCV_007_0307</t>
        </is>
      </c>
      <c r="B18" s="8" t="inlineStr">
        <is>
          <t>Yes</t>
        </is>
      </c>
    </row>
    <row r="19">
      <c r="A19" s="8" t="inlineStr">
        <is>
          <t>PGCV_007_0312</t>
        </is>
      </c>
      <c r="B19" s="8" t="inlineStr">
        <is>
          <t>Yes</t>
        </is>
      </c>
    </row>
    <row r="20">
      <c r="A20" s="8" t="inlineStr">
        <is>
          <t>PGCV_007_0315</t>
        </is>
      </c>
      <c r="B20" s="8" t="inlineStr">
        <is>
          <t>Yes</t>
        </is>
      </c>
    </row>
    <row r="21">
      <c r="A21" s="8" t="inlineStr">
        <is>
          <t>PGCV_007_0318</t>
        </is>
      </c>
      <c r="B21" s="8" t="inlineStr">
        <is>
          <t>Yes</t>
        </is>
      </c>
    </row>
    <row r="22">
      <c r="A22" s="8" t="inlineStr">
        <is>
          <t>PGCV_007_0321</t>
        </is>
      </c>
      <c r="B22" s="8" t="inlineStr">
        <is>
          <t>Yes</t>
        </is>
      </c>
    </row>
    <row r="23">
      <c r="A23" s="8" t="inlineStr">
        <is>
          <t>PGCV_007_0330</t>
        </is>
      </c>
      <c r="B23" s="8" t="inlineStr">
        <is>
          <t>Yes</t>
        </is>
      </c>
    </row>
    <row r="24">
      <c r="A24" s="8" t="inlineStr">
        <is>
          <t>PGCV_007_0342</t>
        </is>
      </c>
      <c r="B24" s="8" t="inlineStr">
        <is>
          <t>Yes</t>
        </is>
      </c>
    </row>
    <row r="25">
      <c r="A25" s="8" t="inlineStr">
        <is>
          <t>PGCV_007_0348</t>
        </is>
      </c>
      <c r="B25" s="8" t="inlineStr">
        <is>
          <t>Yes</t>
        </is>
      </c>
    </row>
    <row r="26">
      <c r="A26" s="8" t="inlineStr">
        <is>
          <t>PGCV_008_0349</t>
        </is>
      </c>
      <c r="B26" s="8" t="inlineStr">
        <is>
          <t>Yes</t>
        </is>
      </c>
    </row>
    <row r="27">
      <c r="A27" s="8" t="inlineStr">
        <is>
          <t>PGCV_008_0365</t>
        </is>
      </c>
      <c r="B27" s="8" t="inlineStr">
        <is>
          <t>Yes</t>
        </is>
      </c>
    </row>
    <row r="28">
      <c r="A28" s="8" t="inlineStr">
        <is>
          <t>PGCV_008_0368</t>
        </is>
      </c>
      <c r="B28" s="8" t="inlineStr">
        <is>
          <t>Yes</t>
        </is>
      </c>
    </row>
    <row r="29">
      <c r="A29" s="8" t="inlineStr">
        <is>
          <t>PGCV_009_0381</t>
        </is>
      </c>
      <c r="B29" s="8" t="inlineStr">
        <is>
          <t>Yes</t>
        </is>
      </c>
    </row>
    <row r="30">
      <c r="A30" s="8" t="inlineStr">
        <is>
          <t>PGCV_009_0385</t>
        </is>
      </c>
      <c r="B30" s="8" t="inlineStr">
        <is>
          <t>Yes</t>
        </is>
      </c>
    </row>
    <row r="31">
      <c r="A31" s="8" t="inlineStr">
        <is>
          <t>PGCV_009_0386</t>
        </is>
      </c>
      <c r="B31" s="8" t="inlineStr">
        <is>
          <t>Yes</t>
        </is>
      </c>
    </row>
    <row r="32">
      <c r="A32" s="8" t="inlineStr">
        <is>
          <t>PGCV_009_0387</t>
        </is>
      </c>
      <c r="B32" s="8" t="inlineStr">
        <is>
          <t>Yes</t>
        </is>
      </c>
    </row>
    <row r="33">
      <c r="A33" s="8" t="inlineStr">
        <is>
          <t>PGCV_009_0389</t>
        </is>
      </c>
      <c r="B33" s="8" t="inlineStr">
        <is>
          <t>Yes</t>
        </is>
      </c>
    </row>
    <row r="34">
      <c r="A34" s="8" t="inlineStr">
        <is>
          <t>PGCV_0010_0394</t>
        </is>
      </c>
      <c r="B34" s="8" t="inlineStr">
        <is>
          <t>Yes</t>
        </is>
      </c>
    </row>
    <row r="35">
      <c r="A35" s="8" t="inlineStr">
        <is>
          <t>PGCV_0010_0395</t>
        </is>
      </c>
      <c r="B35" s="8" t="inlineStr">
        <is>
          <t>Yes</t>
        </is>
      </c>
    </row>
    <row r="36">
      <c r="A36" s="8" t="inlineStr">
        <is>
          <t>PGCV_0010_0396</t>
        </is>
      </c>
      <c r="B36" s="8" t="inlineStr">
        <is>
          <t>Yes</t>
        </is>
      </c>
    </row>
    <row r="37">
      <c r="A37" s="8" t="inlineStr">
        <is>
          <t>PGCV_0011_0410</t>
        </is>
      </c>
      <c r="B37" s="8" t="inlineStr">
        <is>
          <t>Yes</t>
        </is>
      </c>
    </row>
    <row r="38">
      <c r="A38" s="8" t="inlineStr">
        <is>
          <t>PGCV_0011_0411</t>
        </is>
      </c>
      <c r="B38" s="8" t="inlineStr">
        <is>
          <t>Yes</t>
        </is>
      </c>
    </row>
    <row r="39">
      <c r="A39" s="8" t="inlineStr">
        <is>
          <t>PGCV_0012_0422</t>
        </is>
      </c>
      <c r="B39" s="8" t="inlineStr">
        <is>
          <t>Yes</t>
        </is>
      </c>
    </row>
    <row r="40">
      <c r="A40" s="8" t="inlineStr">
        <is>
          <t>PGCV_0014_0435</t>
        </is>
      </c>
      <c r="B40" s="8" t="inlineStr">
        <is>
          <t>Yes</t>
        </is>
      </c>
    </row>
    <row r="41">
      <c r="A41" s="8" t="inlineStr">
        <is>
          <t>PGCV_0014_0436</t>
        </is>
      </c>
      <c r="B41" s="8" t="inlineStr">
        <is>
          <t>Yes</t>
        </is>
      </c>
    </row>
    <row r="42">
      <c r="A42" s="8" t="inlineStr">
        <is>
          <t>PGCV_0016_0445</t>
        </is>
      </c>
      <c r="B42" s="8" t="inlineStr">
        <is>
          <t>Yes</t>
        </is>
      </c>
    </row>
    <row r="43">
      <c r="A43" s="8" t="inlineStr">
        <is>
          <t>PGCV_0018_0452</t>
        </is>
      </c>
      <c r="B43" s="8" t="inlineStr">
        <is>
          <t>Yes</t>
        </is>
      </c>
    </row>
    <row r="44">
      <c r="A44" s="8" t="inlineStr">
        <is>
          <t>PGCV_0018_0453</t>
        </is>
      </c>
      <c r="B44" s="8" t="inlineStr">
        <is>
          <t>Yes</t>
        </is>
      </c>
    </row>
    <row r="45">
      <c r="A45" s="8" t="inlineStr">
        <is>
          <t>PGCV_0018_0454</t>
        </is>
      </c>
      <c r="B45" s="8" t="inlineStr">
        <is>
          <t>Yes</t>
        </is>
      </c>
    </row>
    <row r="46">
      <c r="A46" s="8" t="inlineStr">
        <is>
          <t>PGCV_0018_0455</t>
        </is>
      </c>
      <c r="B46" s="8" t="inlineStr">
        <is>
          <t>Yes</t>
        </is>
      </c>
    </row>
    <row r="47">
      <c r="A47" s="8" t="inlineStr">
        <is>
          <t>PGCV_0018_0456</t>
        </is>
      </c>
      <c r="B47" s="8" t="inlineStr">
        <is>
          <t>Yes</t>
        </is>
      </c>
    </row>
    <row r="48">
      <c r="A48" s="8" t="inlineStr">
        <is>
          <t>PGCV_0020_0513</t>
        </is>
      </c>
      <c r="B48" s="8" t="inlineStr">
        <is>
          <t>Yes</t>
        </is>
      </c>
    </row>
    <row r="49">
      <c r="A49" s="8" t="inlineStr">
        <is>
          <t>PGCV_0020_0520</t>
        </is>
      </c>
      <c r="B49" s="8" t="inlineStr">
        <is>
          <t>Yes</t>
        </is>
      </c>
    </row>
    <row r="50">
      <c r="A50" s="8" t="inlineStr">
        <is>
          <t>PGCV_0020_0521</t>
        </is>
      </c>
      <c r="B50" s="8" t="inlineStr">
        <is>
          <t>Yes</t>
        </is>
      </c>
    </row>
    <row r="51">
      <c r="A51" s="8" t="inlineStr">
        <is>
          <t>PGCV_0020_0522</t>
        </is>
      </c>
      <c r="B51" s="8" t="inlineStr">
        <is>
          <t>Yes</t>
        </is>
      </c>
    </row>
    <row r="52">
      <c r="A52" s="8" t="inlineStr">
        <is>
          <t>PGCV_0020_0536</t>
        </is>
      </c>
      <c r="B52" s="8" t="inlineStr">
        <is>
          <t>Yes</t>
        </is>
      </c>
    </row>
    <row r="53">
      <c r="A53" s="8" t="inlineStr">
        <is>
          <t>PGCV_0020_0538</t>
        </is>
      </c>
      <c r="B53" s="8" t="inlineStr">
        <is>
          <t>Yes</t>
        </is>
      </c>
    </row>
    <row r="54">
      <c r="A54" s="8" t="inlineStr">
        <is>
          <t>PGCV_0021_0564</t>
        </is>
      </c>
      <c r="B54" s="8" t="inlineStr">
        <is>
          <t>Yes</t>
        </is>
      </c>
    </row>
    <row r="55">
      <c r="A55" s="8" t="inlineStr">
        <is>
          <t>PGCV_0021_0566</t>
        </is>
      </c>
      <c r="B55" s="8" t="inlineStr">
        <is>
          <t>Yes</t>
        </is>
      </c>
    </row>
    <row r="56">
      <c r="A56" s="8" t="inlineStr">
        <is>
          <t>PGCV_0021_0573</t>
        </is>
      </c>
      <c r="B56" s="8" t="inlineStr">
        <is>
          <t>Yes</t>
        </is>
      </c>
    </row>
    <row r="57">
      <c r="A57" s="8" t="inlineStr">
        <is>
          <t>PGCV_0021_0575</t>
        </is>
      </c>
      <c r="B57" s="8" t="inlineStr">
        <is>
          <t>Yes</t>
        </is>
      </c>
    </row>
    <row r="58">
      <c r="A58" s="8" t="inlineStr">
        <is>
          <t>PGCV_0021_0576</t>
        </is>
      </c>
      <c r="B58" s="8" t="inlineStr">
        <is>
          <t>Yes</t>
        </is>
      </c>
    </row>
    <row r="59">
      <c r="A59" s="8" t="inlineStr">
        <is>
          <t>PGCV_0021_0577</t>
        </is>
      </c>
      <c r="B59" s="8" t="inlineStr">
        <is>
          <t>Yes</t>
        </is>
      </c>
    </row>
    <row r="60">
      <c r="A60" s="8" t="inlineStr">
        <is>
          <t>PGCV_0021_0581</t>
        </is>
      </c>
      <c r="B60" s="8" t="inlineStr">
        <is>
          <t>Yes</t>
        </is>
      </c>
    </row>
    <row r="61">
      <c r="A61" s="8" t="inlineStr">
        <is>
          <t>PGCV_0021_0582</t>
        </is>
      </c>
      <c r="B61" s="8" t="inlineStr">
        <is>
          <t>Yes</t>
        </is>
      </c>
    </row>
    <row r="62">
      <c r="A62" s="8" t="inlineStr">
        <is>
          <t>PGCV_0021_0583</t>
        </is>
      </c>
      <c r="B62" s="8" t="inlineStr">
        <is>
          <t>Yes</t>
        </is>
      </c>
    </row>
    <row r="63">
      <c r="A63" s="8" t="inlineStr">
        <is>
          <t>PGCV_0021_0587</t>
        </is>
      </c>
      <c r="B63" s="8" t="inlineStr">
        <is>
          <t>Yes</t>
        </is>
      </c>
    </row>
    <row r="64">
      <c r="A64" s="8" t="inlineStr">
        <is>
          <t>PGCV_0021_0597</t>
        </is>
      </c>
      <c r="B64" s="8" t="inlineStr">
        <is>
          <t>Yes</t>
        </is>
      </c>
    </row>
    <row r="65">
      <c r="A65" s="8" t="inlineStr">
        <is>
          <t>PGCV_0021_0600</t>
        </is>
      </c>
      <c r="B65" s="8" t="inlineStr">
        <is>
          <t>Yes</t>
        </is>
      </c>
    </row>
    <row r="66">
      <c r="A66" s="8" t="inlineStr">
        <is>
          <t>PGCV_0021_0604</t>
        </is>
      </c>
      <c r="B66" s="8" t="inlineStr">
        <is>
          <t>Yes</t>
        </is>
      </c>
    </row>
    <row r="67">
      <c r="A67" s="8" t="inlineStr">
        <is>
          <t>PGCV_0021_0606</t>
        </is>
      </c>
      <c r="B67" s="8" t="inlineStr">
        <is>
          <t>Yes</t>
        </is>
      </c>
    </row>
    <row r="68">
      <c r="A68" s="8" t="inlineStr">
        <is>
          <t>PGCV_0021_0618</t>
        </is>
      </c>
      <c r="B68" s="8" t="inlineStr">
        <is>
          <t>Yes</t>
        </is>
      </c>
    </row>
    <row r="69">
      <c r="A69" s="8" t="inlineStr">
        <is>
          <t>PGCV_0021_0623</t>
        </is>
      </c>
      <c r="B69" s="8" t="inlineStr">
        <is>
          <t>Yes</t>
        </is>
      </c>
    </row>
    <row r="70">
      <c r="A70" s="8" t="inlineStr">
        <is>
          <t>PGCV_0021_0638</t>
        </is>
      </c>
      <c r="B70" s="8" t="inlineStr">
        <is>
          <t>Yes</t>
        </is>
      </c>
    </row>
    <row r="71">
      <c r="A71" s="8" t="inlineStr">
        <is>
          <t>PGCV_0021_0639</t>
        </is>
      </c>
      <c r="B71" s="8" t="inlineStr">
        <is>
          <t>Yes</t>
        </is>
      </c>
    </row>
    <row r="72">
      <c r="A72" s="8" t="inlineStr">
        <is>
          <t>PGCV_0021_0641</t>
        </is>
      </c>
      <c r="B72" s="8" t="inlineStr">
        <is>
          <t>Yes</t>
        </is>
      </c>
    </row>
    <row r="73">
      <c r="A73" s="8" t="inlineStr">
        <is>
          <t>PGCV_0021_0651</t>
        </is>
      </c>
      <c r="B73" s="8" t="inlineStr">
        <is>
          <t>Yes</t>
        </is>
      </c>
    </row>
    <row r="74">
      <c r="A74" s="8" t="inlineStr">
        <is>
          <t>PGCV_0021_0653</t>
        </is>
      </c>
      <c r="B74" s="8" t="inlineStr">
        <is>
          <t>Yes</t>
        </is>
      </c>
    </row>
    <row r="75">
      <c r="A75" s="8" t="inlineStr">
        <is>
          <t>PGCV_0022_0693</t>
        </is>
      </c>
      <c r="B75" s="8" t="inlineStr">
        <is>
          <t>Yes</t>
        </is>
      </c>
    </row>
    <row r="76">
      <c r="A76" s="8" t="inlineStr">
        <is>
          <t>PGCV_0022_0694</t>
        </is>
      </c>
      <c r="B76" s="8" t="inlineStr">
        <is>
          <t>Yes</t>
        </is>
      </c>
    </row>
    <row r="77">
      <c r="A77" s="8" t="inlineStr">
        <is>
          <t>PGCV_0022_0695</t>
        </is>
      </c>
      <c r="B77" s="8" t="inlineStr">
        <is>
          <t>Yes</t>
        </is>
      </c>
    </row>
    <row r="78">
      <c r="A78" s="8" t="inlineStr">
        <is>
          <t>PGCV_0022_0696</t>
        </is>
      </c>
      <c r="B78" s="8" t="inlineStr">
        <is>
          <t>Yes</t>
        </is>
      </c>
    </row>
    <row r="79">
      <c r="A79" s="8" t="inlineStr">
        <is>
          <t>PGCV_0022_0697</t>
        </is>
      </c>
      <c r="B79" s="8" t="inlineStr">
        <is>
          <t>Yes</t>
        </is>
      </c>
    </row>
    <row r="80">
      <c r="A80" s="8" t="inlineStr">
        <is>
          <t>PGCV_0022_0698</t>
        </is>
      </c>
      <c r="B80" s="8" t="inlineStr">
        <is>
          <t>Yes</t>
        </is>
      </c>
    </row>
    <row r="81">
      <c r="A81" s="8" t="inlineStr">
        <is>
          <t>PGCV_0022_0699</t>
        </is>
      </c>
      <c r="B81" s="8" t="inlineStr">
        <is>
          <t>Yes</t>
        </is>
      </c>
    </row>
    <row r="82">
      <c r="A82" s="8" t="inlineStr">
        <is>
          <t>PGCV_0022_0700</t>
        </is>
      </c>
      <c r="B82" s="8" t="inlineStr">
        <is>
          <t>Yes</t>
        </is>
      </c>
    </row>
    <row r="83">
      <c r="A83" s="8" t="inlineStr">
        <is>
          <t>PGCV_0022_0701</t>
        </is>
      </c>
      <c r="B83" s="8" t="inlineStr">
        <is>
          <t>Yes</t>
        </is>
      </c>
    </row>
    <row r="84">
      <c r="A84" s="8" t="inlineStr">
        <is>
          <t>PGCV_0022_0702</t>
        </is>
      </c>
      <c r="B84" s="8" t="inlineStr">
        <is>
          <t>Yes</t>
        </is>
      </c>
    </row>
    <row r="85">
      <c r="A85" s="8" t="inlineStr">
        <is>
          <t>PGCV_0022_0703</t>
        </is>
      </c>
      <c r="B85" s="8" t="inlineStr">
        <is>
          <t>Yes</t>
        </is>
      </c>
    </row>
    <row r="86">
      <c r="A86" s="8" t="inlineStr">
        <is>
          <t>PGCV_0022_0704</t>
        </is>
      </c>
      <c r="B86" s="8" t="inlineStr">
        <is>
          <t>Yes</t>
        </is>
      </c>
    </row>
    <row r="87">
      <c r="A87" s="8" t="inlineStr">
        <is>
          <t>PGCV_0022_0705</t>
        </is>
      </c>
      <c r="B87" s="8" t="inlineStr">
        <is>
          <t>Yes</t>
        </is>
      </c>
    </row>
    <row r="88">
      <c r="A88" s="8" t="inlineStr">
        <is>
          <t>PGCV_0022_0706</t>
        </is>
      </c>
      <c r="B88" s="8" t="inlineStr">
        <is>
          <t>Yes</t>
        </is>
      </c>
    </row>
    <row r="89">
      <c r="A89" s="8" t="inlineStr">
        <is>
          <t>PGCV_0022_0707</t>
        </is>
      </c>
      <c r="B89" s="8" t="inlineStr">
        <is>
          <t>Yes</t>
        </is>
      </c>
    </row>
    <row r="90">
      <c r="A90" s="8" t="inlineStr">
        <is>
          <t>PGCV_0022_0708</t>
        </is>
      </c>
      <c r="B90" s="8" t="inlineStr">
        <is>
          <t>Yes</t>
        </is>
      </c>
    </row>
    <row r="91">
      <c r="A91" s="8" t="inlineStr">
        <is>
          <t>PGCV_0022_0709</t>
        </is>
      </c>
      <c r="B91" s="8" t="inlineStr">
        <is>
          <t>Yes</t>
        </is>
      </c>
    </row>
    <row r="92">
      <c r="A92" s="8" t="inlineStr">
        <is>
          <t>PGCV_0022_0710</t>
        </is>
      </c>
      <c r="B92" s="8" t="inlineStr">
        <is>
          <t>Yes</t>
        </is>
      </c>
    </row>
    <row r="93">
      <c r="A93" s="8" t="inlineStr">
        <is>
          <t>PGCV_0022_0711</t>
        </is>
      </c>
      <c r="B93" s="8" t="inlineStr">
        <is>
          <t>Yes</t>
        </is>
      </c>
    </row>
    <row r="94">
      <c r="A94" s="8" t="inlineStr">
        <is>
          <t>PGCV_0022_0712</t>
        </is>
      </c>
      <c r="B94" s="8" t="inlineStr">
        <is>
          <t>Yes</t>
        </is>
      </c>
    </row>
    <row r="95">
      <c r="A95" s="8" t="inlineStr">
        <is>
          <t>PGCV_0022_0713</t>
        </is>
      </c>
      <c r="B95" s="8" t="inlineStr">
        <is>
          <t>Yes</t>
        </is>
      </c>
    </row>
    <row r="96">
      <c r="A96" s="8" t="inlineStr">
        <is>
          <t>PGCV_0022_0714</t>
        </is>
      </c>
      <c r="B96" s="8" t="inlineStr">
        <is>
          <t>Yes</t>
        </is>
      </c>
    </row>
    <row r="97">
      <c r="A97" s="8" t="inlineStr">
        <is>
          <t>PGCV_0022_0715</t>
        </is>
      </c>
      <c r="B97" s="8" t="inlineStr">
        <is>
          <t>Yes</t>
        </is>
      </c>
    </row>
    <row r="98">
      <c r="A98" s="8" t="inlineStr">
        <is>
          <t>PGCV_0022_0716</t>
        </is>
      </c>
      <c r="B98" s="8" t="inlineStr">
        <is>
          <t>Yes</t>
        </is>
      </c>
    </row>
    <row r="99">
      <c r="A99" s="8" t="inlineStr">
        <is>
          <t>PGCV_0022_0717</t>
        </is>
      </c>
      <c r="B99" s="8" t="inlineStr">
        <is>
          <t>Yes</t>
        </is>
      </c>
    </row>
    <row r="100">
      <c r="A100" s="8" t="inlineStr">
        <is>
          <t>PGCV_0022_0718</t>
        </is>
      </c>
      <c r="B100" s="8" t="inlineStr">
        <is>
          <t>Yes</t>
        </is>
      </c>
    </row>
    <row r="101">
      <c r="A101" s="8" t="inlineStr">
        <is>
          <t>PGCV_0022_0719</t>
        </is>
      </c>
      <c r="B101" s="8" t="inlineStr">
        <is>
          <t>Yes</t>
        </is>
      </c>
    </row>
    <row r="102">
      <c r="A102" s="8" t="inlineStr">
        <is>
          <t>PGCV_0022_0720</t>
        </is>
      </c>
      <c r="B102" s="8" t="inlineStr">
        <is>
          <t>Yes</t>
        </is>
      </c>
    </row>
    <row r="103">
      <c r="A103" s="8" t="inlineStr">
        <is>
          <t>PGCV_0022_0721</t>
        </is>
      </c>
      <c r="B103" s="8" t="inlineStr">
        <is>
          <t>Yes</t>
        </is>
      </c>
    </row>
    <row r="104">
      <c r="A104" s="8" t="inlineStr">
        <is>
          <t>PGCV_0022_0722</t>
        </is>
      </c>
      <c r="B104" s="8" t="inlineStr">
        <is>
          <t>Yes</t>
        </is>
      </c>
    </row>
    <row r="105">
      <c r="A105" s="8" t="inlineStr">
        <is>
          <t>PGCV_0022_0723</t>
        </is>
      </c>
      <c r="B105" s="8" t="inlineStr">
        <is>
          <t>Yes</t>
        </is>
      </c>
    </row>
    <row r="106">
      <c r="A106" s="8" t="inlineStr">
        <is>
          <t>PGCV_0022_0724</t>
        </is>
      </c>
      <c r="B106" s="8" t="inlineStr">
        <is>
          <t>Yes</t>
        </is>
      </c>
    </row>
    <row r="107">
      <c r="A107" s="8" t="inlineStr">
        <is>
          <t>PGCV_0022_0725</t>
        </is>
      </c>
      <c r="B107" s="8" t="inlineStr">
        <is>
          <t>Yes</t>
        </is>
      </c>
    </row>
    <row r="108">
      <c r="A108" s="8" t="inlineStr">
        <is>
          <t>PGCV_0022_0726</t>
        </is>
      </c>
      <c r="B108" s="8" t="inlineStr">
        <is>
          <t>Yes</t>
        </is>
      </c>
    </row>
    <row r="109">
      <c r="A109" s="8" t="inlineStr">
        <is>
          <t>PGCV_0022_0727</t>
        </is>
      </c>
      <c r="B109" s="8" t="inlineStr">
        <is>
          <t>Yes</t>
        </is>
      </c>
    </row>
    <row r="110">
      <c r="A110" s="8" t="inlineStr">
        <is>
          <t>PGCV_0022_0728</t>
        </is>
      </c>
      <c r="B110" s="8" t="inlineStr">
        <is>
          <t>Yes</t>
        </is>
      </c>
    </row>
    <row r="111">
      <c r="A111" s="8" t="inlineStr">
        <is>
          <t>PGCV_0022_0729</t>
        </is>
      </c>
      <c r="B111" s="8" t="inlineStr">
        <is>
          <t>Yes</t>
        </is>
      </c>
    </row>
    <row r="112">
      <c r="A112" s="8" t="inlineStr">
        <is>
          <t>PGCV_0022_0730</t>
        </is>
      </c>
      <c r="B112" s="8" t="inlineStr">
        <is>
          <t>Yes</t>
        </is>
      </c>
    </row>
    <row r="113">
      <c r="A113" s="8" t="inlineStr">
        <is>
          <t>PGCV_0022_0731</t>
        </is>
      </c>
      <c r="B113" s="8" t="inlineStr">
        <is>
          <t>Yes</t>
        </is>
      </c>
    </row>
    <row r="114">
      <c r="A114" s="8" t="inlineStr">
        <is>
          <t>PGCV_0022_0732</t>
        </is>
      </c>
      <c r="B114" s="8" t="inlineStr">
        <is>
          <t>Yes</t>
        </is>
      </c>
    </row>
    <row r="115">
      <c r="A115" s="8" t="inlineStr">
        <is>
          <t>PGCV_0022_0733</t>
        </is>
      </c>
      <c r="B115" s="8" t="inlineStr">
        <is>
          <t>Yes</t>
        </is>
      </c>
    </row>
    <row r="116">
      <c r="A116" s="8" t="inlineStr">
        <is>
          <t>PGCV_0022_0734</t>
        </is>
      </c>
      <c r="B116" s="8" t="inlineStr">
        <is>
          <t>Yes</t>
        </is>
      </c>
    </row>
    <row r="117">
      <c r="A117" s="8" t="inlineStr">
        <is>
          <t>PGCV_0022_0735</t>
        </is>
      </c>
      <c r="B117" s="8" t="inlineStr">
        <is>
          <t>Yes</t>
        </is>
      </c>
    </row>
    <row r="118">
      <c r="A118" s="8" t="inlineStr">
        <is>
          <t>PGCV_0022_0736</t>
        </is>
      </c>
      <c r="B118" s="8" t="inlineStr">
        <is>
          <t>Yes</t>
        </is>
      </c>
    </row>
    <row r="119">
      <c r="A119" s="8" t="inlineStr">
        <is>
          <t>PGCV_0022_0737</t>
        </is>
      </c>
      <c r="B119" s="8" t="inlineStr">
        <is>
          <t>Yes</t>
        </is>
      </c>
    </row>
    <row r="120">
      <c r="A120" s="8" t="inlineStr">
        <is>
          <t>PGCV_0022_0738</t>
        </is>
      </c>
      <c r="B120" s="8" t="inlineStr">
        <is>
          <t>Yes</t>
        </is>
      </c>
    </row>
    <row r="121">
      <c r="A121" s="8" t="inlineStr">
        <is>
          <t>PGCV_0022_0739</t>
        </is>
      </c>
      <c r="B121" s="8" t="inlineStr">
        <is>
          <t>Yes</t>
        </is>
      </c>
    </row>
    <row r="122">
      <c r="A122" s="8" t="inlineStr">
        <is>
          <t>PGCV_0022_0740</t>
        </is>
      </c>
      <c r="B122" s="8" t="inlineStr">
        <is>
          <t>Yes</t>
        </is>
      </c>
    </row>
    <row r="123">
      <c r="A123" s="8" t="inlineStr">
        <is>
          <t>PGCV_0022_0741</t>
        </is>
      </c>
      <c r="B123" s="8" t="inlineStr">
        <is>
          <t>Yes</t>
        </is>
      </c>
    </row>
    <row r="124">
      <c r="A124" s="8" t="inlineStr">
        <is>
          <t>PGCV_0022_0742</t>
        </is>
      </c>
      <c r="B124" s="8" t="inlineStr">
        <is>
          <t>Yes</t>
        </is>
      </c>
    </row>
    <row r="125">
      <c r="A125" s="8" t="inlineStr">
        <is>
          <t>PGCV_0022_0743</t>
        </is>
      </c>
      <c r="B125" s="8" t="inlineStr">
        <is>
          <t>Yes</t>
        </is>
      </c>
    </row>
    <row r="126">
      <c r="A126" s="8" t="inlineStr">
        <is>
          <t>PGCV_0022_0744</t>
        </is>
      </c>
      <c r="B126" s="8" t="inlineStr">
        <is>
          <t>Yes</t>
        </is>
      </c>
    </row>
    <row r="127">
      <c r="A127" s="8" t="inlineStr">
        <is>
          <t>PGCV_0022_0745</t>
        </is>
      </c>
      <c r="B127" s="8" t="inlineStr">
        <is>
          <t>Yes</t>
        </is>
      </c>
    </row>
    <row r="128">
      <c r="A128" s="8" t="inlineStr">
        <is>
          <t>PGCV_0022_0746</t>
        </is>
      </c>
      <c r="B128" s="8" t="inlineStr">
        <is>
          <t>Yes</t>
        </is>
      </c>
    </row>
    <row r="129">
      <c r="A129" s="8" t="inlineStr">
        <is>
          <t>PGCV_0022_0747</t>
        </is>
      </c>
      <c r="B129" s="8" t="inlineStr">
        <is>
          <t>Yes</t>
        </is>
      </c>
    </row>
    <row r="130">
      <c r="A130" s="8" t="inlineStr">
        <is>
          <t>PGCV_0022_0748</t>
        </is>
      </c>
      <c r="B130" s="8" t="inlineStr">
        <is>
          <t>Yes</t>
        </is>
      </c>
    </row>
    <row r="131">
      <c r="A131" s="8" t="inlineStr">
        <is>
          <t>PGCV_0022_0749</t>
        </is>
      </c>
      <c r="B131" s="8" t="inlineStr">
        <is>
          <t>Yes</t>
        </is>
      </c>
    </row>
    <row r="132">
      <c r="A132" s="8" t="inlineStr">
        <is>
          <t>PGCV_0022_0750</t>
        </is>
      </c>
      <c r="B132" s="8" t="inlineStr">
        <is>
          <t>Yes</t>
        </is>
      </c>
    </row>
    <row r="133">
      <c r="A133" s="8" t="inlineStr">
        <is>
          <t>PGCV_0022_0751</t>
        </is>
      </c>
      <c r="B133" s="8" t="inlineStr">
        <is>
          <t>Yes</t>
        </is>
      </c>
    </row>
    <row r="134">
      <c r="A134" s="8" t="inlineStr">
        <is>
          <t>PGCV_0022_0752</t>
        </is>
      </c>
      <c r="B134" s="8" t="inlineStr">
        <is>
          <t>Yes</t>
        </is>
      </c>
    </row>
    <row r="135">
      <c r="A135" s="8" t="inlineStr">
        <is>
          <t>PGCV_0022_0753</t>
        </is>
      </c>
      <c r="B135" s="8" t="inlineStr">
        <is>
          <t>Yes</t>
        </is>
      </c>
    </row>
    <row r="136">
      <c r="A136" s="8" t="inlineStr">
        <is>
          <t>PGCV_0022_0754</t>
        </is>
      </c>
      <c r="B136" s="8" t="inlineStr">
        <is>
          <t>Yes</t>
        </is>
      </c>
    </row>
    <row r="137">
      <c r="A137" s="8" t="inlineStr">
        <is>
          <t>PGCV_0022_0755</t>
        </is>
      </c>
      <c r="B137" s="8" t="inlineStr">
        <is>
          <t>Yes</t>
        </is>
      </c>
    </row>
    <row r="138">
      <c r="A138" s="8" t="inlineStr">
        <is>
          <t>PGCV_0022_0756</t>
        </is>
      </c>
      <c r="B138" s="8" t="inlineStr">
        <is>
          <t>Yes</t>
        </is>
      </c>
    </row>
    <row r="139">
      <c r="A139" s="8" t="inlineStr">
        <is>
          <t>PGCV_0022_0757</t>
        </is>
      </c>
      <c r="B139" s="8" t="inlineStr">
        <is>
          <t>Yes</t>
        </is>
      </c>
    </row>
    <row r="140">
      <c r="A140" s="8" t="inlineStr">
        <is>
          <t>PGCV_0022_0758</t>
        </is>
      </c>
      <c r="B140" s="8" t="inlineStr">
        <is>
          <t>Yes</t>
        </is>
      </c>
    </row>
    <row r="141">
      <c r="A141" s="8" t="inlineStr">
        <is>
          <t>PGCV_0022_0759</t>
        </is>
      </c>
      <c r="B141" s="8" t="inlineStr">
        <is>
          <t>Yes</t>
        </is>
      </c>
    </row>
    <row r="142">
      <c r="A142" s="8" t="inlineStr">
        <is>
          <t>PGCV_0022_0760</t>
        </is>
      </c>
      <c r="B142" s="8" t="inlineStr">
        <is>
          <t>Yes</t>
        </is>
      </c>
    </row>
    <row r="143">
      <c r="A143" s="8" t="inlineStr">
        <is>
          <t>PGCV_0022_0761</t>
        </is>
      </c>
      <c r="B143" s="8" t="inlineStr">
        <is>
          <t>Yes</t>
        </is>
      </c>
    </row>
    <row r="144">
      <c r="A144" s="8" t="inlineStr">
        <is>
          <t>PGCV_0022_0762</t>
        </is>
      </c>
      <c r="B144" s="8" t="inlineStr">
        <is>
          <t>Yes</t>
        </is>
      </c>
    </row>
    <row r="145">
      <c r="A145" s="8" t="inlineStr">
        <is>
          <t>PGCV_0022_0763</t>
        </is>
      </c>
      <c r="B145" s="8" t="inlineStr">
        <is>
          <t>Yes</t>
        </is>
      </c>
    </row>
    <row r="146">
      <c r="A146" s="8" t="inlineStr">
        <is>
          <t>PGCV_0022_0764</t>
        </is>
      </c>
      <c r="B146" s="8" t="inlineStr">
        <is>
          <t>Yes</t>
        </is>
      </c>
    </row>
    <row r="147">
      <c r="A147" s="8" t="inlineStr">
        <is>
          <t>PGCV_0022_0765</t>
        </is>
      </c>
      <c r="B147" s="8" t="inlineStr">
        <is>
          <t>Yes</t>
        </is>
      </c>
    </row>
    <row r="148">
      <c r="A148" s="8" t="inlineStr">
        <is>
          <t>PGCV_0022_0766</t>
        </is>
      </c>
      <c r="B148" s="8" t="inlineStr">
        <is>
          <t>Yes</t>
        </is>
      </c>
    </row>
    <row r="149">
      <c r="A149" s="8" t="inlineStr">
        <is>
          <t>PGCV_0022_0767</t>
        </is>
      </c>
      <c r="B149" s="8" t="inlineStr">
        <is>
          <t>Yes</t>
        </is>
      </c>
    </row>
    <row r="150">
      <c r="A150" s="8" t="inlineStr">
        <is>
          <t>PGCV_0022_0768</t>
        </is>
      </c>
      <c r="B150" s="8" t="inlineStr">
        <is>
          <t>Yes</t>
        </is>
      </c>
    </row>
    <row r="151">
      <c r="A151" s="8" t="inlineStr">
        <is>
          <t>PGCV_0022_0769</t>
        </is>
      </c>
      <c r="B151" s="8" t="inlineStr">
        <is>
          <t>Yes</t>
        </is>
      </c>
    </row>
    <row r="152">
      <c r="A152" s="8" t="inlineStr">
        <is>
          <t>PGCV_0022_0770</t>
        </is>
      </c>
      <c r="B152" s="8" t="inlineStr">
        <is>
          <t>Yes</t>
        </is>
      </c>
    </row>
    <row r="153">
      <c r="A153" s="8" t="inlineStr">
        <is>
          <t>PGCV_0022_0771</t>
        </is>
      </c>
      <c r="B153" s="8" t="inlineStr">
        <is>
          <t>Yes</t>
        </is>
      </c>
    </row>
    <row r="154">
      <c r="A154" s="8" t="inlineStr">
        <is>
          <t>PGCV_0022_0826</t>
        </is>
      </c>
      <c r="B154" s="8" t="inlineStr">
        <is>
          <t>Yes</t>
        </is>
      </c>
    </row>
    <row r="155">
      <c r="A155" s="8" t="inlineStr">
        <is>
          <t>PGCV_0023_0739</t>
        </is>
      </c>
      <c r="B155" s="8" t="inlineStr">
        <is>
          <t>Yes</t>
        </is>
      </c>
    </row>
    <row r="156">
      <c r="A156" s="8" t="inlineStr">
        <is>
          <t>PGCV_0023_0741</t>
        </is>
      </c>
      <c r="B156" s="8" t="inlineStr">
        <is>
          <t>Yes</t>
        </is>
      </c>
    </row>
    <row r="157">
      <c r="A157" s="8" t="inlineStr">
        <is>
          <t>PGCV_0023_0742</t>
        </is>
      </c>
      <c r="B157" s="8" t="inlineStr">
        <is>
          <t>Yes</t>
        </is>
      </c>
    </row>
    <row r="158">
      <c r="A158" s="8" t="inlineStr">
        <is>
          <t>PGCV_0023_0826</t>
        </is>
      </c>
      <c r="B158" s="8" t="inlineStr">
        <is>
          <t>Yes</t>
        </is>
      </c>
    </row>
    <row r="159">
      <c r="A159" s="8" t="inlineStr">
        <is>
          <t>PGCV_0024_0875</t>
        </is>
      </c>
      <c r="B159" s="8" t="inlineStr">
        <is>
          <t>Yes</t>
        </is>
      </c>
    </row>
    <row r="160">
      <c r="A160" s="8" t="inlineStr">
        <is>
          <t>PGCV_0024_0888</t>
        </is>
      </c>
      <c r="B160" s="8" t="inlineStr">
        <is>
          <t>Yes</t>
        </is>
      </c>
    </row>
    <row r="161">
      <c r="A161" s="8" t="inlineStr">
        <is>
          <t>PGCV_0024_0896</t>
        </is>
      </c>
      <c r="B161" s="8" t="inlineStr">
        <is>
          <t>Yes</t>
        </is>
      </c>
    </row>
    <row r="162">
      <c r="A162" s="8" t="inlineStr">
        <is>
          <t>PGCV_0024_0898</t>
        </is>
      </c>
      <c r="B162" s="8" t="inlineStr">
        <is>
          <t>Yes</t>
        </is>
      </c>
    </row>
    <row r="163">
      <c r="A163" s="8" t="inlineStr">
        <is>
          <t>PGCV_0024_0899</t>
        </is>
      </c>
      <c r="B163" s="8" t="inlineStr">
        <is>
          <t>Yes</t>
        </is>
      </c>
    </row>
    <row r="164">
      <c r="A164" s="8" t="inlineStr">
        <is>
          <t>PGCV_0024_0931</t>
        </is>
      </c>
      <c r="B164" s="8" t="inlineStr">
        <is>
          <t>Yes</t>
        </is>
      </c>
    </row>
    <row r="165">
      <c r="A165" s="8" t="inlineStr">
        <is>
          <t>PGCV_0024_0944</t>
        </is>
      </c>
      <c r="B165" s="8" t="inlineStr">
        <is>
          <t>Yes</t>
        </is>
      </c>
    </row>
    <row r="166">
      <c r="A166" s="8" t="inlineStr">
        <is>
          <t>PGCV_0024_0947</t>
        </is>
      </c>
      <c r="B166" s="8" t="inlineStr">
        <is>
          <t>Yes</t>
        </is>
      </c>
    </row>
    <row r="167">
      <c r="A167" s="8" t="inlineStr">
        <is>
          <t>PGCV_0024_1057</t>
        </is>
      </c>
      <c r="B167" s="8" t="inlineStr">
        <is>
          <t>Yes</t>
        </is>
      </c>
    </row>
    <row r="168">
      <c r="A168" s="8" t="inlineStr">
        <is>
          <t>PGCV_0025_1166</t>
        </is>
      </c>
      <c r="B168" s="8" t="inlineStr">
        <is>
          <t>Yes</t>
        </is>
      </c>
    </row>
    <row r="169">
      <c r="A169" s="8" t="inlineStr">
        <is>
          <t>PGCV_0025_1200</t>
        </is>
      </c>
      <c r="B169" s="8" t="inlineStr">
        <is>
          <t>Yes</t>
        </is>
      </c>
    </row>
    <row r="170">
      <c r="A170" s="8" t="inlineStr">
        <is>
          <t>PGCV_0025_1207</t>
        </is>
      </c>
      <c r="B170" s="8" t="inlineStr">
        <is>
          <t>Yes</t>
        </is>
      </c>
    </row>
    <row r="171">
      <c r="A171" s="8" t="inlineStr">
        <is>
          <t>PGCV_0025_1242</t>
        </is>
      </c>
      <c r="B171" s="8" t="inlineStr">
        <is>
          <t>Yes</t>
        </is>
      </c>
    </row>
    <row r="172">
      <c r="A172" s="8" t="inlineStr">
        <is>
          <t>PGCV_0025_1243</t>
        </is>
      </c>
      <c r="B172" s="8" t="inlineStr">
        <is>
          <t>Yes</t>
        </is>
      </c>
    </row>
    <row r="173">
      <c r="A173" s="8" t="inlineStr">
        <is>
          <t>PGCV_0025_1245</t>
        </is>
      </c>
      <c r="B173" s="8" t="inlineStr">
        <is>
          <t>Yes</t>
        </is>
      </c>
    </row>
    <row r="174">
      <c r="A174" s="8" t="inlineStr">
        <is>
          <t>PGCV_0025_1270</t>
        </is>
      </c>
      <c r="B174" s="8" t="inlineStr">
        <is>
          <t>Yes</t>
        </is>
      </c>
    </row>
    <row r="175">
      <c r="A175" s="8" t="inlineStr">
        <is>
          <t>PGCV_0026_1400</t>
        </is>
      </c>
      <c r="B175" s="8" t="inlineStr">
        <is>
          <t>Yes</t>
        </is>
      </c>
    </row>
    <row r="176">
      <c r="A176" s="8" t="inlineStr">
        <is>
          <t>PGCV_0026_1408</t>
        </is>
      </c>
      <c r="B176" s="8" t="inlineStr">
        <is>
          <t>Yes</t>
        </is>
      </c>
    </row>
    <row r="177">
      <c r="A177" s="8" t="inlineStr">
        <is>
          <t>PGCV_0026_1543</t>
        </is>
      </c>
      <c r="B177" s="8" t="inlineStr">
        <is>
          <t>Yes</t>
        </is>
      </c>
    </row>
    <row r="178">
      <c r="A178" s="8" t="inlineStr">
        <is>
          <t>PGCV_0026_1602</t>
        </is>
      </c>
      <c r="B178" s="8" t="inlineStr">
        <is>
          <t>Yes</t>
        </is>
      </c>
    </row>
    <row r="179">
      <c r="A179" s="8" t="inlineStr">
        <is>
          <t>PGCV_0027_1703</t>
        </is>
      </c>
      <c r="B179" s="8" t="inlineStr">
        <is>
          <t>Yes</t>
        </is>
      </c>
    </row>
    <row r="180">
      <c r="A180" s="8" t="inlineStr">
        <is>
          <t>PGCV_0027_1758</t>
        </is>
      </c>
      <c r="B180" s="8" t="inlineStr">
        <is>
          <t>Yes</t>
        </is>
      </c>
    </row>
    <row r="181">
      <c r="A181" s="8" t="inlineStr">
        <is>
          <t>PGCV_0027_1828</t>
        </is>
      </c>
      <c r="B181" s="8" t="inlineStr">
        <is>
          <t>Yes</t>
        </is>
      </c>
    </row>
    <row r="182">
      <c r="A182" s="8" t="inlineStr">
        <is>
          <t>PGCV_0027_1830</t>
        </is>
      </c>
      <c r="B182" s="8" t="inlineStr">
        <is>
          <t>Yes</t>
        </is>
      </c>
    </row>
    <row r="183">
      <c r="A183" s="8" t="inlineStr">
        <is>
          <t>PGCV_0028_2021</t>
        </is>
      </c>
      <c r="B183" s="8" t="inlineStr">
        <is>
          <t>Yes</t>
        </is>
      </c>
    </row>
    <row r="184">
      <c r="A184" s="8" t="inlineStr">
        <is>
          <t>PGCV_0028_2125</t>
        </is>
      </c>
      <c r="B184" s="8" t="inlineStr">
        <is>
          <t>Yes</t>
        </is>
      </c>
    </row>
    <row r="185">
      <c r="A185" s="8" t="inlineStr">
        <is>
          <t>PGCV_0028_2138</t>
        </is>
      </c>
      <c r="B185" s="8" t="inlineStr">
        <is>
          <t>Yes</t>
        </is>
      </c>
    </row>
    <row r="186">
      <c r="A186" s="8" t="inlineStr">
        <is>
          <t>PGCV_0028_2151</t>
        </is>
      </c>
      <c r="B186" s="8" t="inlineStr">
        <is>
          <t>Yes</t>
        </is>
      </c>
    </row>
    <row r="187">
      <c r="A187" s="8" t="inlineStr">
        <is>
          <t>PGCV_0028_2278</t>
        </is>
      </c>
      <c r="B187" s="8" t="inlineStr">
        <is>
          <t>Yes</t>
        </is>
      </c>
    </row>
    <row r="188">
      <c r="A188" s="8" t="inlineStr">
        <is>
          <t>PGCV_0028_2296</t>
        </is>
      </c>
      <c r="B188" s="8" t="inlineStr">
        <is>
          <t>Yes</t>
        </is>
      </c>
    </row>
    <row r="189">
      <c r="A189" s="8" t="inlineStr">
        <is>
          <t>PGCV_0028_2309</t>
        </is>
      </c>
      <c r="B189" s="8" t="inlineStr">
        <is>
          <t>Yes</t>
        </is>
      </c>
    </row>
    <row r="190">
      <c r="A190" s="8" t="inlineStr">
        <is>
          <t>PGCV_0029_2341</t>
        </is>
      </c>
      <c r="B190" s="8" t="inlineStr">
        <is>
          <t>Yes</t>
        </is>
      </c>
    </row>
    <row r="191">
      <c r="A191" s="8" t="inlineStr">
        <is>
          <t>PGCV_0029_2381</t>
        </is>
      </c>
      <c r="B191" s="8" t="inlineStr">
        <is>
          <t>Yes</t>
        </is>
      </c>
    </row>
    <row r="192">
      <c r="A192" s="8" t="inlineStr">
        <is>
          <t>PGCV_0029_2441</t>
        </is>
      </c>
      <c r="B192" s="8" t="inlineStr">
        <is>
          <t>Yes</t>
        </is>
      </c>
    </row>
    <row r="193">
      <c r="A193" s="8" t="inlineStr">
        <is>
          <t>PGCV_0029_2611</t>
        </is>
      </c>
      <c r="B193" s="8" t="inlineStr">
        <is>
          <t>Yes</t>
        </is>
      </c>
    </row>
    <row r="194">
      <c r="A194" s="8" t="inlineStr">
        <is>
          <t>PGCV_0029_2613</t>
        </is>
      </c>
      <c r="B194" s="8" t="inlineStr">
        <is>
          <t>Yes</t>
        </is>
      </c>
    </row>
    <row r="195">
      <c r="A195" s="8" t="inlineStr">
        <is>
          <t>PGCV_0029_2616</t>
        </is>
      </c>
      <c r="B195" s="8" t="inlineStr">
        <is>
          <t>Yes</t>
        </is>
      </c>
    </row>
    <row r="196">
      <c r="A196" s="8" t="inlineStr">
        <is>
          <t>PGCV_0030_2555</t>
        </is>
      </c>
      <c r="B196" s="8" t="inlineStr">
        <is>
          <t>Yes</t>
        </is>
      </c>
    </row>
    <row r="197">
      <c r="A197" s="8" t="inlineStr">
        <is>
          <t>PGCV_0030_2687</t>
        </is>
      </c>
      <c r="B197" s="8" t="inlineStr">
        <is>
          <t>Yes</t>
        </is>
      </c>
    </row>
    <row r="198">
      <c r="A198" s="8" t="inlineStr">
        <is>
          <t>PGCV_0030_2723</t>
        </is>
      </c>
      <c r="B198" s="8" t="inlineStr">
        <is>
          <t>Yes</t>
        </is>
      </c>
    </row>
    <row r="199">
      <c r="A199" s="8" t="inlineStr">
        <is>
          <t>PGCV_0030_2746</t>
        </is>
      </c>
      <c r="B199" s="8" t="inlineStr">
        <is>
          <t>Yes</t>
        </is>
      </c>
    </row>
    <row r="200">
      <c r="A200" s="8" t="inlineStr">
        <is>
          <t>PGCV_0030_2747</t>
        </is>
      </c>
      <c r="B200" s="8" t="inlineStr">
        <is>
          <t>Yes</t>
        </is>
      </c>
    </row>
    <row r="201">
      <c r="A201" s="8" t="inlineStr">
        <is>
          <t>PGCV_0030_2750</t>
        </is>
      </c>
      <c r="B201" s="8" t="inlineStr">
        <is>
          <t>Yes</t>
        </is>
      </c>
    </row>
    <row r="202">
      <c r="A202" s="8" t="inlineStr">
        <is>
          <t>PGCV_0030_2755</t>
        </is>
      </c>
      <c r="B202" s="8" t="inlineStr">
        <is>
          <t>Yes</t>
        </is>
      </c>
    </row>
    <row r="203">
      <c r="A203" s="8" t="inlineStr">
        <is>
          <t>PGCV_0030_2756</t>
        </is>
      </c>
      <c r="B203" s="8" t="inlineStr">
        <is>
          <t>Yes</t>
        </is>
      </c>
    </row>
    <row r="204">
      <c r="A204" s="8" t="inlineStr">
        <is>
          <t>PGCV_0030_2757</t>
        </is>
      </c>
      <c r="B204" s="8" t="inlineStr">
        <is>
          <t>Yes</t>
        </is>
      </c>
    </row>
    <row r="205">
      <c r="A205" s="8" t="inlineStr">
        <is>
          <t>PGCV_0030_2759</t>
        </is>
      </c>
      <c r="B205" s="8" t="inlineStr">
        <is>
          <t>Yes</t>
        </is>
      </c>
    </row>
    <row r="206">
      <c r="A206" s="8" t="inlineStr">
        <is>
          <t>PGCV_0030_2760</t>
        </is>
      </c>
      <c r="B206" s="8" t="inlineStr">
        <is>
          <t>Yes</t>
        </is>
      </c>
    </row>
    <row r="207">
      <c r="A207" s="8" t="inlineStr">
        <is>
          <t>PGCV_0030_2763</t>
        </is>
      </c>
      <c r="B207" s="8" t="inlineStr">
        <is>
          <t>Yes</t>
        </is>
      </c>
    </row>
    <row r="208">
      <c r="A208" s="8" t="inlineStr">
        <is>
          <t>PGCV_0030_2844</t>
        </is>
      </c>
      <c r="B208" s="8" t="inlineStr">
        <is>
          <t>Yes</t>
        </is>
      </c>
    </row>
    <row r="209">
      <c r="A209" s="8" t="inlineStr">
        <is>
          <t>PGCV_0031_2869</t>
        </is>
      </c>
      <c r="B209" s="8" t="inlineStr">
        <is>
          <t>Yes</t>
        </is>
      </c>
    </row>
    <row r="210">
      <c r="A210" s="8" t="inlineStr">
        <is>
          <t>PGCV_0031_2892</t>
        </is>
      </c>
      <c r="B210" s="8" t="inlineStr">
        <is>
          <t>Yes</t>
        </is>
      </c>
    </row>
    <row r="211">
      <c r="A211" s="8" t="inlineStr">
        <is>
          <t>PGCV_0031_2903</t>
        </is>
      </c>
      <c r="B211" s="8" t="inlineStr">
        <is>
          <t>Yes</t>
        </is>
      </c>
    </row>
    <row r="212">
      <c r="A212" s="8" t="inlineStr">
        <is>
          <t>PGCV_0031_2919</t>
        </is>
      </c>
      <c r="B212" s="8" t="inlineStr">
        <is>
          <t>Yes</t>
        </is>
      </c>
    </row>
    <row r="213">
      <c r="A213" s="8" t="inlineStr">
        <is>
          <t>PGCV_0031_2937</t>
        </is>
      </c>
      <c r="B213" s="8" t="inlineStr">
        <is>
          <t>Yes</t>
        </is>
      </c>
    </row>
    <row r="214">
      <c r="A214" s="8" t="inlineStr">
        <is>
          <t>PGCV_0031_2940</t>
        </is>
      </c>
      <c r="B214" s="8" t="inlineStr">
        <is>
          <t>Yes</t>
        </is>
      </c>
    </row>
    <row r="215">
      <c r="A215" s="8" t="inlineStr">
        <is>
          <t>PGCV_0031_2958</t>
        </is>
      </c>
      <c r="B215" s="8" t="inlineStr">
        <is>
          <t>Yes</t>
        </is>
      </c>
    </row>
    <row r="216">
      <c r="A216" s="8" t="inlineStr">
        <is>
          <t>PGCV_0031_2960</t>
        </is>
      </c>
      <c r="B216" s="8" t="inlineStr">
        <is>
          <t>Yes</t>
        </is>
      </c>
    </row>
    <row r="217">
      <c r="A217" s="8" t="inlineStr">
        <is>
          <t>PGCV_0031_2972</t>
        </is>
      </c>
      <c r="B217" s="8" t="inlineStr">
        <is>
          <t>Yes</t>
        </is>
      </c>
    </row>
    <row r="218">
      <c r="A218" s="8" t="inlineStr">
        <is>
          <t>PGCV_0031_3059</t>
        </is>
      </c>
      <c r="B218" s="8" t="inlineStr">
        <is>
          <t>Yes</t>
        </is>
      </c>
    </row>
    <row r="219">
      <c r="A219" s="8" t="inlineStr">
        <is>
          <t>PGCV_0031_3062</t>
        </is>
      </c>
      <c r="B219" s="8" t="inlineStr">
        <is>
          <t>Yes</t>
        </is>
      </c>
    </row>
    <row r="220">
      <c r="A220" s="8" t="inlineStr">
        <is>
          <t>PGCV_0031_3068</t>
        </is>
      </c>
      <c r="B220" s="8" t="inlineStr">
        <is>
          <t>Yes</t>
        </is>
      </c>
    </row>
    <row r="221">
      <c r="A221" s="8" t="inlineStr">
        <is>
          <t>PGCV_0032_3101</t>
        </is>
      </c>
      <c r="B221" s="8" t="inlineStr">
        <is>
          <t>Yes</t>
        </is>
      </c>
    </row>
    <row r="222">
      <c r="A222" s="8" t="inlineStr">
        <is>
          <t>PGCV_0032_3144</t>
        </is>
      </c>
      <c r="B222" s="8" t="inlineStr">
        <is>
          <t>Yes</t>
        </is>
      </c>
    </row>
    <row r="223">
      <c r="A223" s="8" t="inlineStr">
        <is>
          <t>PGCV_0032_3199</t>
        </is>
      </c>
      <c r="B223" s="8" t="inlineStr">
        <is>
          <t>Yes</t>
        </is>
      </c>
    </row>
    <row r="224">
      <c r="A224" s="8" t="inlineStr">
        <is>
          <t>PGCV_0033_3251</t>
        </is>
      </c>
      <c r="B224" s="8" t="inlineStr">
        <is>
          <t>Yes</t>
        </is>
      </c>
    </row>
    <row r="225">
      <c r="A225" s="8" t="inlineStr">
        <is>
          <t>PGCV_0033_3253</t>
        </is>
      </c>
      <c r="B225" s="8" t="inlineStr">
        <is>
          <t>Yes</t>
        </is>
      </c>
    </row>
    <row r="226">
      <c r="A226" s="8" t="inlineStr">
        <is>
          <t>PGCV_0033_3268</t>
        </is>
      </c>
      <c r="B226" s="8" t="inlineStr">
        <is>
          <t>Yes</t>
        </is>
      </c>
    </row>
    <row r="227">
      <c r="A227" s="8" t="inlineStr">
        <is>
          <t>PGCV_0033_3285</t>
        </is>
      </c>
      <c r="B227" s="8" t="inlineStr">
        <is>
          <t>Yes</t>
        </is>
      </c>
    </row>
    <row r="228">
      <c r="A228" s="8" t="inlineStr">
        <is>
          <t>PGCV_0033_3322</t>
        </is>
      </c>
      <c r="B228" s="8" t="inlineStr">
        <is>
          <t>Yes</t>
        </is>
      </c>
    </row>
    <row r="229">
      <c r="A229" s="8" t="inlineStr">
        <is>
          <t>PGCV_0034_3364</t>
        </is>
      </c>
      <c r="B229" s="8" t="inlineStr">
        <is>
          <t>Yes</t>
        </is>
      </c>
    </row>
    <row r="230">
      <c r="A230" s="8" t="inlineStr">
        <is>
          <t>PGCV_0034_3371</t>
        </is>
      </c>
      <c r="B230" s="8" t="inlineStr">
        <is>
          <t>Yes</t>
        </is>
      </c>
    </row>
    <row r="231">
      <c r="A231" s="8" t="inlineStr">
        <is>
          <t>PGCV_0034_3372</t>
        </is>
      </c>
      <c r="B231" s="8" t="inlineStr">
        <is>
          <t>Yes</t>
        </is>
      </c>
    </row>
    <row r="232">
      <c r="A232" s="8" t="inlineStr">
        <is>
          <t>PGCV_0034_3377</t>
        </is>
      </c>
      <c r="B232" s="8" t="inlineStr">
        <is>
          <t>Yes</t>
        </is>
      </c>
    </row>
    <row r="233">
      <c r="A233" s="8" t="inlineStr">
        <is>
          <t>PGCV_0034_3378</t>
        </is>
      </c>
      <c r="B233" s="8" t="inlineStr">
        <is>
          <t>Yes</t>
        </is>
      </c>
    </row>
    <row r="234">
      <c r="A234" s="8" t="inlineStr">
        <is>
          <t>PGCV_0034_3382</t>
        </is>
      </c>
      <c r="B234" s="8" t="inlineStr">
        <is>
          <t>Yes</t>
        </is>
      </c>
    </row>
    <row r="235">
      <c r="A235" s="8" t="inlineStr">
        <is>
          <t>PGCV_0034_3391</t>
        </is>
      </c>
      <c r="B235" s="8" t="inlineStr">
        <is>
          <t>Yes</t>
        </is>
      </c>
    </row>
    <row r="236">
      <c r="A236" s="8" t="inlineStr">
        <is>
          <t>PGCV_0034_3392</t>
        </is>
      </c>
      <c r="B236" s="8" t="inlineStr">
        <is>
          <t>Yes</t>
        </is>
      </c>
    </row>
    <row r="237">
      <c r="A237" s="8" t="inlineStr">
        <is>
          <t>PGCV_0034_3417</t>
        </is>
      </c>
      <c r="B237" s="8" t="inlineStr">
        <is>
          <t>Yes</t>
        </is>
      </c>
    </row>
    <row r="238">
      <c r="A238" s="8" t="inlineStr">
        <is>
          <t>PGCV_0035_3449</t>
        </is>
      </c>
      <c r="B238" s="8" t="inlineStr">
        <is>
          <t>No</t>
        </is>
      </c>
    </row>
    <row r="239">
      <c r="A239" s="8" t="inlineStr">
        <is>
          <t>PGCV_0036_3516</t>
        </is>
      </c>
      <c r="B239" s="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P3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46" customWidth="1" min="3" max="3"/>
    <col width="13" customWidth="1" min="4" max="4"/>
    <col width="29" customWidth="1" min="5" max="5"/>
    <col width="19" customWidth="1" min="6" max="6"/>
    <col width="21" customWidth="1" min="7" max="7"/>
    <col width="8" customWidth="1" min="8" max="8"/>
    <col width="8" customWidth="1" min="9" max="9"/>
    <col width="29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52" customWidth="1" min="16" max="16"/>
  </cols>
  <sheetData>
    <row r="1">
      <c r="A1" s="6" t="inlineStr">
        <is>
          <t>PGC_Code</t>
        </is>
      </c>
      <c r="B1" s="6" t="inlineStr">
        <is>
          <t>Accession_Number</t>
        </is>
      </c>
      <c r="C1" s="6" t="inlineStr">
        <is>
          <t>Collecting_Institution</t>
        </is>
      </c>
      <c r="D1" s="6" t="inlineStr">
        <is>
          <t>Region_Code</t>
        </is>
      </c>
      <c r="E1" s="6" t="inlineStr">
        <is>
          <t>Region_Name</t>
        </is>
      </c>
      <c r="F1" s="6" t="inlineStr">
        <is>
          <t>Extraction_Number</t>
        </is>
      </c>
      <c r="G1" s="6" t="inlineStr">
        <is>
          <t>Collection_Date</t>
        </is>
      </c>
      <c r="H1" s="6" t="inlineStr">
        <is>
          <t>Age</t>
        </is>
      </c>
      <c r="I1" s="6" t="inlineStr">
        <is>
          <t>Sex</t>
        </is>
      </c>
      <c r="J1" s="6" t="inlineStr">
        <is>
          <t>Selection_Criteria</t>
        </is>
      </c>
      <c r="K1" s="6" t="inlineStr">
        <is>
          <t>Ct_ORF</t>
        </is>
      </c>
      <c r="L1" s="6" t="inlineStr">
        <is>
          <t>Ct_N</t>
        </is>
      </c>
      <c r="M1" s="6" t="inlineStr">
        <is>
          <t>Ct_E</t>
        </is>
      </c>
      <c r="N1" s="6" t="inlineStr">
        <is>
          <t>Ct_RdRp</t>
        </is>
      </c>
      <c r="O1" s="6" t="inlineStr">
        <is>
          <t>Remarks</t>
        </is>
      </c>
      <c r="P1" s="6" t="inlineStr">
        <is>
          <t>Review_Flag</t>
        </is>
      </c>
    </row>
    <row r="2">
      <c r="A2" s="8" t="inlineStr">
        <is>
          <t>PGCV_0208</t>
        </is>
      </c>
      <c r="B2" s="8" t="n"/>
      <c r="C2" s="8" t="inlineStr">
        <is>
          <t>BALASAN RURAL HEALTH UNIT</t>
        </is>
      </c>
      <c r="D2" s="7" t="n">
        <v>6</v>
      </c>
      <c r="E2" s="8" t="inlineStr">
        <is>
          <t>Region VI (Western Visayas)</t>
        </is>
      </c>
      <c r="F2" s="7" t="n"/>
      <c r="G2" s="27" t="n">
        <v>44607</v>
      </c>
      <c r="H2" s="7" t="n">
        <v>83</v>
      </c>
      <c r="I2" s="7" t="inlineStr">
        <is>
          <t>F</t>
        </is>
      </c>
      <c r="J2" s="8" t="inlineStr">
        <is>
          <t>Cluster</t>
        </is>
      </c>
      <c r="K2" s="28" t="n"/>
      <c r="L2" s="28" t="n"/>
      <c r="M2" s="28" t="n"/>
      <c r="N2" s="28" t="n"/>
      <c r="O2" s="8" t="n"/>
      <c r="P2" s="8" t="n"/>
    </row>
    <row r="3">
      <c r="A3" s="8" t="inlineStr">
        <is>
          <t>PGCV_0259</t>
        </is>
      </c>
      <c r="B3" s="8" t="n"/>
      <c r="C3" s="8" t="inlineStr">
        <is>
          <t>CORAZON LOCSIN MONTELIBANO MEMORIAL REGIONAL HOSPITAL</t>
        </is>
      </c>
      <c r="D3" s="7" t="n">
        <v>6</v>
      </c>
      <c r="E3" s="8" t="inlineStr">
        <is>
          <t>Region VI (Western Visayas)</t>
        </is>
      </c>
      <c r="F3" s="7" t="n"/>
      <c r="G3" s="27" t="n">
        <v>44241</v>
      </c>
      <c r="H3" s="7" t="n">
        <v>25</v>
      </c>
      <c r="I3" s="7" t="inlineStr">
        <is>
          <t>F</t>
        </is>
      </c>
      <c r="J3" s="8" t="inlineStr">
        <is>
          <t>Unknown Exposure</t>
        </is>
      </c>
      <c r="K3" s="28" t="n"/>
      <c r="L3" s="28" t="n"/>
      <c r="M3" s="28" t="n"/>
      <c r="N3" s="28" t="n"/>
      <c r="O3" s="8" t="n"/>
      <c r="P3" s="8" t="n"/>
    </row>
    <row r="4">
      <c r="A4" s="8" t="inlineStr">
        <is>
          <t>PGCV_0284</t>
        </is>
      </c>
      <c r="B4" s="8" t="inlineStr">
        <is>
          <t>COVID-SNL-22-23862</t>
        </is>
      </c>
      <c r="C4" s="8" t="inlineStr">
        <is>
          <t>ST. PAUL'S HOSPITAL OF ILOILO</t>
        </is>
      </c>
      <c r="D4" s="7" t="n">
        <v>6</v>
      </c>
      <c r="E4" s="8" t="inlineStr">
        <is>
          <t>Region VI (Western Visayas)</t>
        </is>
      </c>
      <c r="F4" s="7" t="n"/>
      <c r="G4" s="27" t="n">
        <v>44611</v>
      </c>
      <c r="H4" s="7" t="n">
        <v>93</v>
      </c>
      <c r="I4" s="7" t="inlineStr">
        <is>
          <t>M</t>
        </is>
      </c>
      <c r="J4" s="8" t="inlineStr">
        <is>
          <t>Admitted</t>
        </is>
      </c>
      <c r="K4" s="28" t="n"/>
      <c r="L4" s="28" t="n"/>
      <c r="M4" s="28" t="n"/>
      <c r="N4" s="28" t="n"/>
      <c r="O4" s="8" t="n"/>
      <c r="P4" s="8" t="n"/>
    </row>
    <row r="5">
      <c r="A5" s="8" t="inlineStr">
        <is>
          <t>PGCV_0293</t>
        </is>
      </c>
      <c r="B5" s="8" t="inlineStr">
        <is>
          <t>COVID-SNL-22-24110</t>
        </is>
      </c>
      <c r="C5" s="8" t="inlineStr">
        <is>
          <t>ANGEL SALAZAR MEMORIAL GENERAL HOSPITAL</t>
        </is>
      </c>
      <c r="D5" s="7" t="n">
        <v>6</v>
      </c>
      <c r="E5" s="8" t="inlineStr">
        <is>
          <t>Region VI (Western Visayas)</t>
        </is>
      </c>
      <c r="F5" s="7" t="n"/>
      <c r="G5" s="27" t="n">
        <v>44612</v>
      </c>
      <c r="H5" s="7" t="n">
        <v>7</v>
      </c>
      <c r="I5" s="7" t="inlineStr">
        <is>
          <t>M</t>
        </is>
      </c>
      <c r="J5" s="8" t="inlineStr">
        <is>
          <t>Admitted</t>
        </is>
      </c>
      <c r="K5" s="28" t="n"/>
      <c r="L5" s="28" t="n"/>
      <c r="M5" s="28" t="n"/>
      <c r="N5" s="28" t="n"/>
      <c r="O5" s="8" t="n"/>
      <c r="P5" s="8" t="n"/>
    </row>
    <row r="6">
      <c r="A6" s="8" t="inlineStr">
        <is>
          <t>PGCV_0295</t>
        </is>
      </c>
      <c r="B6" s="8" t="inlineStr">
        <is>
          <t>COVID-SNL-22-24145</t>
        </is>
      </c>
      <c r="C6" s="8" t="inlineStr">
        <is>
          <t>WESTERN VISAYAS MEDICAL CENTER</t>
        </is>
      </c>
      <c r="D6" s="7" t="n">
        <v>6</v>
      </c>
      <c r="E6" s="8" t="inlineStr">
        <is>
          <t>Region VI (Western Visayas)</t>
        </is>
      </c>
      <c r="F6" s="7" t="n"/>
      <c r="G6" s="27" t="n">
        <v>44612</v>
      </c>
      <c r="H6" s="7" t="n">
        <v>57</v>
      </c>
      <c r="I6" s="7" t="inlineStr">
        <is>
          <t>F</t>
        </is>
      </c>
      <c r="J6" s="8" t="inlineStr">
        <is>
          <t>Admitted</t>
        </is>
      </c>
      <c r="K6" s="28" t="n"/>
      <c r="L6" s="28" t="n"/>
      <c r="M6" s="28" t="n"/>
      <c r="N6" s="28" t="n"/>
      <c r="O6" s="8" t="n"/>
      <c r="P6" s="8" t="n"/>
    </row>
    <row r="7">
      <c r="A7" s="8" t="inlineStr">
        <is>
          <t>PGCV_0296</t>
        </is>
      </c>
      <c r="B7" s="8" t="inlineStr">
        <is>
          <t>COVID-SNL-22-24163</t>
        </is>
      </c>
      <c r="C7" s="8" t="inlineStr">
        <is>
          <t>WESTERN VISAYAS MEDICAL CENTER</t>
        </is>
      </c>
      <c r="D7" s="7" t="n">
        <v>6</v>
      </c>
      <c r="E7" s="8" t="inlineStr">
        <is>
          <t>Region VI (Western Visayas)</t>
        </is>
      </c>
      <c r="F7" s="7" t="n"/>
      <c r="G7" s="27" t="n">
        <v>44612</v>
      </c>
      <c r="H7" s="7" t="n">
        <v>70</v>
      </c>
      <c r="I7" s="7" t="inlineStr">
        <is>
          <t>F</t>
        </is>
      </c>
      <c r="J7" s="8" t="inlineStr">
        <is>
          <t>Admitted</t>
        </is>
      </c>
      <c r="K7" s="28" t="n"/>
      <c r="L7" s="28" t="n"/>
      <c r="M7" s="28" t="n"/>
      <c r="N7" s="28" t="n"/>
      <c r="O7" s="8" t="n"/>
      <c r="P7" s="8" t="n"/>
    </row>
    <row r="8">
      <c r="A8" s="8" t="inlineStr">
        <is>
          <t>PGCV_0299</t>
        </is>
      </c>
      <c r="B8" s="8" t="inlineStr">
        <is>
          <t>COVID-SNL-22-24203</t>
        </is>
      </c>
      <c r="C8" s="8" t="inlineStr">
        <is>
          <t>WESTERN VISAYAS MEDICAL CENTER</t>
        </is>
      </c>
      <c r="D8" s="7" t="n">
        <v>6</v>
      </c>
      <c r="E8" s="8" t="inlineStr">
        <is>
          <t>Region VI (Western Visayas)</t>
        </is>
      </c>
      <c r="F8" s="7" t="n"/>
      <c r="G8" s="27" t="n">
        <v>44613</v>
      </c>
      <c r="H8" s="7" t="n">
        <v>60</v>
      </c>
      <c r="I8" s="7" t="inlineStr">
        <is>
          <t>F</t>
        </is>
      </c>
      <c r="J8" s="8" t="inlineStr">
        <is>
          <t>Admitted</t>
        </is>
      </c>
      <c r="K8" s="28" t="n"/>
      <c r="L8" s="28" t="n"/>
      <c r="M8" s="28" t="n"/>
      <c r="N8" s="28" t="n"/>
      <c r="O8" s="8" t="n"/>
      <c r="P8" s="8" t="n"/>
    </row>
    <row r="9">
      <c r="A9" s="8" t="inlineStr">
        <is>
          <t>PGCV_0300</t>
        </is>
      </c>
      <c r="B9" s="8" t="inlineStr">
        <is>
          <t>COVID-SNL-22-24299</t>
        </is>
      </c>
      <c r="C9" s="8" t="inlineStr">
        <is>
          <t>WESTERN VISAYAS MEDICAL CENTER</t>
        </is>
      </c>
      <c r="D9" s="7" t="n">
        <v>6</v>
      </c>
      <c r="E9" s="8" t="inlineStr">
        <is>
          <t>Region VI (Western Visayas)</t>
        </is>
      </c>
      <c r="F9" s="7" t="n"/>
      <c r="G9" s="27" t="n">
        <v>44613</v>
      </c>
      <c r="H9" s="7" t="n">
        <v>19</v>
      </c>
      <c r="I9" s="7" t="inlineStr">
        <is>
          <t>F</t>
        </is>
      </c>
      <c r="J9" s="8" t="inlineStr">
        <is>
          <t>Cluster</t>
        </is>
      </c>
      <c r="K9" s="28" t="n"/>
      <c r="L9" s="28" t="n"/>
      <c r="M9" s="28" t="n"/>
      <c r="N9" s="28" t="n"/>
      <c r="O9" s="8" t="n"/>
      <c r="P9" s="8" t="n"/>
    </row>
    <row r="10">
      <c r="A10" s="8" t="inlineStr">
        <is>
          <t>PGCV_0307</t>
        </is>
      </c>
      <c r="B10" s="8" t="inlineStr">
        <is>
          <t>COVID-SNL-22-24686</t>
        </is>
      </c>
      <c r="C10" s="8" t="inlineStr">
        <is>
          <t>WESTERN VISAYAS MEDICAL CENTER</t>
        </is>
      </c>
      <c r="D10" s="7" t="n">
        <v>6</v>
      </c>
      <c r="E10" s="8" t="inlineStr">
        <is>
          <t>Region VI (Western Visayas)</t>
        </is>
      </c>
      <c r="F10" s="7" t="n"/>
      <c r="G10" s="27" t="n">
        <v>44614</v>
      </c>
      <c r="H10" s="7" t="n">
        <v>26</v>
      </c>
      <c r="I10" s="7" t="inlineStr">
        <is>
          <t>M</t>
        </is>
      </c>
      <c r="J10" s="8" t="inlineStr">
        <is>
          <t>Admitted</t>
        </is>
      </c>
      <c r="K10" s="28" t="n"/>
      <c r="L10" s="28" t="n"/>
      <c r="M10" s="28" t="n"/>
      <c r="N10" s="28" t="n"/>
      <c r="O10" s="8" t="n"/>
      <c r="P10" s="8" t="n"/>
    </row>
    <row r="11">
      <c r="A11" s="8" t="inlineStr">
        <is>
          <t>PGCV_0312</t>
        </is>
      </c>
      <c r="B11" s="8" t="inlineStr">
        <is>
          <t>COVID-SNL-22-24819</t>
        </is>
      </c>
      <c r="C11" s="8" t="inlineStr">
        <is>
          <t>BALASAN RURAL HEALTH UNIT</t>
        </is>
      </c>
      <c r="D11" s="7" t="n">
        <v>6</v>
      </c>
      <c r="E11" s="8" t="inlineStr">
        <is>
          <t>Region VI (Western Visayas)</t>
        </is>
      </c>
      <c r="F11" s="7" t="n"/>
      <c r="G11" s="27" t="n">
        <v>44614</v>
      </c>
      <c r="H11" s="7" t="n">
        <v>37</v>
      </c>
      <c r="I11" s="7" t="inlineStr">
        <is>
          <t>F</t>
        </is>
      </c>
      <c r="J11" s="8" t="inlineStr">
        <is>
          <t>Cluster</t>
        </is>
      </c>
      <c r="K11" s="28" t="n"/>
      <c r="L11" s="28" t="n"/>
      <c r="M11" s="28" t="n"/>
      <c r="N11" s="28" t="n"/>
      <c r="O11" s="8" t="n"/>
      <c r="P11" s="8" t="n"/>
    </row>
    <row r="12">
      <c r="A12" s="8" t="inlineStr">
        <is>
          <t>PGCV_0315</t>
        </is>
      </c>
      <c r="B12" s="8" t="inlineStr">
        <is>
          <t>COVID-SNL-22-25227</t>
        </is>
      </c>
      <c r="C12" s="8" t="inlineStr">
        <is>
          <t>IVISAN RURAL HEALTH UNIT</t>
        </is>
      </c>
      <c r="D12" s="7" t="n">
        <v>6</v>
      </c>
      <c r="E12" s="8" t="inlineStr">
        <is>
          <t>Region VI (Western Visayas)</t>
        </is>
      </c>
      <c r="F12" s="7" t="n"/>
      <c r="G12" s="27" t="n">
        <v>44615</v>
      </c>
      <c r="H12" s="7" t="n">
        <v>60</v>
      </c>
      <c r="I12" s="7" t="inlineStr">
        <is>
          <t>M</t>
        </is>
      </c>
      <c r="J12" s="8" t="inlineStr">
        <is>
          <t>Cluster</t>
        </is>
      </c>
      <c r="K12" s="28" t="n"/>
      <c r="L12" s="28" t="n"/>
      <c r="M12" s="28" t="n"/>
      <c r="N12" s="28" t="n"/>
      <c r="O12" s="8" t="n"/>
      <c r="P12" s="8" t="n"/>
    </row>
    <row r="13">
      <c r="A13" s="8" t="inlineStr">
        <is>
          <t>PGCV_0318</t>
        </is>
      </c>
      <c r="B13" s="8" t="inlineStr">
        <is>
          <t>COVID-SNL-22-25199</t>
        </is>
      </c>
      <c r="C13" s="8" t="inlineStr">
        <is>
          <t>WESTERN VISAYAS MEDICAL CENTER</t>
        </is>
      </c>
      <c r="D13" s="7" t="n">
        <v>6</v>
      </c>
      <c r="E13" s="8" t="inlineStr">
        <is>
          <t>Region VI (Western Visayas)</t>
        </is>
      </c>
      <c r="F13" s="7" t="n"/>
      <c r="G13" s="27" t="n">
        <v>44615</v>
      </c>
      <c r="H13" s="7" t="n">
        <v>17</v>
      </c>
      <c r="I13" s="7" t="inlineStr">
        <is>
          <t>M</t>
        </is>
      </c>
      <c r="J13" s="8" t="inlineStr">
        <is>
          <t>Admitted</t>
        </is>
      </c>
      <c r="K13" s="28" t="n"/>
      <c r="L13" s="28" t="n"/>
      <c r="M13" s="28" t="n"/>
      <c r="N13" s="28" t="n"/>
      <c r="O13" s="8" t="n"/>
      <c r="P13" s="8" t="n"/>
    </row>
    <row r="14">
      <c r="A14" s="8" t="inlineStr">
        <is>
          <t>PGCV_0321</t>
        </is>
      </c>
      <c r="B14" s="8" t="inlineStr">
        <is>
          <t>COVID-SNL-22-25688</t>
        </is>
      </c>
      <c r="C14" s="8" t="inlineStr">
        <is>
          <t>WESTERN VISAYAS MEDICAL CENTER</t>
        </is>
      </c>
      <c r="D14" s="7" t="n">
        <v>6</v>
      </c>
      <c r="E14" s="8" t="inlineStr">
        <is>
          <t>Region VI (Western Visayas)</t>
        </is>
      </c>
      <c r="F14" s="7" t="n"/>
      <c r="G14" s="27" t="n">
        <v>44616</v>
      </c>
      <c r="H14" s="7" t="n">
        <v>60</v>
      </c>
      <c r="I14" s="7" t="inlineStr">
        <is>
          <t>M</t>
        </is>
      </c>
      <c r="J14" s="8" t="inlineStr">
        <is>
          <t>Admitted</t>
        </is>
      </c>
      <c r="K14" s="28" t="n"/>
      <c r="L14" s="28" t="n"/>
      <c r="M14" s="28" t="n"/>
      <c r="N14" s="28" t="n"/>
      <c r="O14" s="8" t="n"/>
      <c r="P14" s="8" t="n"/>
    </row>
    <row r="15">
      <c r="A15" s="8" t="inlineStr">
        <is>
          <t>PGCV_0342</t>
        </is>
      </c>
      <c r="B15" s="8" t="inlineStr">
        <is>
          <t>COVID-SNL-22-27034</t>
        </is>
      </c>
      <c r="C15" s="8" t="inlineStr">
        <is>
          <t>WESTERN VISAYAS MEDICAL CENTER</t>
        </is>
      </c>
      <c r="D15" s="7" t="n">
        <v>6</v>
      </c>
      <c r="E15" s="8" t="inlineStr">
        <is>
          <t>Region VI (Western Visayas)</t>
        </is>
      </c>
      <c r="F15" s="7" t="n"/>
      <c r="G15" s="27" t="n">
        <v>44616</v>
      </c>
      <c r="H15" s="7" t="n">
        <v>35</v>
      </c>
      <c r="I15" s="7" t="inlineStr">
        <is>
          <t>M</t>
        </is>
      </c>
      <c r="J15" s="8" t="inlineStr">
        <is>
          <t>Admitted</t>
        </is>
      </c>
      <c r="K15" s="28" t="n"/>
      <c r="L15" s="28" t="n"/>
      <c r="M15" s="28" t="n"/>
      <c r="N15" s="28" t="n"/>
      <c r="O15" s="8" t="n"/>
      <c r="P15" s="8" t="n"/>
    </row>
    <row r="16">
      <c r="A16" s="8" t="inlineStr">
        <is>
          <t>PGCV_0008_0349</t>
        </is>
      </c>
      <c r="B16" s="8" t="inlineStr">
        <is>
          <t>COVID-SNL-22-27431</t>
        </is>
      </c>
      <c r="C16" s="8" t="inlineStr">
        <is>
          <t>DR. CATALINO GALLEGO NAVA PROVINCIAL HOSPITAL</t>
        </is>
      </c>
      <c r="D16" s="7" t="n">
        <v>6</v>
      </c>
      <c r="E16" s="8" t="inlineStr">
        <is>
          <t>Region VI (Western Visayas)</t>
        </is>
      </c>
      <c r="F16" s="7" t="inlineStr">
        <is>
          <t>5</t>
        </is>
      </c>
      <c r="G16" s="27" t="n"/>
      <c r="H16" s="7" t="n">
        <v>30</v>
      </c>
      <c r="I16" s="7" t="inlineStr">
        <is>
          <t>M</t>
        </is>
      </c>
      <c r="J16" s="8" t="inlineStr">
        <is>
          <t>Cluster</t>
        </is>
      </c>
      <c r="K16" s="28" t="n"/>
      <c r="L16" s="28" t="n"/>
      <c r="M16" s="28" t="n"/>
      <c r="N16" s="28" t="n"/>
      <c r="O16" s="8" t="n"/>
      <c r="P16" s="8" t="n"/>
    </row>
    <row r="17">
      <c r="A17" s="8" t="inlineStr">
        <is>
          <t>PGCV_0008_0365</t>
        </is>
      </c>
      <c r="B17" s="8" t="inlineStr">
        <is>
          <t>COVID-SNL-22-29070</t>
        </is>
      </c>
      <c r="C17" s="8" t="inlineStr">
        <is>
          <t>WESTERN VISAYAS MEDICAL CENTER</t>
        </is>
      </c>
      <c r="D17" s="7" t="n">
        <v>6</v>
      </c>
      <c r="E17" s="8" t="inlineStr">
        <is>
          <t>Region VI (Western Visayas)</t>
        </is>
      </c>
      <c r="F17" s="7" t="inlineStr">
        <is>
          <t>5</t>
        </is>
      </c>
      <c r="G17" s="27" t="n"/>
      <c r="H17" s="7" t="n">
        <v>73</v>
      </c>
      <c r="I17" s="7" t="inlineStr">
        <is>
          <t>F</t>
        </is>
      </c>
      <c r="J17" s="8" t="inlineStr">
        <is>
          <t>Admitted</t>
        </is>
      </c>
      <c r="K17" s="28" t="n"/>
      <c r="L17" s="28" t="n"/>
      <c r="M17" s="28" t="n"/>
      <c r="N17" s="28" t="n"/>
      <c r="O17" s="8" t="n"/>
      <c r="P17" s="8" t="n"/>
    </row>
    <row r="18">
      <c r="A18" s="8" t="inlineStr">
        <is>
          <t>PGCV_0008_0368</t>
        </is>
      </c>
      <c r="B18" s="8" t="inlineStr">
        <is>
          <t>COVID-SNL-22-29530</t>
        </is>
      </c>
      <c r="C18" s="8" t="inlineStr">
        <is>
          <t>WESTERN VISAYAS MEDICAL CENTER</t>
        </is>
      </c>
      <c r="D18" s="7" t="n">
        <v>6</v>
      </c>
      <c r="E18" s="8" t="inlineStr">
        <is>
          <t>Region VI (Western Visayas)</t>
        </is>
      </c>
      <c r="F18" s="7" t="inlineStr">
        <is>
          <t>5</t>
        </is>
      </c>
      <c r="G18" s="27" t="n"/>
      <c r="H18" s="7" t="n">
        <v>30</v>
      </c>
      <c r="I18" s="7" t="inlineStr">
        <is>
          <t>F</t>
        </is>
      </c>
      <c r="J18" s="8" t="inlineStr">
        <is>
          <t>Cluster</t>
        </is>
      </c>
      <c r="K18" s="28" t="n"/>
      <c r="L18" s="28" t="n"/>
      <c r="M18" s="28" t="n"/>
      <c r="N18" s="28" t="n"/>
      <c r="O18" s="8" t="n"/>
      <c r="P18" s="8" t="n"/>
    </row>
    <row r="19">
      <c r="A19" s="8" t="inlineStr">
        <is>
          <t>PGCV_0009_0381</t>
        </is>
      </c>
      <c r="B19" s="8" t="inlineStr">
        <is>
          <t>COVID-SNL-22-30407</t>
        </is>
      </c>
      <c r="C19" s="8" t="inlineStr">
        <is>
          <t>BUENAVISTA EMERGENCY HOSPITAL</t>
        </is>
      </c>
      <c r="D19" s="7" t="n">
        <v>6</v>
      </c>
      <c r="E19" s="8" t="inlineStr">
        <is>
          <t>Region VI (Western Visayas)</t>
        </is>
      </c>
      <c r="F19" s="7" t="inlineStr">
        <is>
          <t>6</t>
        </is>
      </c>
      <c r="G19" s="27" t="n">
        <v>44630</v>
      </c>
      <c r="H19" s="7" t="n">
        <v>67</v>
      </c>
      <c r="I19" s="7" t="inlineStr">
        <is>
          <t>F</t>
        </is>
      </c>
      <c r="J19" s="8" t="inlineStr">
        <is>
          <t>Cluster</t>
        </is>
      </c>
      <c r="K19" s="28" t="n"/>
      <c r="L19" s="28" t="n"/>
      <c r="M19" s="28" t="n"/>
      <c r="N19" s="28" t="n"/>
      <c r="O19" s="8" t="n"/>
      <c r="P19" s="8" t="n"/>
    </row>
    <row r="20">
      <c r="A20" s="8" t="inlineStr">
        <is>
          <t>PGCV_0009_0385</t>
        </is>
      </c>
      <c r="B20" s="8" t="inlineStr">
        <is>
          <t>COVID-SNL-22-30873</t>
        </is>
      </c>
      <c r="C20" s="8" t="inlineStr">
        <is>
          <t>BUENAVISTA RURAL HEALTH UNIT</t>
        </is>
      </c>
      <c r="D20" s="7" t="n">
        <v>6</v>
      </c>
      <c r="E20" s="8" t="inlineStr">
        <is>
          <t>Region VI (Western Visayas)</t>
        </is>
      </c>
      <c r="F20" s="7" t="inlineStr">
        <is>
          <t>6</t>
        </is>
      </c>
      <c r="G20" s="27" t="n">
        <v>44631</v>
      </c>
      <c r="H20" s="7" t="n">
        <v>58</v>
      </c>
      <c r="I20" s="7" t="inlineStr">
        <is>
          <t>F</t>
        </is>
      </c>
      <c r="J20" s="8" t="inlineStr">
        <is>
          <t>Cluster</t>
        </is>
      </c>
      <c r="K20" s="28" t="n"/>
      <c r="L20" s="28" t="n"/>
      <c r="M20" s="28" t="n"/>
      <c r="N20" s="28" t="n"/>
      <c r="O20" s="8" t="n"/>
      <c r="P20" s="8" t="n"/>
    </row>
    <row r="21">
      <c r="A21" s="8" t="inlineStr">
        <is>
          <t>PGCV_0009_0386</t>
        </is>
      </c>
      <c r="B21" s="8" t="inlineStr">
        <is>
          <t>COVID-SNL-22-30877</t>
        </is>
      </c>
      <c r="C21" s="8" t="inlineStr">
        <is>
          <t>DR. CATALINO GALLEGO NAVA PROVINCIAL HOSPITAL</t>
        </is>
      </c>
      <c r="D21" s="7" t="n">
        <v>6</v>
      </c>
      <c r="E21" s="8" t="inlineStr">
        <is>
          <t>Region VI (Western Visayas)</t>
        </is>
      </c>
      <c r="F21" s="7" t="inlineStr">
        <is>
          <t>6</t>
        </is>
      </c>
      <c r="G21" s="27" t="n">
        <v>44631</v>
      </c>
      <c r="H21" s="7" t="n">
        <v>53</v>
      </c>
      <c r="I21" s="7" t="inlineStr">
        <is>
          <t>M</t>
        </is>
      </c>
      <c r="J21" s="8" t="inlineStr">
        <is>
          <t>Admitted</t>
        </is>
      </c>
      <c r="K21" s="28" t="n"/>
      <c r="L21" s="28" t="n"/>
      <c r="M21" s="28" t="n"/>
      <c r="N21" s="28" t="n"/>
      <c r="O21" s="8" t="n"/>
      <c r="P21" s="8" t="n"/>
    </row>
    <row r="22">
      <c r="A22" s="8" t="inlineStr">
        <is>
          <t>PGCV_0009_0387</t>
        </is>
      </c>
      <c r="B22" s="8" t="inlineStr">
        <is>
          <t>COVID-SNL-22-30878</t>
        </is>
      </c>
      <c r="C22" s="8" t="inlineStr">
        <is>
          <t>DR. CATALINO GALLEGO NAVA PROVINCIAL HOSPITAL</t>
        </is>
      </c>
      <c r="D22" s="7" t="n">
        <v>6</v>
      </c>
      <c r="E22" s="8" t="inlineStr">
        <is>
          <t>Region VI (Western Visayas)</t>
        </is>
      </c>
      <c r="F22" s="7" t="inlineStr">
        <is>
          <t>6</t>
        </is>
      </c>
      <c r="G22" s="27" t="n">
        <v>44631</v>
      </c>
      <c r="H22" s="7" t="n">
        <v>51</v>
      </c>
      <c r="I22" s="7" t="inlineStr">
        <is>
          <t>F</t>
        </is>
      </c>
      <c r="J22" s="8" t="inlineStr">
        <is>
          <t>Cluster</t>
        </is>
      </c>
      <c r="K22" s="28" t="n"/>
      <c r="L22" s="28" t="n"/>
      <c r="M22" s="28" t="n"/>
      <c r="N22" s="28" t="n"/>
      <c r="O22" s="8" t="n"/>
      <c r="P22" s="8" t="n"/>
    </row>
    <row r="23">
      <c r="A23" s="8" t="inlineStr">
        <is>
          <t>PGCV_0009_0389</t>
        </is>
      </c>
      <c r="B23" s="8" t="inlineStr">
        <is>
          <t>COVID-SNL-22-30880</t>
        </is>
      </c>
      <c r="C23" s="8" t="inlineStr">
        <is>
          <t>DR. CATALINO GALLEGO NAVA PROVINCIAL HOSPITAL</t>
        </is>
      </c>
      <c r="D23" s="7" t="n">
        <v>6</v>
      </c>
      <c r="E23" s="8" t="inlineStr">
        <is>
          <t>Region VI (Western Visayas)</t>
        </is>
      </c>
      <c r="F23" s="7" t="inlineStr">
        <is>
          <t>6</t>
        </is>
      </c>
      <c r="G23" s="27" t="n">
        <v>44631</v>
      </c>
      <c r="H23" s="7" t="n">
        <v>23</v>
      </c>
      <c r="I23" s="7" t="inlineStr">
        <is>
          <t>M</t>
        </is>
      </c>
      <c r="J23" s="8" t="inlineStr">
        <is>
          <t>Cluster</t>
        </is>
      </c>
      <c r="K23" s="28" t="n"/>
      <c r="L23" s="28" t="n"/>
      <c r="M23" s="28" t="n"/>
      <c r="N23" s="28" t="n"/>
      <c r="O23" s="8" t="n"/>
      <c r="P23" s="8" t="n"/>
    </row>
    <row r="24">
      <c r="A24" s="8" t="inlineStr">
        <is>
          <t>PGCV_0010_0394</t>
        </is>
      </c>
      <c r="B24" s="8" t="inlineStr">
        <is>
          <t>COVID-SNL-22-32160</t>
        </is>
      </c>
      <c r="C24" s="8" t="inlineStr">
        <is>
          <t>BJMP-PANAY ISOLATION FACILITY</t>
        </is>
      </c>
      <c r="D24" s="7" t="n">
        <v>6</v>
      </c>
      <c r="E24" s="8" t="inlineStr">
        <is>
          <t>Region VI (Western Visayas)</t>
        </is>
      </c>
      <c r="F24" s="7" t="inlineStr">
        <is>
          <t>7</t>
        </is>
      </c>
      <c r="G24" s="27" t="n">
        <v>44635</v>
      </c>
      <c r="H24" s="7" t="n">
        <v>25</v>
      </c>
      <c r="I24" s="7" t="inlineStr">
        <is>
          <t>F</t>
        </is>
      </c>
      <c r="J24" s="8" t="inlineStr">
        <is>
          <t>Admitted</t>
        </is>
      </c>
      <c r="K24" s="28" t="n"/>
      <c r="L24" s="28" t="n"/>
      <c r="M24" s="28" t="n"/>
      <c r="N24" s="28" t="n"/>
      <c r="O24" s="8" t="n"/>
      <c r="P24" s="8" t="n"/>
    </row>
    <row r="25">
      <c r="A25" s="8" t="inlineStr">
        <is>
          <t>PGCV_0010_0395</t>
        </is>
      </c>
      <c r="B25" s="8" t="inlineStr">
        <is>
          <t>COVID-SNL-22-32220</t>
        </is>
      </c>
      <c r="C25" s="8" t="inlineStr">
        <is>
          <t>WESTERN VISAYAS MEDICAL CENTER</t>
        </is>
      </c>
      <c r="D25" s="7" t="n">
        <v>6</v>
      </c>
      <c r="E25" s="8" t="inlineStr">
        <is>
          <t>Region VI (Western Visayas)</t>
        </is>
      </c>
      <c r="F25" s="7" t="inlineStr">
        <is>
          <t>7</t>
        </is>
      </c>
      <c r="G25" s="27" t="n">
        <v>44636</v>
      </c>
      <c r="H25" s="7" t="n">
        <v>32</v>
      </c>
      <c r="I25" s="7" t="inlineStr">
        <is>
          <t>F</t>
        </is>
      </c>
      <c r="J25" s="8" t="inlineStr">
        <is>
          <t>Cluster</t>
        </is>
      </c>
      <c r="K25" s="28" t="n"/>
      <c r="L25" s="28" t="n"/>
      <c r="M25" s="28" t="n"/>
      <c r="N25" s="28" t="n"/>
      <c r="O25" s="8" t="n"/>
      <c r="P25" s="8" t="n"/>
    </row>
    <row r="26">
      <c r="A26" s="8" t="inlineStr">
        <is>
          <t>PGCV_0010_0396</t>
        </is>
      </c>
      <c r="B26" s="8" t="inlineStr">
        <is>
          <t>COVID-SNL-22-32605</t>
        </is>
      </c>
      <c r="C26" s="8" t="inlineStr">
        <is>
          <t>WESTERN VISAYAS MEDICAL CENTER</t>
        </is>
      </c>
      <c r="D26" s="7" t="n">
        <v>6</v>
      </c>
      <c r="E26" s="8" t="inlineStr">
        <is>
          <t>Region VI (Western Visayas)</t>
        </is>
      </c>
      <c r="F26" s="7" t="inlineStr">
        <is>
          <t>7</t>
        </is>
      </c>
      <c r="G26" s="27" t="n">
        <v>44637</v>
      </c>
      <c r="H26" s="7" t="n">
        <v>59</v>
      </c>
      <c r="I26" s="7" t="inlineStr">
        <is>
          <t>M</t>
        </is>
      </c>
      <c r="J26" s="8" t="inlineStr">
        <is>
          <t>Admitted</t>
        </is>
      </c>
      <c r="K26" s="28" t="n"/>
      <c r="L26" s="28" t="n"/>
      <c r="M26" s="28" t="n"/>
      <c r="N26" s="28" t="n"/>
      <c r="O26" s="8" t="n"/>
      <c r="P26" s="8" t="n"/>
    </row>
    <row r="27">
      <c r="A27" s="12" t="inlineStr">
        <is>
          <t>PGCV_0011_0410</t>
        </is>
      </c>
      <c r="B27" s="12" t="inlineStr">
        <is>
          <t>COVID-SNL-22-34325</t>
        </is>
      </c>
      <c r="C27" s="12" t="inlineStr">
        <is>
          <t>REP. PEDRO G. TRONO MEMORIAL HOSPITAL</t>
        </is>
      </c>
      <c r="D27" s="11" t="n">
        <v>6</v>
      </c>
      <c r="E27" s="12" t="inlineStr">
        <is>
          <t>Region VI (Western Visayas)</t>
        </is>
      </c>
      <c r="F27" s="11" t="inlineStr">
        <is>
          <t>9/8</t>
        </is>
      </c>
      <c r="G27" s="29" t="n">
        <v>44642</v>
      </c>
      <c r="H27" s="11" t="n">
        <v>36</v>
      </c>
      <c r="I27" s="11" t="inlineStr">
        <is>
          <t>F</t>
        </is>
      </c>
      <c r="J27" s="12" t="inlineStr">
        <is>
          <t>Admitted</t>
        </is>
      </c>
      <c r="K27" s="30" t="n"/>
      <c r="L27" s="30" t="n"/>
      <c r="M27" s="30" t="n"/>
      <c r="N27" s="30" t="n"/>
      <c r="O27" s="12" t="n"/>
      <c r="P27" s="12" t="inlineStr">
        <is>
          <t>extraction number auto-converted to the date 2025-09-08 - likely "8/9"</t>
        </is>
      </c>
    </row>
    <row r="28">
      <c r="A28" s="12" t="inlineStr">
        <is>
          <t>PGCV_0011_0411</t>
        </is>
      </c>
      <c r="B28" s="12" t="inlineStr">
        <is>
          <t>COVID-SNL-22-34944</t>
        </is>
      </c>
      <c r="C28" s="12" t="inlineStr">
        <is>
          <t>ILOILO DOCTOR'S HOSPITAL, INC.</t>
        </is>
      </c>
      <c r="D28" s="11" t="n">
        <v>6</v>
      </c>
      <c r="E28" s="12" t="inlineStr">
        <is>
          <t>Region VI (Western Visayas)</t>
        </is>
      </c>
      <c r="F28" s="11" t="inlineStr">
        <is>
          <t>9/8</t>
        </is>
      </c>
      <c r="G28" s="29" t="n">
        <v>44644</v>
      </c>
      <c r="H28" s="11" t="n">
        <v>25</v>
      </c>
      <c r="I28" s="11" t="inlineStr">
        <is>
          <t>M</t>
        </is>
      </c>
      <c r="J28" s="12" t="inlineStr">
        <is>
          <t>Cluster</t>
        </is>
      </c>
      <c r="K28" s="30" t="n"/>
      <c r="L28" s="30" t="n"/>
      <c r="M28" s="30" t="n"/>
      <c r="N28" s="30" t="n"/>
      <c r="O28" s="12" t="n"/>
      <c r="P28" s="12" t="inlineStr">
        <is>
          <t>extraction number auto-converted to the date 2025-09-08 - likely "8/9"</t>
        </is>
      </c>
    </row>
    <row r="29">
      <c r="A29" s="8" t="inlineStr">
        <is>
          <t>PGCV_0012_0422</t>
        </is>
      </c>
      <c r="B29" s="8" t="inlineStr">
        <is>
          <t>COVID-SNL-22-41655</t>
        </is>
      </c>
      <c r="C29" s="8" t="inlineStr">
        <is>
          <t>WESTERN VISAYAS MEDICAL CENTER</t>
        </is>
      </c>
      <c r="D29" s="7" t="n">
        <v>6</v>
      </c>
      <c r="E29" s="8" t="inlineStr">
        <is>
          <t>Region VI (Western Visayas)</t>
        </is>
      </c>
      <c r="F29" s="7" t="inlineStr">
        <is>
          <t>10</t>
        </is>
      </c>
      <c r="G29" s="27" t="n">
        <v>44665</v>
      </c>
      <c r="H29" s="7" t="n">
        <v>0</v>
      </c>
      <c r="I29" s="7" t="inlineStr">
        <is>
          <t>M</t>
        </is>
      </c>
      <c r="J29" s="8" t="inlineStr">
        <is>
          <t>Admitted</t>
        </is>
      </c>
      <c r="K29" s="28" t="n"/>
      <c r="L29" s="28" t="n"/>
      <c r="M29" s="28" t="n"/>
      <c r="N29" s="28" t="n"/>
      <c r="O29" s="8" t="n"/>
      <c r="P29" s="8" t="n"/>
    </row>
    <row r="30">
      <c r="A30" s="12" t="inlineStr">
        <is>
          <t>PGCV_0014_0435</t>
        </is>
      </c>
      <c r="B30" s="12" t="inlineStr">
        <is>
          <t>COVID-SNL-22-45460</t>
        </is>
      </c>
      <c r="C30" s="12" t="inlineStr">
        <is>
          <t>METRO ILOILO HOSPITAL AND MEDICAL CENTER</t>
        </is>
      </c>
      <c r="D30" s="11" t="n">
        <v>6</v>
      </c>
      <c r="E30" s="12" t="inlineStr">
        <is>
          <t>Region VI (Western Visayas)</t>
        </is>
      </c>
      <c r="F30" s="11" t="inlineStr">
        <is>
          <t>12</t>
        </is>
      </c>
      <c r="G30" s="29" t="n">
        <v>44678</v>
      </c>
      <c r="H30" s="11" t="n">
        <v>28</v>
      </c>
      <c r="I30" s="11" t="inlineStr">
        <is>
          <t>M</t>
        </is>
      </c>
      <c r="J30" s="12" t="inlineStr">
        <is>
          <t>Admitted</t>
        </is>
      </c>
      <c r="K30" s="30" t="n"/>
      <c r="L30" s="30" t="n"/>
      <c r="M30" s="30" t="n"/>
      <c r="N30" s="30" t="n"/>
      <c r="O30" s="12" t="n"/>
      <c r="P30" s="12" t="inlineStr">
        <is>
          <t>criteria recorded as "Admitted*" - meaning of the asterisk unknown</t>
        </is>
      </c>
    </row>
    <row r="31">
      <c r="A31" s="8" t="inlineStr">
        <is>
          <t>PGCV_0014_0436</t>
        </is>
      </c>
      <c r="B31" s="8" t="inlineStr">
        <is>
          <t>COVID-SNL-22-46029</t>
        </is>
      </c>
      <c r="C31" s="8" t="inlineStr">
        <is>
          <t>WESTERN VISAYAS SANITARIUM</t>
        </is>
      </c>
      <c r="D31" s="7" t="n">
        <v>6</v>
      </c>
      <c r="E31" s="8" t="inlineStr">
        <is>
          <t>Region VI (Western Visayas)</t>
        </is>
      </c>
      <c r="F31" s="7" t="inlineStr">
        <is>
          <t>12</t>
        </is>
      </c>
      <c r="G31" s="27" t="n">
        <v>44680</v>
      </c>
      <c r="H31" s="7" t="n">
        <v>35</v>
      </c>
      <c r="I31" s="7" t="inlineStr">
        <is>
          <t>F</t>
        </is>
      </c>
      <c r="J31" s="8" t="inlineStr">
        <is>
          <t>Cluster</t>
        </is>
      </c>
      <c r="K31" s="28" t="n"/>
      <c r="L31" s="28" t="n"/>
      <c r="M31" s="28" t="n"/>
      <c r="N31" s="28" t="n"/>
      <c r="O31" s="8" t="n"/>
      <c r="P31" s="8" t="n"/>
    </row>
    <row r="32">
      <c r="A32" s="8" t="inlineStr">
        <is>
          <t>PGCV_0015_0442</t>
        </is>
      </c>
      <c r="B32" s="8" t="inlineStr">
        <is>
          <t>COVID-SNL-22-48928</t>
        </is>
      </c>
      <c r="C32" s="8" t="inlineStr">
        <is>
          <t>ST. PAUL'S HOSPITAL OF ILOILO</t>
        </is>
      </c>
      <c r="D32" s="7" t="n">
        <v>6</v>
      </c>
      <c r="E32" s="8" t="inlineStr">
        <is>
          <t>Region VI (Western Visayas)</t>
        </is>
      </c>
      <c r="F32" s="7" t="n"/>
      <c r="G32" s="27" t="n">
        <v>44691</v>
      </c>
      <c r="H32" s="7" t="n">
        <v>72</v>
      </c>
      <c r="I32" s="7" t="inlineStr">
        <is>
          <t>M</t>
        </is>
      </c>
      <c r="J32" s="8" t="inlineStr">
        <is>
          <t>Cluster</t>
        </is>
      </c>
      <c r="K32" s="28" t="n"/>
      <c r="L32" s="28" t="n"/>
      <c r="M32" s="28" t="n"/>
      <c r="N32" s="28" t="n"/>
      <c r="O32" s="8" t="n"/>
      <c r="P32" s="8" t="n"/>
    </row>
    <row r="33">
      <c r="A33" s="8" t="inlineStr">
        <is>
          <t>PGCV_0015_0443</t>
        </is>
      </c>
      <c r="B33" s="8" t="inlineStr">
        <is>
          <t>COVID-SNL-22-49701</t>
        </is>
      </c>
      <c r="C33" s="8" t="inlineStr">
        <is>
          <t>WESTERN VISAYAS MEDICAL CENTER</t>
        </is>
      </c>
      <c r="D33" s="7" t="n">
        <v>6</v>
      </c>
      <c r="E33" s="8" t="inlineStr">
        <is>
          <t>Region VI (Western Visayas)</t>
        </is>
      </c>
      <c r="F33" s="7" t="n"/>
      <c r="G33" s="27" t="n">
        <v>44693</v>
      </c>
      <c r="H33" s="7" t="n">
        <v>38</v>
      </c>
      <c r="I33" s="7" t="inlineStr">
        <is>
          <t>M</t>
        </is>
      </c>
      <c r="J33" s="8" t="inlineStr">
        <is>
          <t>Admitted</t>
        </is>
      </c>
      <c r="K33" s="28" t="n"/>
      <c r="L33" s="28" t="n"/>
      <c r="M33" s="28" t="n"/>
      <c r="N33" s="28" t="n"/>
      <c r="O33" s="8" t="n"/>
      <c r="P33" s="8" t="n"/>
    </row>
    <row r="34">
      <c r="A34" s="8" t="inlineStr">
        <is>
          <t>PGCV_0015_0448</t>
        </is>
      </c>
      <c r="B34" s="8" t="inlineStr">
        <is>
          <t>MLAB172587</t>
        </is>
      </c>
      <c r="C34" s="8" t="inlineStr">
        <is>
          <t>METRO ILOILO HOSPITAL AND MEDICAL CENTER</t>
        </is>
      </c>
      <c r="D34" s="7" t="n">
        <v>6</v>
      </c>
      <c r="E34" s="8" t="inlineStr">
        <is>
          <t>Region VI (Western Visayas)</t>
        </is>
      </c>
      <c r="F34" s="7" t="n"/>
      <c r="G34" s="27" t="n">
        <v>44683</v>
      </c>
      <c r="H34" s="7" t="n">
        <v>14</v>
      </c>
      <c r="I34" s="7" t="inlineStr">
        <is>
          <t>M</t>
        </is>
      </c>
      <c r="J34" s="8" t="inlineStr">
        <is>
          <t>Cluster</t>
        </is>
      </c>
      <c r="K34" s="28" t="n"/>
      <c r="L34" s="28" t="n"/>
      <c r="M34" s="28" t="n"/>
      <c r="N34" s="28" t="n"/>
      <c r="O34" s="8" t="n"/>
      <c r="P34" s="8" t="n"/>
    </row>
    <row r="35">
      <c r="A35" s="8" t="inlineStr">
        <is>
          <t>PGCV_0015_0450</t>
        </is>
      </c>
      <c r="B35" s="8" t="inlineStr">
        <is>
          <t>MLAB173089</t>
        </is>
      </c>
      <c r="C35" s="8" t="inlineStr">
        <is>
          <t>METRO ILOILO HOSPITAL AND MEDICAL CENTER</t>
        </is>
      </c>
      <c r="D35" s="7" t="n">
        <v>6</v>
      </c>
      <c r="E35" s="8" t="inlineStr">
        <is>
          <t>Region VI (Western Visayas)</t>
        </is>
      </c>
      <c r="F35" s="7" t="n"/>
      <c r="G35" s="27" t="n">
        <v>44692</v>
      </c>
      <c r="H35" s="7" t="n">
        <v>65</v>
      </c>
      <c r="I35" s="7" t="inlineStr">
        <is>
          <t>F</t>
        </is>
      </c>
      <c r="J35" s="8" t="inlineStr">
        <is>
          <t>Returning Overseas Filipino</t>
        </is>
      </c>
      <c r="K35" s="28" t="n"/>
      <c r="L35" s="28" t="n"/>
      <c r="M35" s="28" t="n"/>
      <c r="N35" s="28" t="n"/>
      <c r="O35" s="8" t="n"/>
      <c r="P35" s="8" t="n"/>
    </row>
    <row r="36">
      <c r="A36" s="8" t="inlineStr">
        <is>
          <t>PGCV_0015_0451</t>
        </is>
      </c>
      <c r="B36" s="8" t="inlineStr">
        <is>
          <t>MLAB173090</t>
        </is>
      </c>
      <c r="C36" s="8" t="inlineStr">
        <is>
          <t>METRO ILOILO HOSPITAL AND MEDICAL CENTER</t>
        </is>
      </c>
      <c r="D36" s="7" t="n">
        <v>6</v>
      </c>
      <c r="E36" s="8" t="inlineStr">
        <is>
          <t>Region VI (Western Visayas)</t>
        </is>
      </c>
      <c r="F36" s="7" t="n"/>
      <c r="G36" s="27" t="n">
        <v>44692</v>
      </c>
      <c r="H36" s="7" t="n">
        <v>66</v>
      </c>
      <c r="I36" s="7" t="inlineStr">
        <is>
          <t>F</t>
        </is>
      </c>
      <c r="J36" s="8" t="inlineStr">
        <is>
          <t>Returning Overseas Filipino</t>
        </is>
      </c>
      <c r="K36" s="28" t="n"/>
      <c r="L36" s="28" t="n"/>
      <c r="M36" s="28" t="n"/>
      <c r="N36" s="28" t="n"/>
      <c r="O36" s="8" t="n"/>
      <c r="P36" s="8" t="n"/>
    </row>
    <row r="37">
      <c r="A37" s="8" t="inlineStr">
        <is>
          <t>PGCV_0016_0444</t>
        </is>
      </c>
      <c r="B37" s="8" t="inlineStr">
        <is>
          <t>COVID-SNL-22-49957</t>
        </is>
      </c>
      <c r="C37" s="8" t="inlineStr">
        <is>
          <t>GUIMBAL RURAL HEALTH UNIT</t>
        </is>
      </c>
      <c r="D37" s="7" t="n">
        <v>6</v>
      </c>
      <c r="E37" s="8" t="inlineStr">
        <is>
          <t>Region VI (Western Visayas)</t>
        </is>
      </c>
      <c r="F37" s="7" t="n"/>
      <c r="G37" s="27" t="n">
        <v>44694</v>
      </c>
      <c r="H37" s="7" t="n">
        <v>26</v>
      </c>
      <c r="I37" s="7" t="inlineStr">
        <is>
          <t>F</t>
        </is>
      </c>
      <c r="J37" s="8" t="inlineStr">
        <is>
          <t>Cluster</t>
        </is>
      </c>
      <c r="K37" s="28" t="n">
        <v>28.83</v>
      </c>
      <c r="L37" s="28" t="n"/>
      <c r="M37" s="28" t="n"/>
      <c r="N37" s="28" t="n"/>
      <c r="O37" s="8" t="n"/>
      <c r="P37" s="8" t="n"/>
    </row>
    <row r="38">
      <c r="A38" s="8" t="inlineStr">
        <is>
          <t>PGCV_0016_0445</t>
        </is>
      </c>
      <c r="B38" s="8" t="inlineStr">
        <is>
          <t>COVID-SNL-22-50135</t>
        </is>
      </c>
      <c r="C38" s="8" t="inlineStr">
        <is>
          <t>WESTERN VISAYAS MEDICAL CENTER</t>
        </is>
      </c>
      <c r="D38" s="7" t="n">
        <v>6</v>
      </c>
      <c r="E38" s="8" t="inlineStr">
        <is>
          <t>Region VI (Western Visayas)</t>
        </is>
      </c>
      <c r="F38" s="7" t="inlineStr">
        <is>
          <t>13</t>
        </is>
      </c>
      <c r="G38" s="27" t="n">
        <v>44695</v>
      </c>
      <c r="H38" s="7" t="n">
        <v>28</v>
      </c>
      <c r="I38" s="7" t="inlineStr">
        <is>
          <t>F</t>
        </is>
      </c>
      <c r="J38" s="8" t="inlineStr">
        <is>
          <t>Cluster</t>
        </is>
      </c>
      <c r="K38" s="28" t="n">
        <v>29.7</v>
      </c>
      <c r="L38" s="28" t="n"/>
      <c r="M38" s="28" t="n"/>
      <c r="N38" s="28" t="n"/>
      <c r="O38" s="8" t="n"/>
      <c r="P38" s="8" t="n"/>
    </row>
    <row r="39">
      <c r="A39" s="8" t="inlineStr">
        <is>
          <t>PGCV_0016_0448</t>
        </is>
      </c>
      <c r="B39" s="8" t="inlineStr">
        <is>
          <t>MLAB172587</t>
        </is>
      </c>
      <c r="C39" s="8" t="inlineStr">
        <is>
          <t>METRO ILOILO HOSPITAL AND MEDICAL CENTER</t>
        </is>
      </c>
      <c r="D39" s="7" t="n">
        <v>6</v>
      </c>
      <c r="E39" s="8" t="inlineStr">
        <is>
          <t>Region VI (Western Visayas)</t>
        </is>
      </c>
      <c r="F39" s="7" t="inlineStr">
        <is>
          <t>14</t>
        </is>
      </c>
      <c r="G39" s="27" t="n">
        <v>44683</v>
      </c>
      <c r="H39" s="7" t="n">
        <v>14</v>
      </c>
      <c r="I39" s="7" t="inlineStr">
        <is>
          <t>M</t>
        </is>
      </c>
      <c r="J39" s="8" t="inlineStr">
        <is>
          <t>Cluster</t>
        </is>
      </c>
      <c r="K39" s="28" t="n"/>
      <c r="L39" s="28" t="n">
        <v>15.31</v>
      </c>
      <c r="M39" s="28" t="n">
        <v>17.69</v>
      </c>
      <c r="N39" s="28" t="n"/>
      <c r="O39" s="8" t="n"/>
      <c r="P39" s="8" t="n"/>
    </row>
    <row r="40">
      <c r="A40" s="8" t="inlineStr">
        <is>
          <t>PGCV_0018_0452</t>
        </is>
      </c>
      <c r="B40" s="8" t="inlineStr">
        <is>
          <t>COVID-SNL-22-53959</t>
        </is>
      </c>
      <c r="C40" s="8" t="inlineStr">
        <is>
          <t>SEAMEN'S HOSPITAL ILOILO</t>
        </is>
      </c>
      <c r="D40" s="7" t="n">
        <v>6</v>
      </c>
      <c r="E40" s="8" t="inlineStr">
        <is>
          <t>Region VI (Western Visayas)</t>
        </is>
      </c>
      <c r="F40" s="7" t="inlineStr">
        <is>
          <t>14</t>
        </is>
      </c>
      <c r="G40" s="27" t="n">
        <v>44708</v>
      </c>
      <c r="H40" s="7" t="n">
        <v>50</v>
      </c>
      <c r="I40" s="7" t="inlineStr">
        <is>
          <t>F</t>
        </is>
      </c>
      <c r="J40" s="8" t="inlineStr">
        <is>
          <t>Cluster</t>
        </is>
      </c>
      <c r="K40" s="28" t="n">
        <v>16.5</v>
      </c>
      <c r="L40" s="28" t="n"/>
      <c r="M40" s="28" t="n"/>
      <c r="N40" s="28" t="n"/>
      <c r="O40" s="8" t="n"/>
      <c r="P40" s="8" t="n"/>
    </row>
    <row r="41">
      <c r="A41" s="8" t="inlineStr">
        <is>
          <t>PGCV_0018_0453</t>
        </is>
      </c>
      <c r="B41" s="8" t="inlineStr">
        <is>
          <t>661B107032</t>
        </is>
      </c>
      <c r="C41" s="8" t="inlineStr">
        <is>
          <t>CLMMRH-ML</t>
        </is>
      </c>
      <c r="D41" s="7" t="n">
        <v>6</v>
      </c>
      <c r="E41" s="8" t="inlineStr">
        <is>
          <t>Region VI (Western Visayas)</t>
        </is>
      </c>
      <c r="F41" s="7" t="inlineStr">
        <is>
          <t>14</t>
        </is>
      </c>
      <c r="G41" s="27" t="n">
        <v>44698</v>
      </c>
      <c r="H41" s="7" t="n">
        <v>31</v>
      </c>
      <c r="I41" s="7" t="inlineStr">
        <is>
          <t>M</t>
        </is>
      </c>
      <c r="J41" s="8" t="inlineStr">
        <is>
          <t>Admitted</t>
        </is>
      </c>
      <c r="K41" s="28" t="n">
        <v>24.07</v>
      </c>
      <c r="L41" s="28" t="n"/>
      <c r="M41" s="28" t="n"/>
      <c r="N41" s="28" t="n"/>
      <c r="O41" s="8" t="n"/>
      <c r="P41" s="8" t="n"/>
    </row>
    <row r="42">
      <c r="A42" s="8" t="inlineStr">
        <is>
          <t>PGCV_0018_0454</t>
        </is>
      </c>
      <c r="B42" s="8" t="inlineStr">
        <is>
          <t>COVID-SNL-22-54907</t>
        </is>
      </c>
      <c r="C42" s="8" t="inlineStr">
        <is>
          <t>WESTERN VISAYAS MEDICAL CENTER</t>
        </is>
      </c>
      <c r="D42" s="7" t="n">
        <v>6</v>
      </c>
      <c r="E42" s="8" t="inlineStr">
        <is>
          <t>Region VI (Western Visayas)</t>
        </is>
      </c>
      <c r="F42" s="7" t="inlineStr">
        <is>
          <t>14</t>
        </is>
      </c>
      <c r="G42" s="27" t="n">
        <v>44711</v>
      </c>
      <c r="H42" s="7" t="n">
        <v>0</v>
      </c>
      <c r="I42" s="7" t="inlineStr">
        <is>
          <t>F</t>
        </is>
      </c>
      <c r="J42" s="8" t="inlineStr">
        <is>
          <t>Cluster</t>
        </is>
      </c>
      <c r="K42" s="28" t="n">
        <v>14.9</v>
      </c>
      <c r="L42" s="28" t="n"/>
      <c r="M42" s="28" t="n"/>
      <c r="N42" s="28" t="n"/>
      <c r="O42" s="8" t="n"/>
      <c r="P42" s="8" t="n"/>
    </row>
    <row r="43">
      <c r="A43" s="8" t="inlineStr">
        <is>
          <t>PGCV_0018_0455</t>
        </is>
      </c>
      <c r="B43" s="8" t="inlineStr">
        <is>
          <t>COVID-SNL-22-54945</t>
        </is>
      </c>
      <c r="C43" s="8" t="inlineStr">
        <is>
          <t>WESTERN VISAYAS MEDICAL CENTER</t>
        </is>
      </c>
      <c r="D43" s="7" t="n">
        <v>6</v>
      </c>
      <c r="E43" s="8" t="inlineStr">
        <is>
          <t>Region VI (Western Visayas)</t>
        </is>
      </c>
      <c r="F43" s="7" t="inlineStr">
        <is>
          <t>14</t>
        </is>
      </c>
      <c r="G43" s="27" t="n">
        <v>44711</v>
      </c>
      <c r="H43" s="7" t="n">
        <v>35</v>
      </c>
      <c r="I43" s="7" t="inlineStr">
        <is>
          <t>M</t>
        </is>
      </c>
      <c r="J43" s="8" t="inlineStr">
        <is>
          <t>Admitted</t>
        </is>
      </c>
      <c r="K43" s="28" t="n">
        <v>20</v>
      </c>
      <c r="L43" s="28" t="n"/>
      <c r="M43" s="28" t="n"/>
      <c r="N43" s="28" t="n"/>
      <c r="O43" s="8" t="n"/>
      <c r="P43" s="8" t="n"/>
    </row>
    <row r="44">
      <c r="A44" s="8" t="inlineStr">
        <is>
          <t>PGCV_0018_0456</t>
        </is>
      </c>
      <c r="B44" s="8" t="inlineStr">
        <is>
          <t>COVID-SNL-22-55151</t>
        </is>
      </c>
      <c r="C44" s="8" t="inlineStr">
        <is>
          <t>ILOILO MISSION HOSPITAL</t>
        </is>
      </c>
      <c r="D44" s="7" t="n">
        <v>6</v>
      </c>
      <c r="E44" s="8" t="inlineStr">
        <is>
          <t>Region VI (Western Visayas)</t>
        </is>
      </c>
      <c r="F44" s="7" t="inlineStr">
        <is>
          <t>14</t>
        </is>
      </c>
      <c r="G44" s="27" t="n">
        <v>44712</v>
      </c>
      <c r="H44" s="7" t="n">
        <v>27</v>
      </c>
      <c r="I44" s="7" t="inlineStr">
        <is>
          <t>F</t>
        </is>
      </c>
      <c r="J44" s="8" t="inlineStr">
        <is>
          <t>Cluster</t>
        </is>
      </c>
      <c r="K44" s="28" t="n">
        <v>15.43</v>
      </c>
      <c r="L44" s="28" t="n"/>
      <c r="M44" s="28" t="n"/>
      <c r="N44" s="28" t="n"/>
      <c r="O44" s="8" t="n"/>
      <c r="P44" s="8" t="n"/>
    </row>
    <row r="45">
      <c r="A45" s="8" t="inlineStr">
        <is>
          <t>PGCV_0019_0474</t>
        </is>
      </c>
      <c r="B45" s="8" t="inlineStr">
        <is>
          <t>COVID-SNL-22-57612</t>
        </is>
      </c>
      <c r="C45" s="8" t="inlineStr">
        <is>
          <t>ILOILO DOCTOR'S HOSPITAL, INC.</t>
        </is>
      </c>
      <c r="D45" s="7" t="n">
        <v>6</v>
      </c>
      <c r="E45" s="8" t="inlineStr">
        <is>
          <t>Region VI (Western Visayas)</t>
        </is>
      </c>
      <c r="F45" s="7" t="inlineStr">
        <is>
          <t>15</t>
        </is>
      </c>
      <c r="G45" s="27" t="n"/>
      <c r="H45" s="7" t="n">
        <v>26</v>
      </c>
      <c r="I45" s="7" t="inlineStr">
        <is>
          <t>F</t>
        </is>
      </c>
      <c r="J45" s="8" t="inlineStr">
        <is>
          <t>Cluster</t>
        </is>
      </c>
      <c r="K45" s="28" t="n">
        <v>24.58</v>
      </c>
      <c r="L45" s="28" t="n"/>
      <c r="M45" s="28" t="n"/>
      <c r="N45" s="28" t="n"/>
      <c r="O45" s="8" t="n"/>
      <c r="P45" s="8" t="n"/>
    </row>
    <row r="46">
      <c r="A46" s="8" t="inlineStr">
        <is>
          <t>PGCV_0019_0475</t>
        </is>
      </c>
      <c r="B46" s="8" t="inlineStr">
        <is>
          <t>COVID-SNL-22-57613</t>
        </is>
      </c>
      <c r="C46" s="8" t="inlineStr">
        <is>
          <t>ILOILO DOCTOR'S HOSPITAL, INC.</t>
        </is>
      </c>
      <c r="D46" s="7" t="n">
        <v>6</v>
      </c>
      <c r="E46" s="8" t="inlineStr">
        <is>
          <t>Region VI (Western Visayas)</t>
        </is>
      </c>
      <c r="F46" s="7" t="inlineStr">
        <is>
          <t>15</t>
        </is>
      </c>
      <c r="G46" s="27" t="n"/>
      <c r="H46" s="7" t="n">
        <v>24</v>
      </c>
      <c r="I46" s="7" t="inlineStr">
        <is>
          <t>F</t>
        </is>
      </c>
      <c r="J46" s="8" t="inlineStr">
        <is>
          <t>Cluster</t>
        </is>
      </c>
      <c r="K46" s="28" t="n">
        <v>28.39</v>
      </c>
      <c r="L46" s="28" t="n"/>
      <c r="M46" s="28" t="n"/>
      <c r="N46" s="28" t="n"/>
      <c r="O46" s="8" t="n"/>
      <c r="P46" s="8" t="n"/>
    </row>
    <row r="47">
      <c r="A47" s="8" t="inlineStr">
        <is>
          <t>PGCV_0019_0485</t>
        </is>
      </c>
      <c r="B47" s="8" t="inlineStr">
        <is>
          <t>COVID-SNL-22-58458</t>
        </is>
      </c>
      <c r="C47" s="8" t="inlineStr">
        <is>
          <t>WESTERN VISAYAS MEDICAL CENTER</t>
        </is>
      </c>
      <c r="D47" s="7" t="n">
        <v>6</v>
      </c>
      <c r="E47" s="8" t="inlineStr">
        <is>
          <t>Region VI (Western Visayas)</t>
        </is>
      </c>
      <c r="F47" s="7" t="inlineStr">
        <is>
          <t>15</t>
        </is>
      </c>
      <c r="G47" s="27" t="n"/>
      <c r="H47" s="7" t="n">
        <v>30</v>
      </c>
      <c r="I47" s="7" t="inlineStr">
        <is>
          <t>M</t>
        </is>
      </c>
      <c r="J47" s="8" t="inlineStr">
        <is>
          <t>Cluster</t>
        </is>
      </c>
      <c r="K47" s="28" t="n">
        <v>24.17</v>
      </c>
      <c r="L47" s="28" t="n"/>
      <c r="M47" s="28" t="n"/>
      <c r="N47" s="28" t="n"/>
      <c r="O47" s="8" t="n"/>
      <c r="P47" s="8" t="n"/>
    </row>
    <row r="48">
      <c r="A48" s="8" t="inlineStr">
        <is>
          <t>PGCV_0019_0490</t>
        </is>
      </c>
      <c r="B48" s="8" t="inlineStr">
        <is>
          <t>COVID-SNL-22-58762</t>
        </is>
      </c>
      <c r="C48" s="8" t="inlineStr">
        <is>
          <t>ILOILO DOCTOR'S HOSPITAL, INC.</t>
        </is>
      </c>
      <c r="D48" s="7" t="n">
        <v>6</v>
      </c>
      <c r="E48" s="8" t="inlineStr">
        <is>
          <t>Region VI (Western Visayas)</t>
        </is>
      </c>
      <c r="F48" s="7" t="inlineStr">
        <is>
          <t>15</t>
        </is>
      </c>
      <c r="G48" s="27" t="n"/>
      <c r="H48" s="7" t="n">
        <v>25</v>
      </c>
      <c r="I48" s="7" t="inlineStr">
        <is>
          <t>F</t>
        </is>
      </c>
      <c r="J48" s="8" t="inlineStr">
        <is>
          <t>Cluster</t>
        </is>
      </c>
      <c r="K48" s="28" t="n">
        <v>24.7</v>
      </c>
      <c r="L48" s="28" t="n"/>
      <c r="M48" s="28" t="n"/>
      <c r="N48" s="28" t="n"/>
      <c r="O48" s="8" t="n"/>
      <c r="P48" s="8" t="n"/>
    </row>
    <row r="49">
      <c r="A49" s="8" t="inlineStr">
        <is>
          <t>PGCV_0019_0498</t>
        </is>
      </c>
      <c r="B49" s="8" t="inlineStr">
        <is>
          <t>COVID-SNL-22-58753</t>
        </is>
      </c>
      <c r="C49" s="8" t="inlineStr">
        <is>
          <t>ILOILO DOCTOR'S HOSPITAL, INC.</t>
        </is>
      </c>
      <c r="D49" s="7" t="n">
        <v>6</v>
      </c>
      <c r="E49" s="8" t="inlineStr">
        <is>
          <t>Region VI (Western Visayas)</t>
        </is>
      </c>
      <c r="F49" s="7" t="inlineStr">
        <is>
          <t>15</t>
        </is>
      </c>
      <c r="G49" s="27" t="n"/>
      <c r="H49" s="7" t="n">
        <v>26</v>
      </c>
      <c r="I49" s="7" t="inlineStr">
        <is>
          <t>M</t>
        </is>
      </c>
      <c r="J49" s="8" t="inlineStr">
        <is>
          <t>Cluster</t>
        </is>
      </c>
      <c r="K49" s="28" t="n">
        <v>22.28</v>
      </c>
      <c r="L49" s="28" t="n"/>
      <c r="M49" s="28" t="n"/>
      <c r="N49" s="28" t="n"/>
      <c r="O49" s="8" t="n"/>
      <c r="P49" s="8" t="n"/>
    </row>
    <row r="50">
      <c r="A50" s="8" t="inlineStr">
        <is>
          <t>PGCV_0019_0502</t>
        </is>
      </c>
      <c r="B50" s="8" t="inlineStr">
        <is>
          <t>MLAB174712</t>
        </is>
      </c>
      <c r="C50" s="8" t="inlineStr">
        <is>
          <t>METRO ILOILO HOSPITAL AND MEDICAL CENTER</t>
        </is>
      </c>
      <c r="D50" s="7" t="n">
        <v>6</v>
      </c>
      <c r="E50" s="8" t="inlineStr">
        <is>
          <t>Region VI (Western Visayas)</t>
        </is>
      </c>
      <c r="F50" s="7" t="inlineStr">
        <is>
          <t>15</t>
        </is>
      </c>
      <c r="G50" s="27" t="n"/>
      <c r="H50" s="7" t="n">
        <v>48</v>
      </c>
      <c r="I50" s="7" t="inlineStr">
        <is>
          <t>M</t>
        </is>
      </c>
      <c r="J50" s="8" t="inlineStr">
        <is>
          <t>Cluster</t>
        </is>
      </c>
      <c r="K50" s="28" t="n"/>
      <c r="L50" s="28" t="n"/>
      <c r="M50" s="28" t="n"/>
      <c r="N50" s="28" t="n"/>
      <c r="O50" s="8" t="n"/>
      <c r="P50" s="8" t="n"/>
    </row>
    <row r="51">
      <c r="A51" s="8" t="inlineStr">
        <is>
          <t>PGCV_0020_0513</t>
        </is>
      </c>
      <c r="B51" s="8" t="inlineStr">
        <is>
          <t>COVID-SNL-22-59242</t>
        </is>
      </c>
      <c r="C51" s="8" t="inlineStr">
        <is>
          <t>WESTERN VISAYAS MEDICAL CENTER</t>
        </is>
      </c>
      <c r="D51" s="7" t="n">
        <v>6</v>
      </c>
      <c r="E51" s="8" t="inlineStr">
        <is>
          <t>Region VI (Western Visayas)</t>
        </is>
      </c>
      <c r="F51" s="7" t="inlineStr">
        <is>
          <t>16</t>
        </is>
      </c>
      <c r="G51" s="27" t="n">
        <v>44726</v>
      </c>
      <c r="H51" s="7" t="n">
        <v>33</v>
      </c>
      <c r="I51" s="7" t="inlineStr">
        <is>
          <t>F</t>
        </is>
      </c>
      <c r="J51" s="8" t="inlineStr">
        <is>
          <t>Cluster</t>
        </is>
      </c>
      <c r="K51" s="28" t="n">
        <v>27.8</v>
      </c>
      <c r="L51" s="28" t="n"/>
      <c r="M51" s="28" t="n"/>
      <c r="N51" s="28" t="n"/>
      <c r="O51" s="8" t="n"/>
      <c r="P51" s="8" t="n"/>
    </row>
    <row r="52">
      <c r="A52" s="8" t="inlineStr">
        <is>
          <t>PGCV_0020_0520</t>
        </is>
      </c>
      <c r="B52" s="8" t="inlineStr">
        <is>
          <t>COVID-SNL-22-59589</t>
        </is>
      </c>
      <c r="C52" s="8" t="inlineStr">
        <is>
          <t>WESTERN VISAYAS MEDICAL CENTER</t>
        </is>
      </c>
      <c r="D52" s="7" t="n">
        <v>6</v>
      </c>
      <c r="E52" s="8" t="inlineStr">
        <is>
          <t>Region VI (Western Visayas)</t>
        </is>
      </c>
      <c r="F52" s="7" t="inlineStr">
        <is>
          <t>16</t>
        </is>
      </c>
      <c r="G52" s="27" t="n">
        <v>44726</v>
      </c>
      <c r="H52" s="7" t="n">
        <v>27</v>
      </c>
      <c r="I52" s="7" t="inlineStr">
        <is>
          <t>F</t>
        </is>
      </c>
      <c r="J52" s="8" t="inlineStr">
        <is>
          <t>Cluster</t>
        </is>
      </c>
      <c r="K52" s="28" t="n">
        <v>28.18</v>
      </c>
      <c r="L52" s="28" t="n"/>
      <c r="M52" s="28" t="n"/>
      <c r="N52" s="28" t="n"/>
      <c r="O52" s="8" t="n"/>
      <c r="P52" s="8" t="n"/>
    </row>
    <row r="53">
      <c r="A53" s="8" t="inlineStr">
        <is>
          <t>PGCV_0020_0521</t>
        </is>
      </c>
      <c r="B53" s="8" t="inlineStr">
        <is>
          <t>COVID-SNL-22-59591</t>
        </is>
      </c>
      <c r="C53" s="8" t="inlineStr">
        <is>
          <t>WESTERN VISAYAS MEDICAL CENTER</t>
        </is>
      </c>
      <c r="D53" s="7" t="n">
        <v>6</v>
      </c>
      <c r="E53" s="8" t="inlineStr">
        <is>
          <t>Region VI (Western Visayas)</t>
        </is>
      </c>
      <c r="F53" s="7" t="inlineStr">
        <is>
          <t>16</t>
        </is>
      </c>
      <c r="G53" s="27" t="n">
        <v>44726</v>
      </c>
      <c r="H53" s="7" t="n">
        <v>67</v>
      </c>
      <c r="I53" s="7" t="inlineStr">
        <is>
          <t>F</t>
        </is>
      </c>
      <c r="J53" s="8" t="inlineStr">
        <is>
          <t>Cluster</t>
        </is>
      </c>
      <c r="K53" s="28" t="n">
        <v>27.49</v>
      </c>
      <c r="L53" s="28" t="n"/>
      <c r="M53" s="28" t="n"/>
      <c r="N53" s="28" t="n"/>
      <c r="O53" s="8" t="n"/>
      <c r="P53" s="8" t="n"/>
    </row>
    <row r="54">
      <c r="A54" s="8" t="inlineStr">
        <is>
          <t>PGCV_0020_0522</t>
        </is>
      </c>
      <c r="B54" s="8" t="inlineStr">
        <is>
          <t>COVID-SNL-22-59597</t>
        </is>
      </c>
      <c r="C54" s="8" t="inlineStr">
        <is>
          <t>CONCEPCION RURAL HEALTH UNIT</t>
        </is>
      </c>
      <c r="D54" s="7" t="n">
        <v>6</v>
      </c>
      <c r="E54" s="8" t="inlineStr">
        <is>
          <t>Region VI (Western Visayas)</t>
        </is>
      </c>
      <c r="F54" s="7" t="inlineStr">
        <is>
          <t>16</t>
        </is>
      </c>
      <c r="G54" s="27" t="n">
        <v>44726</v>
      </c>
      <c r="H54" s="7" t="n">
        <v>33</v>
      </c>
      <c r="I54" s="7" t="inlineStr">
        <is>
          <t>F</t>
        </is>
      </c>
      <c r="J54" s="8" t="inlineStr">
        <is>
          <t>Cluster</t>
        </is>
      </c>
      <c r="K54" s="28" t="n">
        <v>30.57</v>
      </c>
      <c r="L54" s="28" t="n"/>
      <c r="M54" s="28" t="n"/>
      <c r="N54" s="28" t="n"/>
      <c r="O54" s="8" t="n"/>
      <c r="P54" s="8" t="n"/>
    </row>
    <row r="55">
      <c r="A55" s="12" t="inlineStr">
        <is>
          <t>PGCV_0020_0536</t>
        </is>
      </c>
      <c r="B55" s="12" t="inlineStr">
        <is>
          <t>COVID-SNL-22-60023</t>
        </is>
      </c>
      <c r="C55" s="12" t="inlineStr">
        <is>
          <t>SAN JOAQUIN MOTHER AND CHILD HOSPITAL</t>
        </is>
      </c>
      <c r="D55" s="11" t="n">
        <v>6</v>
      </c>
      <c r="E55" s="12" t="inlineStr">
        <is>
          <t>Region VI (Western Visayas)</t>
        </is>
      </c>
      <c r="F55" s="11" t="inlineStr">
        <is>
          <t>16</t>
        </is>
      </c>
      <c r="G55" s="29" t="n">
        <v>44728</v>
      </c>
      <c r="H55" s="11" t="n">
        <v>49</v>
      </c>
      <c r="I55" s="11" t="inlineStr">
        <is>
          <t>F</t>
        </is>
      </c>
      <c r="J55" s="12" t="inlineStr">
        <is>
          <t>Admitted</t>
        </is>
      </c>
      <c r="K55" s="30" t="n">
        <v>29.51</v>
      </c>
      <c r="L55" s="30" t="n"/>
      <c r="M55" s="30" t="n"/>
      <c r="N55" s="30" t="n"/>
      <c r="O55" s="12" t="n"/>
      <c r="P55" s="12" t="inlineStr">
        <is>
          <t>criteria recorded as "Admitted*" - meaning of the asterisk unknown</t>
        </is>
      </c>
    </row>
    <row r="56">
      <c r="A56" s="8" t="inlineStr">
        <is>
          <t>PGCV_0020_0538</t>
        </is>
      </c>
      <c r="B56" s="8" t="inlineStr">
        <is>
          <t>COVID-SNL-22-60029</t>
        </is>
      </c>
      <c r="C56" s="8" t="inlineStr">
        <is>
          <t>WESTERN VISAYAS MEDICAL CENTER</t>
        </is>
      </c>
      <c r="D56" s="7" t="n">
        <v>6</v>
      </c>
      <c r="E56" s="8" t="inlineStr">
        <is>
          <t>Region VI (Western Visayas)</t>
        </is>
      </c>
      <c r="F56" s="7" t="inlineStr">
        <is>
          <t>16</t>
        </is>
      </c>
      <c r="G56" s="27" t="n">
        <v>44728</v>
      </c>
      <c r="H56" s="7" t="n">
        <v>41</v>
      </c>
      <c r="I56" s="7" t="inlineStr">
        <is>
          <t>M</t>
        </is>
      </c>
      <c r="J56" s="8" t="inlineStr">
        <is>
          <t>Cluster</t>
        </is>
      </c>
      <c r="K56" s="28" t="n">
        <v>27.83</v>
      </c>
      <c r="L56" s="28" t="n"/>
      <c r="M56" s="28" t="n"/>
      <c r="N56" s="28" t="n"/>
      <c r="O56" s="8" t="n"/>
      <c r="P56" s="8" t="n"/>
    </row>
    <row r="57">
      <c r="A57" s="8" t="inlineStr">
        <is>
          <t>PGCV_0021_0564</t>
        </is>
      </c>
      <c r="B57" s="8" t="inlineStr">
        <is>
          <t>COVID-SNL-22-60422</t>
        </is>
      </c>
      <c r="C57" s="8" t="inlineStr">
        <is>
          <t>WESTERN VISAYAS MEDICAL CENTER SUB NATIONAL LABORATORY</t>
        </is>
      </c>
      <c r="D57" s="7" t="n">
        <v>6</v>
      </c>
      <c r="E57" s="8" t="inlineStr">
        <is>
          <t>Region VI (Western Visayas)</t>
        </is>
      </c>
      <c r="F57" s="7" t="inlineStr">
        <is>
          <t>17</t>
        </is>
      </c>
      <c r="G57" s="27" t="n">
        <v>44729</v>
      </c>
      <c r="H57" s="7" t="n">
        <v>55</v>
      </c>
      <c r="I57" s="7" t="inlineStr">
        <is>
          <t>M</t>
        </is>
      </c>
      <c r="J57" s="8" t="inlineStr">
        <is>
          <t>Cluster</t>
        </is>
      </c>
      <c r="K57" s="28" t="n">
        <v>28.61</v>
      </c>
      <c r="L57" s="28" t="n"/>
      <c r="M57" s="28" t="n"/>
      <c r="N57" s="28" t="n"/>
      <c r="O57" s="8" t="n"/>
      <c r="P57" s="8" t="n"/>
    </row>
    <row r="58">
      <c r="A58" s="8" t="inlineStr">
        <is>
          <t>PGCV_0021_0566</t>
        </is>
      </c>
      <c r="B58" s="8" t="inlineStr">
        <is>
          <t>COVID-SNL-22-60426</t>
        </is>
      </c>
      <c r="C58" s="8" t="inlineStr">
        <is>
          <t>WESTERN VISAYAS MEDICAL CENTER SUB NATIONAL LABORATORY</t>
        </is>
      </c>
      <c r="D58" s="7" t="n">
        <v>6</v>
      </c>
      <c r="E58" s="8" t="inlineStr">
        <is>
          <t>Region VI (Western Visayas)</t>
        </is>
      </c>
      <c r="F58" s="7" t="inlineStr">
        <is>
          <t>17</t>
        </is>
      </c>
      <c r="G58" s="27" t="n">
        <v>44729</v>
      </c>
      <c r="H58" s="7" t="n">
        <v>7</v>
      </c>
      <c r="I58" s="7" t="inlineStr">
        <is>
          <t>F</t>
        </is>
      </c>
      <c r="J58" s="8" t="inlineStr">
        <is>
          <t>Cluster</t>
        </is>
      </c>
      <c r="K58" s="28" t="n">
        <v>29.56</v>
      </c>
      <c r="L58" s="28" t="n"/>
      <c r="M58" s="28" t="n"/>
      <c r="N58" s="28" t="n"/>
      <c r="O58" s="8" t="n"/>
      <c r="P58" s="8" t="n"/>
    </row>
    <row r="59">
      <c r="A59" s="8" t="inlineStr">
        <is>
          <t>PGCV_0021_0573</t>
        </is>
      </c>
      <c r="B59" s="8" t="inlineStr">
        <is>
          <t>COVID-SNL-22-60424</t>
        </is>
      </c>
      <c r="C59" s="8" t="inlineStr">
        <is>
          <t>WESTERN VISAYAS MEDICAL CENTER SUB NATIONAL LABORATORY</t>
        </is>
      </c>
      <c r="D59" s="7" t="n">
        <v>6</v>
      </c>
      <c r="E59" s="8" t="inlineStr">
        <is>
          <t>Region VI (Western Visayas)</t>
        </is>
      </c>
      <c r="F59" s="7" t="inlineStr">
        <is>
          <t>17</t>
        </is>
      </c>
      <c r="G59" s="27" t="n">
        <v>44730</v>
      </c>
      <c r="H59" s="7" t="n">
        <v>46</v>
      </c>
      <c r="I59" s="7" t="inlineStr">
        <is>
          <t>F</t>
        </is>
      </c>
      <c r="J59" s="8" t="inlineStr">
        <is>
          <t>Cluster</t>
        </is>
      </c>
      <c r="K59" s="28" t="n">
        <v>26.92</v>
      </c>
      <c r="L59" s="28" t="n"/>
      <c r="M59" s="28" t="n"/>
      <c r="N59" s="28" t="n"/>
      <c r="O59" s="8" t="n"/>
      <c r="P59" s="8" t="n"/>
    </row>
    <row r="60">
      <c r="A60" s="8" t="inlineStr">
        <is>
          <t>PGCV_0021_0575</t>
        </is>
      </c>
      <c r="B60" s="8" t="inlineStr">
        <is>
          <t>COVID-SNL-22-60993</t>
        </is>
      </c>
      <c r="C60" s="8" t="inlineStr">
        <is>
          <t>WESTERN VISAYAS MEDICAL CENTER SUB NATIONAL LABORATORY</t>
        </is>
      </c>
      <c r="D60" s="7" t="n">
        <v>6</v>
      </c>
      <c r="E60" s="8" t="inlineStr">
        <is>
          <t>Region VI (Western Visayas)</t>
        </is>
      </c>
      <c r="F60" s="7" t="inlineStr">
        <is>
          <t>17</t>
        </is>
      </c>
      <c r="G60" s="27" t="n">
        <v>44731</v>
      </c>
      <c r="H60" s="7" t="n">
        <v>45</v>
      </c>
      <c r="I60" s="7" t="inlineStr">
        <is>
          <t>F</t>
        </is>
      </c>
      <c r="J60" s="8" t="inlineStr">
        <is>
          <t>Cluster</t>
        </is>
      </c>
      <c r="K60" s="28" t="n">
        <v>28.18</v>
      </c>
      <c r="L60" s="28" t="n"/>
      <c r="M60" s="28" t="n"/>
      <c r="N60" s="28" t="n"/>
      <c r="O60" s="8" t="n"/>
      <c r="P60" s="8" t="n"/>
    </row>
    <row r="61">
      <c r="A61" s="8" t="inlineStr">
        <is>
          <t>PGCV_0021_0576</t>
        </is>
      </c>
      <c r="B61" s="8" t="inlineStr">
        <is>
          <t>COVID-SNL-22-60995</t>
        </is>
      </c>
      <c r="C61" s="8" t="inlineStr">
        <is>
          <t>WESTERN VISAYAS MEDICAL CENTER SUB NATIONAL LABORATORY</t>
        </is>
      </c>
      <c r="D61" s="7" t="n">
        <v>6</v>
      </c>
      <c r="E61" s="8" t="inlineStr">
        <is>
          <t>Region VI (Western Visayas)</t>
        </is>
      </c>
      <c r="F61" s="7" t="inlineStr">
        <is>
          <t>17</t>
        </is>
      </c>
      <c r="G61" s="27" t="n">
        <v>44731</v>
      </c>
      <c r="H61" s="7" t="n">
        <v>35</v>
      </c>
      <c r="I61" s="7" t="inlineStr">
        <is>
          <t>F</t>
        </is>
      </c>
      <c r="J61" s="8" t="inlineStr">
        <is>
          <t>Admitted</t>
        </is>
      </c>
      <c r="K61" s="28" t="n">
        <v>29.65</v>
      </c>
      <c r="L61" s="28" t="n"/>
      <c r="M61" s="28" t="n"/>
      <c r="N61" s="28" t="n"/>
      <c r="O61" s="8" t="n"/>
      <c r="P61" s="8" t="n"/>
    </row>
    <row r="62">
      <c r="A62" s="8" t="inlineStr">
        <is>
          <t>PGCV_0021_0577</t>
        </is>
      </c>
      <c r="B62" s="8" t="inlineStr">
        <is>
          <t>COVID-SNL-22-60998</t>
        </is>
      </c>
      <c r="C62" s="8" t="inlineStr">
        <is>
          <t>WESTERN VISAYAS MEDICAL CENTER SUB NATIONAL LABORATORY</t>
        </is>
      </c>
      <c r="D62" s="7" t="n">
        <v>6</v>
      </c>
      <c r="E62" s="8" t="inlineStr">
        <is>
          <t>Region VI (Western Visayas)</t>
        </is>
      </c>
      <c r="F62" s="7" t="inlineStr">
        <is>
          <t>17</t>
        </is>
      </c>
      <c r="G62" s="27" t="n">
        <v>44731</v>
      </c>
      <c r="H62" s="7" t="n">
        <v>35</v>
      </c>
      <c r="I62" s="7" t="inlineStr">
        <is>
          <t>F</t>
        </is>
      </c>
      <c r="J62" s="8" t="inlineStr">
        <is>
          <t>Cluster</t>
        </is>
      </c>
      <c r="K62" s="28" t="n">
        <v>26.75</v>
      </c>
      <c r="L62" s="28" t="n"/>
      <c r="M62" s="28" t="n"/>
      <c r="N62" s="28" t="n"/>
      <c r="O62" s="8" t="n"/>
      <c r="P62" s="8" t="n"/>
    </row>
    <row r="63">
      <c r="A63" s="8" t="inlineStr">
        <is>
          <t>PGCV_0021_0581</t>
        </is>
      </c>
      <c r="B63" s="8" t="inlineStr">
        <is>
          <t>COVID-SNL-22-61003</t>
        </is>
      </c>
      <c r="C63" s="8" t="inlineStr">
        <is>
          <t>WESTERN VISAYAS MEDICAL CENTER SUB NATIONAL LABORATORY</t>
        </is>
      </c>
      <c r="D63" s="7" t="n">
        <v>6</v>
      </c>
      <c r="E63" s="8" t="inlineStr">
        <is>
          <t>Region VI (Western Visayas)</t>
        </is>
      </c>
      <c r="F63" s="7" t="inlineStr">
        <is>
          <t>17</t>
        </is>
      </c>
      <c r="G63" s="27" t="n">
        <v>44731</v>
      </c>
      <c r="H63" s="7" t="n">
        <v>51</v>
      </c>
      <c r="I63" s="7" t="inlineStr">
        <is>
          <t>F</t>
        </is>
      </c>
      <c r="J63" s="8" t="inlineStr">
        <is>
          <t>Cluster</t>
        </is>
      </c>
      <c r="K63" s="28" t="n">
        <v>26.92</v>
      </c>
      <c r="L63" s="28" t="n"/>
      <c r="M63" s="28" t="n"/>
      <c r="N63" s="28" t="n"/>
      <c r="O63" s="8" t="n"/>
      <c r="P63" s="8" t="n"/>
    </row>
    <row r="64">
      <c r="A64" s="8" t="inlineStr">
        <is>
          <t>PGCV_0021_0582</t>
        </is>
      </c>
      <c r="B64" s="8" t="inlineStr">
        <is>
          <t>COVID-SNL-22-61004</t>
        </is>
      </c>
      <c r="C64" s="8" t="inlineStr">
        <is>
          <t>WESTERN VISAYAS MEDICAL CENTER SUB NATIONAL LABORATORY</t>
        </is>
      </c>
      <c r="D64" s="7" t="n">
        <v>6</v>
      </c>
      <c r="E64" s="8" t="inlineStr">
        <is>
          <t>Region VI (Western Visayas)</t>
        </is>
      </c>
      <c r="F64" s="7" t="inlineStr">
        <is>
          <t>17</t>
        </is>
      </c>
      <c r="G64" s="27" t="n">
        <v>44731</v>
      </c>
      <c r="H64" s="7" t="n">
        <v>26</v>
      </c>
      <c r="I64" s="7" t="inlineStr">
        <is>
          <t>F</t>
        </is>
      </c>
      <c r="J64" s="8" t="inlineStr">
        <is>
          <t>Cluster</t>
        </is>
      </c>
      <c r="K64" s="28" t="n">
        <v>30.02</v>
      </c>
      <c r="L64" s="28" t="n"/>
      <c r="M64" s="28" t="n"/>
      <c r="N64" s="28" t="n"/>
      <c r="O64" s="8" t="n"/>
      <c r="P64" s="8" t="n"/>
    </row>
    <row r="65">
      <c r="A65" s="8" t="inlineStr">
        <is>
          <t>PGCV_0021_0583</t>
        </is>
      </c>
      <c r="B65" s="8" t="inlineStr">
        <is>
          <t>COVID-SNL-22-61028</t>
        </is>
      </c>
      <c r="C65" s="8" t="inlineStr">
        <is>
          <t>WESTERN VISAYAS MEDICAL CENTER SUB NATIONAL LABORATORY</t>
        </is>
      </c>
      <c r="D65" s="7" t="n">
        <v>6</v>
      </c>
      <c r="E65" s="8" t="inlineStr">
        <is>
          <t>Region VI (Western Visayas)</t>
        </is>
      </c>
      <c r="F65" s="7" t="inlineStr">
        <is>
          <t>17</t>
        </is>
      </c>
      <c r="G65" s="27" t="n">
        <v>44731</v>
      </c>
      <c r="H65" s="7" t="n">
        <v>26</v>
      </c>
      <c r="I65" s="7" t="inlineStr">
        <is>
          <t>F</t>
        </is>
      </c>
      <c r="J65" s="8" t="inlineStr">
        <is>
          <t>Cluster</t>
        </is>
      </c>
      <c r="K65" s="28" t="n">
        <v>23.95</v>
      </c>
      <c r="L65" s="28" t="n"/>
      <c r="M65" s="28" t="n"/>
      <c r="N65" s="28" t="n"/>
      <c r="O65" s="8" t="n"/>
      <c r="P65" s="8" t="n"/>
    </row>
    <row r="66">
      <c r="A66" s="8" t="inlineStr">
        <is>
          <t>PGCV_0021_0587</t>
        </is>
      </c>
      <c r="B66" s="8" t="inlineStr">
        <is>
          <t>COVID-SNL-22-61155</t>
        </is>
      </c>
      <c r="C66" s="8" t="inlineStr">
        <is>
          <t>WESTERN VISAYAS MEDICAL CENTER SUB NATIONAL LABORATORY</t>
        </is>
      </c>
      <c r="D66" s="7" t="n">
        <v>6</v>
      </c>
      <c r="E66" s="8" t="inlineStr">
        <is>
          <t>Region VI (Western Visayas)</t>
        </is>
      </c>
      <c r="F66" s="7" t="inlineStr">
        <is>
          <t>17</t>
        </is>
      </c>
      <c r="G66" s="27" t="n">
        <v>44731</v>
      </c>
      <c r="H66" s="7" t="n">
        <v>22</v>
      </c>
      <c r="I66" s="7" t="inlineStr">
        <is>
          <t>F</t>
        </is>
      </c>
      <c r="J66" s="8" t="inlineStr">
        <is>
          <t>Cluster</t>
        </is>
      </c>
      <c r="K66" s="28" t="n">
        <v>25.87</v>
      </c>
      <c r="L66" s="28" t="n"/>
      <c r="M66" s="28" t="n"/>
      <c r="N66" s="28" t="n"/>
      <c r="O66" s="8" t="n"/>
      <c r="P66" s="8" t="n"/>
    </row>
    <row r="67">
      <c r="A67" s="8" t="inlineStr">
        <is>
          <t>PGCV_0021_0597</t>
        </is>
      </c>
      <c r="B67" s="8" t="inlineStr">
        <is>
          <t>COVID-SNL-22-61572</t>
        </is>
      </c>
      <c r="C67" s="8" t="inlineStr">
        <is>
          <t>WESTERN VISAYAS MEDICAL CENTER SUB NATIONAL LABORATORY</t>
        </is>
      </c>
      <c r="D67" s="7" t="n">
        <v>6</v>
      </c>
      <c r="E67" s="8" t="inlineStr">
        <is>
          <t>Region VI (Western Visayas)</t>
        </is>
      </c>
      <c r="F67" s="7" t="inlineStr">
        <is>
          <t>17</t>
        </is>
      </c>
      <c r="G67" s="27" t="n">
        <v>44732</v>
      </c>
      <c r="H67" s="7" t="n">
        <v>43</v>
      </c>
      <c r="I67" s="7" t="inlineStr">
        <is>
          <t>M</t>
        </is>
      </c>
      <c r="J67" s="8" t="inlineStr">
        <is>
          <t>Admitted</t>
        </is>
      </c>
      <c r="K67" s="28" t="n">
        <v>27.87</v>
      </c>
      <c r="L67" s="28" t="n"/>
      <c r="M67" s="28" t="n"/>
      <c r="N67" s="28" t="n"/>
      <c r="O67" s="8" t="n"/>
      <c r="P67" s="8" t="n"/>
    </row>
    <row r="68">
      <c r="A68" s="8" t="inlineStr">
        <is>
          <t>PGCV_0021_0600</t>
        </is>
      </c>
      <c r="B68" s="8" t="inlineStr">
        <is>
          <t>COVID-SNL-22-61675</t>
        </is>
      </c>
      <c r="C68" s="8" t="inlineStr">
        <is>
          <t>WESTERN VISAYAS MEDICAL CENTER SUB NATIONAL LABORATORY</t>
        </is>
      </c>
      <c r="D68" s="7" t="n">
        <v>6</v>
      </c>
      <c r="E68" s="8" t="inlineStr">
        <is>
          <t>Region VI (Western Visayas)</t>
        </is>
      </c>
      <c r="F68" s="7" t="inlineStr">
        <is>
          <t>17</t>
        </is>
      </c>
      <c r="G68" s="27" t="n">
        <v>44732</v>
      </c>
      <c r="H68" s="7" t="n">
        <v>48</v>
      </c>
      <c r="I68" s="7" t="inlineStr">
        <is>
          <t>M</t>
        </is>
      </c>
      <c r="J68" s="8" t="inlineStr">
        <is>
          <t>Cluster</t>
        </is>
      </c>
      <c r="K68" s="28" t="n">
        <v>7.03</v>
      </c>
      <c r="L68" s="28" t="n"/>
      <c r="M68" s="28" t="n"/>
      <c r="N68" s="28" t="n"/>
      <c r="O68" s="8" t="n"/>
      <c r="P68" s="8" t="n"/>
    </row>
    <row r="69">
      <c r="A69" s="8" t="inlineStr">
        <is>
          <t>PGCV_0021_0604</t>
        </is>
      </c>
      <c r="B69" s="8" t="inlineStr">
        <is>
          <t>COVID-SNL-22-62240</t>
        </is>
      </c>
      <c r="C69" s="8" t="inlineStr">
        <is>
          <t>WESTERN VISAYAS MEDICAL CENTER SUB NATIONAL LABORATORY</t>
        </is>
      </c>
      <c r="D69" s="7" t="n">
        <v>6</v>
      </c>
      <c r="E69" s="8" t="inlineStr">
        <is>
          <t>Region VI (Western Visayas)</t>
        </is>
      </c>
      <c r="F69" s="7" t="inlineStr">
        <is>
          <t>17</t>
        </is>
      </c>
      <c r="G69" s="27" t="n">
        <v>44734</v>
      </c>
      <c r="H69" s="7" t="n">
        <v>5</v>
      </c>
      <c r="I69" s="7" t="inlineStr">
        <is>
          <t>F</t>
        </is>
      </c>
      <c r="J69" s="8" t="inlineStr">
        <is>
          <t>Admitted</t>
        </is>
      </c>
      <c r="K69" s="28" t="n">
        <v>28.83</v>
      </c>
      <c r="L69" s="28" t="n"/>
      <c r="M69" s="28" t="n"/>
      <c r="N69" s="28" t="n"/>
      <c r="O69" s="8" t="n"/>
      <c r="P69" s="8" t="n"/>
    </row>
    <row r="70">
      <c r="A70" s="8" t="inlineStr">
        <is>
          <t>PGCV_0021_0606</t>
        </is>
      </c>
      <c r="B70" s="8" t="inlineStr">
        <is>
          <t>COVID-SNL-22-62242</t>
        </is>
      </c>
      <c r="C70" s="8" t="inlineStr">
        <is>
          <t>WESTERN VISAYAS MEDICAL CENTER SUB NATIONAL LABORATORY</t>
        </is>
      </c>
      <c r="D70" s="7" t="n">
        <v>6</v>
      </c>
      <c r="E70" s="8" t="inlineStr">
        <is>
          <t>Region VI (Western Visayas)</t>
        </is>
      </c>
      <c r="F70" s="7" t="inlineStr">
        <is>
          <t>17</t>
        </is>
      </c>
      <c r="G70" s="27" t="n">
        <v>44734</v>
      </c>
      <c r="H70" s="7" t="n">
        <v>28</v>
      </c>
      <c r="I70" s="7" t="inlineStr">
        <is>
          <t>F</t>
        </is>
      </c>
      <c r="J70" s="8" t="inlineStr">
        <is>
          <t>Admitted</t>
        </is>
      </c>
      <c r="K70" s="28" t="n">
        <v>30.89</v>
      </c>
      <c r="L70" s="28" t="n"/>
      <c r="M70" s="28" t="n"/>
      <c r="N70" s="28" t="n"/>
      <c r="O70" s="8" t="n"/>
      <c r="P70" s="8" t="n"/>
    </row>
    <row r="71">
      <c r="A71" s="8" t="inlineStr">
        <is>
          <t>PGCV_0021_0618</t>
        </is>
      </c>
      <c r="B71" s="8" t="inlineStr">
        <is>
          <t>COVID-SNL-22-62624</t>
        </is>
      </c>
      <c r="C71" s="8" t="inlineStr">
        <is>
          <t>WESTERN VISAYAS MEDICAL CENTER SUB NATIONAL LABORATORY</t>
        </is>
      </c>
      <c r="D71" s="7" t="n">
        <v>6</v>
      </c>
      <c r="E71" s="8" t="inlineStr">
        <is>
          <t>Region VI (Western Visayas)</t>
        </is>
      </c>
      <c r="F71" s="7" t="inlineStr">
        <is>
          <t>17</t>
        </is>
      </c>
      <c r="G71" s="27" t="n">
        <v>44736</v>
      </c>
      <c r="H71" s="7" t="n">
        <v>5</v>
      </c>
      <c r="I71" s="7" t="inlineStr">
        <is>
          <t>M</t>
        </is>
      </c>
      <c r="J71" s="8" t="inlineStr">
        <is>
          <t>Cluster</t>
        </is>
      </c>
      <c r="K71" s="28" t="n">
        <v>29.63</v>
      </c>
      <c r="L71" s="28" t="n"/>
      <c r="M71" s="28" t="n"/>
      <c r="N71" s="28" t="n"/>
      <c r="O71" s="8" t="n"/>
      <c r="P71" s="8" t="n"/>
    </row>
    <row r="72">
      <c r="A72" s="8" t="inlineStr">
        <is>
          <t>PGCV_0021_0623</t>
        </is>
      </c>
      <c r="B72" s="8" t="inlineStr">
        <is>
          <t>COVID-SNL-22-62833</t>
        </is>
      </c>
      <c r="C72" s="8" t="inlineStr">
        <is>
          <t>WESTERN VISAYAS MEDICAL CENTER SUB NATIONAL LABORATORY</t>
        </is>
      </c>
      <c r="D72" s="7" t="n">
        <v>6</v>
      </c>
      <c r="E72" s="8" t="inlineStr">
        <is>
          <t>Region VI (Western Visayas)</t>
        </is>
      </c>
      <c r="F72" s="7" t="inlineStr">
        <is>
          <t>17</t>
        </is>
      </c>
      <c r="G72" s="27" t="n">
        <v>44736</v>
      </c>
      <c r="H72" s="7" t="n">
        <v>72</v>
      </c>
      <c r="I72" s="7" t="inlineStr">
        <is>
          <t>F</t>
        </is>
      </c>
      <c r="J72" s="8" t="inlineStr">
        <is>
          <t>Cluster</t>
        </is>
      </c>
      <c r="K72" s="28" t="n">
        <v>29.75</v>
      </c>
      <c r="L72" s="28" t="n"/>
      <c r="M72" s="28" t="n"/>
      <c r="N72" s="28" t="n"/>
      <c r="O72" s="8" t="n"/>
      <c r="P72" s="8" t="n"/>
    </row>
    <row r="73">
      <c r="A73" s="8" t="inlineStr">
        <is>
          <t>PGCV_0021_0638</t>
        </is>
      </c>
      <c r="B73" s="8" t="inlineStr">
        <is>
          <t>COVID-SNL-22-63050</t>
        </is>
      </c>
      <c r="C73" s="8" t="inlineStr">
        <is>
          <t>WESTERN VISAYAS MEDICAL CENTER SUB NATIONAL LABORATORY</t>
        </is>
      </c>
      <c r="D73" s="7" t="n">
        <v>6</v>
      </c>
      <c r="E73" s="8" t="inlineStr">
        <is>
          <t>Region VI (Western Visayas)</t>
        </is>
      </c>
      <c r="F73" s="7" t="inlineStr">
        <is>
          <t>17</t>
        </is>
      </c>
      <c r="G73" s="27" t="n">
        <v>44737</v>
      </c>
      <c r="H73" s="7" t="n">
        <v>65</v>
      </c>
      <c r="I73" s="7" t="inlineStr">
        <is>
          <t>M</t>
        </is>
      </c>
      <c r="J73" s="8" t="inlineStr">
        <is>
          <t>Admitted</t>
        </is>
      </c>
      <c r="K73" s="28" t="n">
        <v>26.81</v>
      </c>
      <c r="L73" s="28" t="n"/>
      <c r="M73" s="28" t="n"/>
      <c r="N73" s="28" t="n"/>
      <c r="O73" s="8" t="n"/>
      <c r="P73" s="8" t="n"/>
    </row>
    <row r="74">
      <c r="A74" s="8" t="inlineStr">
        <is>
          <t>PGCV_0021_0639</t>
        </is>
      </c>
      <c r="B74" s="8" t="inlineStr">
        <is>
          <t>COVID-SNL-22-63051</t>
        </is>
      </c>
      <c r="C74" s="8" t="inlineStr">
        <is>
          <t>WESTERN VISAYAS MEDICAL CENTER SUB NATIONAL LABORATORY</t>
        </is>
      </c>
      <c r="D74" s="7" t="n">
        <v>6</v>
      </c>
      <c r="E74" s="8" t="inlineStr">
        <is>
          <t>Region VI (Western Visayas)</t>
        </is>
      </c>
      <c r="F74" s="7" t="inlineStr">
        <is>
          <t>17</t>
        </is>
      </c>
      <c r="G74" s="27" t="n">
        <v>44737</v>
      </c>
      <c r="H74" s="7" t="n">
        <v>0</v>
      </c>
      <c r="I74" s="7" t="inlineStr">
        <is>
          <t>M</t>
        </is>
      </c>
      <c r="J74" s="8" t="inlineStr">
        <is>
          <t>Admitted</t>
        </is>
      </c>
      <c r="K74" s="28" t="n">
        <v>25.28</v>
      </c>
      <c r="L74" s="28" t="n"/>
      <c r="M74" s="28" t="n"/>
      <c r="N74" s="28" t="n"/>
      <c r="O74" s="8" t="n"/>
      <c r="P74" s="8" t="n"/>
    </row>
    <row r="75">
      <c r="A75" s="8" t="inlineStr">
        <is>
          <t>PGCV_0021_0641</t>
        </is>
      </c>
      <c r="B75" s="8" t="inlineStr">
        <is>
          <t>COVID-SNL-22-63093</t>
        </is>
      </c>
      <c r="C75" s="8" t="inlineStr">
        <is>
          <t>WESTERN VISAYAS MEDICAL CENTER SUB NATIONAL LABORATORY</t>
        </is>
      </c>
      <c r="D75" s="7" t="n">
        <v>6</v>
      </c>
      <c r="E75" s="8" t="inlineStr">
        <is>
          <t>Region VI (Western Visayas)</t>
        </is>
      </c>
      <c r="F75" s="7" t="inlineStr">
        <is>
          <t>17</t>
        </is>
      </c>
      <c r="G75" s="27" t="n">
        <v>44737</v>
      </c>
      <c r="H75" s="7" t="n">
        <v>32</v>
      </c>
      <c r="I75" s="7" t="inlineStr">
        <is>
          <t>F</t>
        </is>
      </c>
      <c r="J75" s="8" t="inlineStr">
        <is>
          <t>Admitted</t>
        </is>
      </c>
      <c r="K75" s="28" t="n">
        <v>29.28</v>
      </c>
      <c r="L75" s="28" t="n"/>
      <c r="M75" s="28" t="n"/>
      <c r="N75" s="28" t="n"/>
      <c r="O75" s="8" t="n"/>
      <c r="P75" s="8" t="n"/>
    </row>
    <row r="76">
      <c r="A76" s="8" t="inlineStr">
        <is>
          <t>PGCV_0021_0651</t>
        </is>
      </c>
      <c r="B76" s="8" t="inlineStr">
        <is>
          <t>COVID-SNL-22-63449</t>
        </is>
      </c>
      <c r="C76" s="8" t="inlineStr">
        <is>
          <t>WESTERN VISAYAS MEDICAL CENTER SUB NATIONAL LABORATORY</t>
        </is>
      </c>
      <c r="D76" s="7" t="n">
        <v>6</v>
      </c>
      <c r="E76" s="8" t="inlineStr">
        <is>
          <t>Region VI (Western Visayas)</t>
        </is>
      </c>
      <c r="F76" s="7" t="inlineStr">
        <is>
          <t>17</t>
        </is>
      </c>
      <c r="G76" s="27" t="n">
        <v>44738</v>
      </c>
      <c r="H76" s="7" t="n">
        <v>47</v>
      </c>
      <c r="I76" s="7" t="inlineStr">
        <is>
          <t>M</t>
        </is>
      </c>
      <c r="J76" s="8" t="inlineStr">
        <is>
          <t>Cluster</t>
        </is>
      </c>
      <c r="K76" s="28" t="n">
        <v>28.45</v>
      </c>
      <c r="L76" s="28" t="n"/>
      <c r="M76" s="28" t="n"/>
      <c r="N76" s="28" t="n"/>
      <c r="O76" s="8" t="n"/>
      <c r="P76" s="8" t="n"/>
    </row>
    <row r="77">
      <c r="A77" s="8" t="inlineStr">
        <is>
          <t>PGCV_0021_0653</t>
        </is>
      </c>
      <c r="B77" s="8" t="inlineStr">
        <is>
          <t>COVID-SNL-22-63454</t>
        </is>
      </c>
      <c r="C77" s="8" t="inlineStr">
        <is>
          <t>WESTERN VISAYAS MEDICAL CENTER SUB NATIONAL LABORATORY</t>
        </is>
      </c>
      <c r="D77" s="7" t="n">
        <v>6</v>
      </c>
      <c r="E77" s="8" t="inlineStr">
        <is>
          <t>Region VI (Western Visayas)</t>
        </is>
      </c>
      <c r="F77" s="7" t="inlineStr">
        <is>
          <t>17</t>
        </is>
      </c>
      <c r="G77" s="27" t="n">
        <v>44738</v>
      </c>
      <c r="H77" s="7" t="n">
        <v>69</v>
      </c>
      <c r="I77" s="7" t="inlineStr">
        <is>
          <t>F</t>
        </is>
      </c>
      <c r="J77" s="8" t="inlineStr">
        <is>
          <t>Admitted</t>
        </is>
      </c>
      <c r="K77" s="28" t="n">
        <v>27.67</v>
      </c>
      <c r="L77" s="28" t="n"/>
      <c r="M77" s="28" t="n"/>
      <c r="N77" s="28" t="n"/>
      <c r="O77" s="8" t="n"/>
      <c r="P77" s="8" t="n"/>
    </row>
    <row r="78">
      <c r="A78" s="8" t="inlineStr">
        <is>
          <t>PGCV_0022_0826</t>
        </is>
      </c>
      <c r="B78" s="8" t="inlineStr">
        <is>
          <t>22-34654</t>
        </is>
      </c>
      <c r="C78" s="8" t="inlineStr">
        <is>
          <t>USWAG ILOILO CITY MOLECULAR LABORATORY</t>
        </is>
      </c>
      <c r="D78" s="7" t="n">
        <v>6</v>
      </c>
      <c r="E78" s="8" t="inlineStr">
        <is>
          <t>Region VI (Western Visayas)</t>
        </is>
      </c>
      <c r="F78" s="7" t="inlineStr">
        <is>
          <t>18</t>
        </is>
      </c>
      <c r="G78" s="27" t="n">
        <v>44737</v>
      </c>
      <c r="H78" s="7" t="n">
        <v>50</v>
      </c>
      <c r="I78" s="7" t="inlineStr">
        <is>
          <t>M</t>
        </is>
      </c>
      <c r="J78" s="8" t="inlineStr">
        <is>
          <t>Unknown Exposure</t>
        </is>
      </c>
      <c r="K78" s="28" t="n">
        <v>19.9</v>
      </c>
      <c r="L78" s="28" t="n"/>
      <c r="M78" s="28" t="n"/>
      <c r="N78" s="28" t="n"/>
      <c r="O78" s="8" t="n"/>
      <c r="P78" s="8" t="n"/>
    </row>
    <row r="79">
      <c r="A79" s="8" t="inlineStr">
        <is>
          <t>PGCV_0023_0739</t>
        </is>
      </c>
      <c r="B79" s="8" t="inlineStr">
        <is>
          <t>COVID-SNL-22-64846</t>
        </is>
      </c>
      <c r="C79" s="8" t="inlineStr">
        <is>
          <t>WESTERN VISAYAS MEDICAL CENTER SUB NATIONAL LABORATORY</t>
        </is>
      </c>
      <c r="D79" s="7" t="n">
        <v>6</v>
      </c>
      <c r="E79" s="8" t="inlineStr">
        <is>
          <t>Region VI (Western Visayas)</t>
        </is>
      </c>
      <c r="F79" s="7" t="inlineStr">
        <is>
          <t>18</t>
        </is>
      </c>
      <c r="G79" s="27" t="n">
        <v>44742</v>
      </c>
      <c r="H79" s="7" t="n">
        <v>76</v>
      </c>
      <c r="I79" s="7" t="inlineStr">
        <is>
          <t>M</t>
        </is>
      </c>
      <c r="J79" s="8" t="inlineStr">
        <is>
          <t>Admitted</t>
        </is>
      </c>
      <c r="K79" s="28" t="n">
        <v>26.36</v>
      </c>
      <c r="L79" s="28" t="n"/>
      <c r="M79" s="28" t="n"/>
      <c r="N79" s="28" t="n"/>
      <c r="O79" s="8" t="n"/>
      <c r="P79" s="8" t="n"/>
    </row>
    <row r="80">
      <c r="A80" s="8" t="inlineStr">
        <is>
          <t>PGCV_0023_0741</t>
        </is>
      </c>
      <c r="B80" s="8" t="inlineStr">
        <is>
          <t>COVID-SNL-22-64848</t>
        </is>
      </c>
      <c r="C80" s="8" t="inlineStr">
        <is>
          <t>WESTERN VISAYAS MEDICAL CENTER SUB NATIONAL LABORATORY</t>
        </is>
      </c>
      <c r="D80" s="7" t="n">
        <v>6</v>
      </c>
      <c r="E80" s="8" t="inlineStr">
        <is>
          <t>Region VI (Western Visayas)</t>
        </is>
      </c>
      <c r="F80" s="7" t="inlineStr">
        <is>
          <t>18</t>
        </is>
      </c>
      <c r="G80" s="27" t="n">
        <v>44742</v>
      </c>
      <c r="H80" s="7" t="n">
        <v>26</v>
      </c>
      <c r="I80" s="7" t="inlineStr">
        <is>
          <t>M</t>
        </is>
      </c>
      <c r="J80" s="8" t="inlineStr">
        <is>
          <t>Admitted</t>
        </is>
      </c>
      <c r="K80" s="28" t="n">
        <v>25.36</v>
      </c>
      <c r="L80" s="28" t="n"/>
      <c r="M80" s="28" t="n"/>
      <c r="N80" s="28" t="n"/>
      <c r="O80" s="8" t="n"/>
      <c r="P80" s="8" t="n"/>
    </row>
    <row r="81">
      <c r="A81" s="8" t="inlineStr">
        <is>
          <t>PGCV_0023_0742</t>
        </is>
      </c>
      <c r="B81" s="8" t="inlineStr">
        <is>
          <t>COVID-SNL-22-64849</t>
        </is>
      </c>
      <c r="C81" s="8" t="inlineStr">
        <is>
          <t>WESTERN VISAYAS MEDICAL CENTER SUB NATIONAL LABORATORY</t>
        </is>
      </c>
      <c r="D81" s="7" t="n">
        <v>6</v>
      </c>
      <c r="E81" s="8" t="inlineStr">
        <is>
          <t>Region VI (Western Visayas)</t>
        </is>
      </c>
      <c r="F81" s="7" t="inlineStr">
        <is>
          <t>18</t>
        </is>
      </c>
      <c r="G81" s="27" t="n">
        <v>44742</v>
      </c>
      <c r="H81" s="7" t="n">
        <v>46</v>
      </c>
      <c r="I81" s="7" t="inlineStr">
        <is>
          <t>M</t>
        </is>
      </c>
      <c r="J81" s="8" t="inlineStr">
        <is>
          <t>Admitted</t>
        </is>
      </c>
      <c r="K81" s="28" t="n">
        <v>28.83</v>
      </c>
      <c r="L81" s="28" t="n"/>
      <c r="M81" s="28" t="n"/>
      <c r="N81" s="28" t="n"/>
      <c r="O81" s="8" t="n"/>
      <c r="P81" s="8" t="n"/>
    </row>
    <row r="82">
      <c r="A82" s="8" t="inlineStr">
        <is>
          <t>PGCV_0023_0826</t>
        </is>
      </c>
      <c r="B82" s="8" t="inlineStr">
        <is>
          <t>22-34654</t>
        </is>
      </c>
      <c r="C82" s="8" t="inlineStr">
        <is>
          <t>USWAG ILOILO CITY MOLECULAR LABORATORY</t>
        </is>
      </c>
      <c r="D82" s="7" t="n">
        <v>6</v>
      </c>
      <c r="E82" s="8" t="inlineStr">
        <is>
          <t>Region VI (Western Visayas)</t>
        </is>
      </c>
      <c r="F82" s="7" t="inlineStr">
        <is>
          <t>18</t>
        </is>
      </c>
      <c r="G82" s="27" t="n">
        <v>44737</v>
      </c>
      <c r="H82" s="7" t="n">
        <v>50</v>
      </c>
      <c r="I82" s="7" t="inlineStr">
        <is>
          <t>M</t>
        </is>
      </c>
      <c r="J82" s="8" t="inlineStr">
        <is>
          <t>Unknown Exposure</t>
        </is>
      </c>
      <c r="K82" s="28" t="n">
        <v>19.9</v>
      </c>
      <c r="L82" s="28" t="n"/>
      <c r="M82" s="28" t="n"/>
      <c r="N82" s="28" t="n"/>
      <c r="O82" s="8" t="n"/>
      <c r="P82" s="8" t="n"/>
    </row>
    <row r="83">
      <c r="A83" s="8" t="inlineStr">
        <is>
          <t>PGCV_0024_0875</t>
        </is>
      </c>
      <c r="B83" s="8" t="inlineStr">
        <is>
          <t>COVID-SNL-22-66244</t>
        </is>
      </c>
      <c r="C83" s="8" t="inlineStr">
        <is>
          <t>WESTERN VISAYAS MEDICAL CENTER SUB NATIONAL LABORATORY</t>
        </is>
      </c>
      <c r="D83" s="7" t="n">
        <v>6</v>
      </c>
      <c r="E83" s="8" t="inlineStr">
        <is>
          <t>Region VI (Western Visayas)</t>
        </is>
      </c>
      <c r="F83" s="7" t="inlineStr">
        <is>
          <t>19</t>
        </is>
      </c>
      <c r="G83" s="27" t="n">
        <v>44746</v>
      </c>
      <c r="H83" s="7" t="n">
        <v>11</v>
      </c>
      <c r="I83" s="7" t="inlineStr">
        <is>
          <t>M</t>
        </is>
      </c>
      <c r="J83" s="8" t="inlineStr">
        <is>
          <t>Cluster</t>
        </is>
      </c>
      <c r="K83" s="28" t="n">
        <v>28.76</v>
      </c>
      <c r="L83" s="28" t="n"/>
      <c r="M83" s="28" t="n"/>
      <c r="N83" s="28" t="n"/>
      <c r="O83" s="8" t="n"/>
      <c r="P83" s="8" t="n"/>
    </row>
    <row r="84">
      <c r="A84" s="8" t="inlineStr">
        <is>
          <t>PGCV_0024_0888</t>
        </is>
      </c>
      <c r="B84" s="8" t="inlineStr">
        <is>
          <t>COVID-SNL-22-66376</t>
        </is>
      </c>
      <c r="C84" s="8" t="inlineStr">
        <is>
          <t>WESTERN VISAYAS MEDICAL CENTER SUB NATIONAL LABORATORY</t>
        </is>
      </c>
      <c r="D84" s="7" t="n">
        <v>6</v>
      </c>
      <c r="E84" s="8" t="inlineStr">
        <is>
          <t>Region VI (Western Visayas)</t>
        </is>
      </c>
      <c r="F84" s="7" t="inlineStr">
        <is>
          <t>19</t>
        </is>
      </c>
      <c r="G84" s="27" t="n">
        <v>44747</v>
      </c>
      <c r="H84" s="7" t="n">
        <v>36</v>
      </c>
      <c r="I84" s="7" t="inlineStr">
        <is>
          <t>F</t>
        </is>
      </c>
      <c r="J84" s="8" t="inlineStr">
        <is>
          <t>Cluster</t>
        </is>
      </c>
      <c r="K84" s="28" t="n">
        <v>26.7</v>
      </c>
      <c r="L84" s="28" t="n"/>
      <c r="M84" s="28" t="n"/>
      <c r="N84" s="28" t="n"/>
      <c r="O84" s="8" t="n"/>
      <c r="P84" s="8" t="n"/>
    </row>
    <row r="85">
      <c r="A85" s="8" t="inlineStr">
        <is>
          <t>PGCV_0024_0896</t>
        </is>
      </c>
      <c r="B85" s="8" t="inlineStr">
        <is>
          <t>COVID-SNL-22-66454</t>
        </is>
      </c>
      <c r="C85" s="8" t="inlineStr">
        <is>
          <t>WESTERN VISAYAS MEDICAL CENTER SUB NATIONAL LABORATORY</t>
        </is>
      </c>
      <c r="D85" s="7" t="n">
        <v>6</v>
      </c>
      <c r="E85" s="8" t="inlineStr">
        <is>
          <t>Region VI (Western Visayas)</t>
        </is>
      </c>
      <c r="F85" s="7" t="inlineStr">
        <is>
          <t>19</t>
        </is>
      </c>
      <c r="G85" s="27" t="n">
        <v>44747</v>
      </c>
      <c r="H85" s="7" t="n">
        <v>27</v>
      </c>
      <c r="I85" s="7" t="inlineStr">
        <is>
          <t>M</t>
        </is>
      </c>
      <c r="J85" s="8" t="inlineStr">
        <is>
          <t>Cluster</t>
        </is>
      </c>
      <c r="K85" s="28" t="n">
        <v>30.62</v>
      </c>
      <c r="L85" s="28" t="n"/>
      <c r="M85" s="28" t="n"/>
      <c r="N85" s="28" t="n"/>
      <c r="O85" s="8" t="n"/>
      <c r="P85" s="8" t="n"/>
    </row>
    <row r="86">
      <c r="A86" s="8" t="inlineStr">
        <is>
          <t>PGCV_0024_0898</t>
        </is>
      </c>
      <c r="B86" s="8" t="inlineStr">
        <is>
          <t>COVID-SNL-22-66465</t>
        </is>
      </c>
      <c r="C86" s="8" t="inlineStr">
        <is>
          <t>WESTERN VISAYAS MEDICAL CENTER SUB NATIONAL LABORATORY</t>
        </is>
      </c>
      <c r="D86" s="7" t="n">
        <v>6</v>
      </c>
      <c r="E86" s="8" t="inlineStr">
        <is>
          <t>Region VI (Western Visayas)</t>
        </is>
      </c>
      <c r="F86" s="7" t="inlineStr">
        <is>
          <t>19</t>
        </is>
      </c>
      <c r="G86" s="27" t="n">
        <v>44747</v>
      </c>
      <c r="H86" s="7" t="n">
        <v>31</v>
      </c>
      <c r="I86" s="7" t="inlineStr">
        <is>
          <t>F</t>
        </is>
      </c>
      <c r="J86" s="8" t="inlineStr">
        <is>
          <t>Cluster</t>
        </is>
      </c>
      <c r="K86" s="28" t="n">
        <v>14.46</v>
      </c>
      <c r="L86" s="28" t="n"/>
      <c r="M86" s="28" t="n"/>
      <c r="N86" s="28" t="n"/>
      <c r="O86" s="8" t="n"/>
      <c r="P86" s="8" t="n"/>
    </row>
    <row r="87">
      <c r="A87" s="8" t="inlineStr">
        <is>
          <t>PGCV_0024_0899</t>
        </is>
      </c>
      <c r="B87" s="8" t="inlineStr">
        <is>
          <t>COVID-SNL-22-66466</t>
        </is>
      </c>
      <c r="C87" s="8" t="inlineStr">
        <is>
          <t>WESTERN VISAYAS MEDICAL CENTER SUB NATIONAL LABORATORY</t>
        </is>
      </c>
      <c r="D87" s="7" t="n">
        <v>6</v>
      </c>
      <c r="E87" s="8" t="inlineStr">
        <is>
          <t>Region VI (Western Visayas)</t>
        </is>
      </c>
      <c r="F87" s="7" t="inlineStr">
        <is>
          <t>19</t>
        </is>
      </c>
      <c r="G87" s="27" t="n">
        <v>44747</v>
      </c>
      <c r="H87" s="7" t="n">
        <v>65</v>
      </c>
      <c r="I87" s="7" t="inlineStr">
        <is>
          <t>F</t>
        </is>
      </c>
      <c r="J87" s="8" t="inlineStr">
        <is>
          <t>Cluster</t>
        </is>
      </c>
      <c r="K87" s="28" t="n">
        <v>30.39</v>
      </c>
      <c r="L87" s="28" t="n"/>
      <c r="M87" s="28" t="n"/>
      <c r="N87" s="28" t="n"/>
      <c r="O87" s="8" t="n"/>
      <c r="P87" s="8" t="n"/>
    </row>
    <row r="88">
      <c r="A88" s="8" t="inlineStr">
        <is>
          <t>PGCV_0024_0931</t>
        </is>
      </c>
      <c r="B88" s="8" t="inlineStr">
        <is>
          <t>COVID-SNL-22-67155</t>
        </is>
      </c>
      <c r="C88" s="8" t="inlineStr">
        <is>
          <t>WESTERN VISAYAS MEDICAL CENTER SUB NATIONAL LABORATORY</t>
        </is>
      </c>
      <c r="D88" s="7" t="n">
        <v>6</v>
      </c>
      <c r="E88" s="8" t="inlineStr">
        <is>
          <t>Region VI (Western Visayas)</t>
        </is>
      </c>
      <c r="F88" s="7" t="inlineStr">
        <is>
          <t>19</t>
        </is>
      </c>
      <c r="G88" s="27" t="n">
        <v>44749</v>
      </c>
      <c r="H88" s="7" t="n">
        <v>84</v>
      </c>
      <c r="I88" s="7" t="inlineStr">
        <is>
          <t>M</t>
        </is>
      </c>
      <c r="J88" s="8" t="inlineStr">
        <is>
          <t>Cluster</t>
        </is>
      </c>
      <c r="K88" s="28" t="n">
        <v>20.85</v>
      </c>
      <c r="L88" s="28" t="n"/>
      <c r="M88" s="28" t="n"/>
      <c r="N88" s="28" t="n"/>
      <c r="O88" s="8" t="n"/>
      <c r="P88" s="8" t="n"/>
    </row>
    <row r="89">
      <c r="A89" s="8" t="inlineStr">
        <is>
          <t>PGCV_0024_0944</t>
        </is>
      </c>
      <c r="B89" s="8" t="inlineStr">
        <is>
          <t>COVID-SNL-22-67354</t>
        </is>
      </c>
      <c r="C89" s="8" t="inlineStr">
        <is>
          <t>WESTERN VISAYAS MEDICAL CENTER SUB NATIONAL LABORATORY</t>
        </is>
      </c>
      <c r="D89" s="7" t="n">
        <v>6</v>
      </c>
      <c r="E89" s="8" t="inlineStr">
        <is>
          <t>Region VI (Western Visayas)</t>
        </is>
      </c>
      <c r="F89" s="7" t="inlineStr">
        <is>
          <t>19</t>
        </is>
      </c>
      <c r="G89" s="27" t="n">
        <v>44749</v>
      </c>
      <c r="H89" s="7" t="n">
        <v>19</v>
      </c>
      <c r="I89" s="7" t="inlineStr">
        <is>
          <t>M</t>
        </is>
      </c>
      <c r="J89" s="8" t="inlineStr">
        <is>
          <t>Cluster</t>
        </is>
      </c>
      <c r="K89" s="28" t="n">
        <v>16</v>
      </c>
      <c r="L89" s="28" t="n"/>
      <c r="M89" s="28" t="n"/>
      <c r="N89" s="28" t="n"/>
      <c r="O89" s="8" t="n"/>
      <c r="P89" s="8" t="n"/>
    </row>
    <row r="90">
      <c r="A90" s="8" t="inlineStr">
        <is>
          <t>PGCV_0024_0947</t>
        </is>
      </c>
      <c r="B90" s="8" t="inlineStr">
        <is>
          <t>COVID-SNL-22-67371</t>
        </is>
      </c>
      <c r="C90" s="8" t="inlineStr">
        <is>
          <t>WESTERN VISAYAS MEDICAL CENTER SUB NATIONAL LABORATORY</t>
        </is>
      </c>
      <c r="D90" s="7" t="n">
        <v>6</v>
      </c>
      <c r="E90" s="8" t="inlineStr">
        <is>
          <t>Region VI (Western Visayas)</t>
        </is>
      </c>
      <c r="F90" s="7" t="inlineStr">
        <is>
          <t>19</t>
        </is>
      </c>
      <c r="G90" s="27" t="n">
        <v>44749</v>
      </c>
      <c r="H90" s="7" t="n">
        <v>34</v>
      </c>
      <c r="I90" s="7" t="inlineStr">
        <is>
          <t>F</t>
        </is>
      </c>
      <c r="J90" s="8" t="inlineStr">
        <is>
          <t>Cluster</t>
        </is>
      </c>
      <c r="K90" s="28" t="n">
        <v>23.95</v>
      </c>
      <c r="L90" s="28" t="n"/>
      <c r="M90" s="28" t="n"/>
      <c r="N90" s="28" t="n"/>
      <c r="O90" s="8" t="n"/>
      <c r="P90" s="8" t="n"/>
    </row>
    <row r="91">
      <c r="A91" s="8" t="inlineStr">
        <is>
          <t>PGCV_0024_1057</t>
        </is>
      </c>
      <c r="B91" s="8" t="inlineStr">
        <is>
          <t>22-36233</t>
        </is>
      </c>
      <c r="C91" s="8" t="inlineStr">
        <is>
          <t>USWAG ILOILO CITY MOLECULAR LABORATORY</t>
        </is>
      </c>
      <c r="D91" s="7" t="n">
        <v>6</v>
      </c>
      <c r="E91" s="8" t="inlineStr">
        <is>
          <t>Region VI (Western Visayas)</t>
        </is>
      </c>
      <c r="F91" s="7" t="inlineStr">
        <is>
          <t>19</t>
        </is>
      </c>
      <c r="G91" s="27" t="n">
        <v>44748</v>
      </c>
      <c r="H91" s="7" t="n">
        <v>54</v>
      </c>
      <c r="I91" s="7" t="inlineStr">
        <is>
          <t>M</t>
        </is>
      </c>
      <c r="J91" s="8" t="inlineStr">
        <is>
          <t>Unknown Exposure</t>
        </is>
      </c>
      <c r="K91" s="28" t="n">
        <v>16.39</v>
      </c>
      <c r="L91" s="28" t="n"/>
      <c r="M91" s="28" t="n"/>
      <c r="N91" s="28" t="n"/>
      <c r="O91" s="8" t="n"/>
      <c r="P91" s="8" t="n"/>
    </row>
    <row r="92">
      <c r="A92" s="8" t="inlineStr">
        <is>
          <t>PGCV_0025_1166</t>
        </is>
      </c>
      <c r="B92" s="8" t="inlineStr">
        <is>
          <t>COVID-SNL-22-68892</t>
        </is>
      </c>
      <c r="C92" s="8" t="inlineStr">
        <is>
          <t>WESTERN VISAYAS MEDICAL CENTER</t>
        </is>
      </c>
      <c r="D92" s="7" t="n">
        <v>6</v>
      </c>
      <c r="E92" s="8" t="inlineStr">
        <is>
          <t>Region VI (Western Visayas)</t>
        </is>
      </c>
      <c r="F92" s="7" t="inlineStr">
        <is>
          <t>20</t>
        </is>
      </c>
      <c r="G92" s="27" t="n">
        <v>44753</v>
      </c>
      <c r="H92" s="7" t="n">
        <v>42</v>
      </c>
      <c r="I92" s="7" t="inlineStr">
        <is>
          <t>F</t>
        </is>
      </c>
      <c r="J92" s="8" t="inlineStr">
        <is>
          <t>Cluster</t>
        </is>
      </c>
      <c r="K92" s="28" t="n">
        <v>25.67</v>
      </c>
      <c r="L92" s="28" t="n"/>
      <c r="M92" s="28" t="n"/>
      <c r="N92" s="28" t="n"/>
      <c r="O92" s="8" t="n"/>
      <c r="P92" s="8" t="n"/>
    </row>
    <row r="93">
      <c r="A93" s="8" t="inlineStr">
        <is>
          <t>PGCV_0025_1200</t>
        </is>
      </c>
      <c r="B93" s="8" t="inlineStr">
        <is>
          <t>COVID-SNL-22-69454</t>
        </is>
      </c>
      <c r="C93" s="8" t="inlineStr">
        <is>
          <t>WESTERN VISAYAS MEDICAL CENTER</t>
        </is>
      </c>
      <c r="D93" s="7" t="n">
        <v>6</v>
      </c>
      <c r="E93" s="8" t="inlineStr">
        <is>
          <t>Region VI (Western Visayas)</t>
        </is>
      </c>
      <c r="F93" s="7" t="inlineStr">
        <is>
          <t>20</t>
        </is>
      </c>
      <c r="G93" s="27" t="n">
        <v>44755</v>
      </c>
      <c r="H93" s="7" t="n">
        <v>27</v>
      </c>
      <c r="I93" s="7" t="inlineStr">
        <is>
          <t>M</t>
        </is>
      </c>
      <c r="J93" s="8" t="inlineStr">
        <is>
          <t>Cluster</t>
        </is>
      </c>
      <c r="K93" s="28" t="n">
        <v>28.81</v>
      </c>
      <c r="L93" s="28" t="n"/>
      <c r="M93" s="28" t="n"/>
      <c r="N93" s="28" t="n"/>
      <c r="O93" s="8" t="n"/>
      <c r="P93" s="8" t="n"/>
    </row>
    <row r="94">
      <c r="A94" s="8" t="inlineStr">
        <is>
          <t>PGCV_0025_1207</t>
        </is>
      </c>
      <c r="B94" s="8" t="inlineStr">
        <is>
          <t>COVID-SNL-22-69534</t>
        </is>
      </c>
      <c r="C94" s="8" t="inlineStr">
        <is>
          <t>WESTERN VISAYAS MEDICAL CENTER</t>
        </is>
      </c>
      <c r="D94" s="7" t="n">
        <v>6</v>
      </c>
      <c r="E94" s="8" t="inlineStr">
        <is>
          <t>Region VI (Western Visayas)</t>
        </is>
      </c>
      <c r="F94" s="7" t="inlineStr">
        <is>
          <t>20</t>
        </is>
      </c>
      <c r="G94" s="27" t="n">
        <v>44755</v>
      </c>
      <c r="H94" s="7" t="n">
        <v>64</v>
      </c>
      <c r="I94" s="7" t="inlineStr">
        <is>
          <t>M</t>
        </is>
      </c>
      <c r="J94" s="8" t="inlineStr">
        <is>
          <t>Cluster</t>
        </is>
      </c>
      <c r="K94" s="28" t="n">
        <v>29.85</v>
      </c>
      <c r="L94" s="28" t="n"/>
      <c r="M94" s="28" t="n"/>
      <c r="N94" s="28" t="n"/>
      <c r="O94" s="8" t="n"/>
      <c r="P94" s="8" t="n"/>
    </row>
    <row r="95">
      <c r="A95" s="8" t="inlineStr">
        <is>
          <t>PGCV_0025_1242</t>
        </is>
      </c>
      <c r="B95" s="8" t="inlineStr">
        <is>
          <t>COVID-SNL-22-69969</t>
        </is>
      </c>
      <c r="C95" s="8" t="inlineStr">
        <is>
          <t>ST. PAUL'S HOSPITAL OF ILOILO</t>
        </is>
      </c>
      <c r="D95" s="7" t="n">
        <v>6</v>
      </c>
      <c r="E95" s="8" t="inlineStr">
        <is>
          <t>Region VI (Western Visayas)</t>
        </is>
      </c>
      <c r="F95" s="7" t="inlineStr">
        <is>
          <t>20</t>
        </is>
      </c>
      <c r="G95" s="27" t="n">
        <v>44756</v>
      </c>
      <c r="H95" s="7" t="n">
        <v>62</v>
      </c>
      <c r="I95" s="7" t="inlineStr">
        <is>
          <t>F</t>
        </is>
      </c>
      <c r="J95" s="8" t="inlineStr">
        <is>
          <t>Cluster</t>
        </is>
      </c>
      <c r="K95" s="28" t="n">
        <v>29.79</v>
      </c>
      <c r="L95" s="28" t="n"/>
      <c r="M95" s="28" t="n"/>
      <c r="N95" s="28" t="n"/>
      <c r="O95" s="8" t="n"/>
      <c r="P95" s="8" t="n"/>
    </row>
    <row r="96">
      <c r="A96" s="8" t="inlineStr">
        <is>
          <t>PGCV_0025_1243</t>
        </is>
      </c>
      <c r="B96" s="8" t="inlineStr">
        <is>
          <t>COVID-SNL-22-69971</t>
        </is>
      </c>
      <c r="C96" s="8" t="inlineStr">
        <is>
          <t>ST. PAUL'S HOSPITAL OF ILOILO</t>
        </is>
      </c>
      <c r="D96" s="7" t="n">
        <v>6</v>
      </c>
      <c r="E96" s="8" t="inlineStr">
        <is>
          <t>Region VI (Western Visayas)</t>
        </is>
      </c>
      <c r="F96" s="7" t="inlineStr">
        <is>
          <t>20</t>
        </is>
      </c>
      <c r="G96" s="27" t="n">
        <v>44756</v>
      </c>
      <c r="H96" s="7" t="n">
        <v>59</v>
      </c>
      <c r="I96" s="7" t="inlineStr">
        <is>
          <t>F</t>
        </is>
      </c>
      <c r="J96" s="8" t="inlineStr">
        <is>
          <t>Cluster</t>
        </is>
      </c>
      <c r="K96" s="28" t="n">
        <v>27.33</v>
      </c>
      <c r="L96" s="28" t="n"/>
      <c r="M96" s="28" t="n"/>
      <c r="N96" s="28" t="n"/>
      <c r="O96" s="8" t="n"/>
      <c r="P96" s="8" t="n"/>
    </row>
    <row r="97">
      <c r="A97" s="8" t="inlineStr">
        <is>
          <t>PGCV_0025_1245</t>
        </is>
      </c>
      <c r="B97" s="8" t="inlineStr">
        <is>
          <t>COVID-SNL-22-69988</t>
        </is>
      </c>
      <c r="C97" s="8" t="inlineStr">
        <is>
          <t>REP. PEDRO G. TRONO MEMORIAL HOSPITAL</t>
        </is>
      </c>
      <c r="D97" s="7" t="n">
        <v>6</v>
      </c>
      <c r="E97" s="8" t="inlineStr">
        <is>
          <t>Region VI (Western Visayas)</t>
        </is>
      </c>
      <c r="F97" s="7" t="inlineStr">
        <is>
          <t>20</t>
        </is>
      </c>
      <c r="G97" s="27" t="n">
        <v>44756</v>
      </c>
      <c r="H97" s="7" t="n">
        <v>0</v>
      </c>
      <c r="I97" s="7" t="inlineStr">
        <is>
          <t>F</t>
        </is>
      </c>
      <c r="J97" s="8" t="inlineStr">
        <is>
          <t>Admitted</t>
        </is>
      </c>
      <c r="K97" s="28" t="n">
        <v>25.09</v>
      </c>
      <c r="L97" s="28" t="n"/>
      <c r="M97" s="28" t="n"/>
      <c r="N97" s="28" t="n"/>
      <c r="O97" s="8" t="n"/>
      <c r="P97" s="8" t="n"/>
    </row>
    <row r="98">
      <c r="A98" s="8" t="inlineStr">
        <is>
          <t>PGCV_0025_1270</t>
        </is>
      </c>
      <c r="B98" s="8" t="inlineStr">
        <is>
          <t>COVID-SNL-22-70151</t>
        </is>
      </c>
      <c r="C98" s="8" t="inlineStr">
        <is>
          <t>WESTERN VISAYAS MEDICAL CENTER</t>
        </is>
      </c>
      <c r="D98" s="7" t="n">
        <v>6</v>
      </c>
      <c r="E98" s="8" t="inlineStr">
        <is>
          <t>Region VI (Western Visayas)</t>
        </is>
      </c>
      <c r="F98" s="7" t="inlineStr">
        <is>
          <t>20</t>
        </is>
      </c>
      <c r="G98" s="27" t="n">
        <v>44757</v>
      </c>
      <c r="H98" s="7" t="n">
        <v>32</v>
      </c>
      <c r="I98" s="7" t="inlineStr">
        <is>
          <t>F</t>
        </is>
      </c>
      <c r="J98" s="8" t="inlineStr">
        <is>
          <t>Admitted</t>
        </is>
      </c>
      <c r="K98" s="28" t="n">
        <v>28.65</v>
      </c>
      <c r="L98" s="28" t="n"/>
      <c r="M98" s="28" t="n"/>
      <c r="N98" s="28" t="n"/>
      <c r="O98" s="8" t="n"/>
      <c r="P98" s="8" t="n"/>
    </row>
    <row r="99">
      <c r="A99" s="8" t="inlineStr">
        <is>
          <t>PGCV_0026_1400</t>
        </is>
      </c>
      <c r="B99" s="8" t="inlineStr">
        <is>
          <t>COVID-SNL-22-70535</t>
        </is>
      </c>
      <c r="C99" s="8" t="inlineStr">
        <is>
          <t>WESTERN VISAYAS MEDICAL CENTER</t>
        </is>
      </c>
      <c r="D99" s="7" t="n">
        <v>6</v>
      </c>
      <c r="E99" s="8" t="inlineStr">
        <is>
          <t>Region VI (Western Visayas)</t>
        </is>
      </c>
      <c r="F99" s="7" t="inlineStr">
        <is>
          <t>21</t>
        </is>
      </c>
      <c r="G99" s="27" t="n">
        <v>44757</v>
      </c>
      <c r="H99" s="7" t="n">
        <v>59</v>
      </c>
      <c r="I99" s="7" t="inlineStr">
        <is>
          <t>F</t>
        </is>
      </c>
      <c r="J99" s="8" t="inlineStr">
        <is>
          <t>Cluster</t>
        </is>
      </c>
      <c r="K99" s="28" t="n">
        <v>22.38</v>
      </c>
      <c r="L99" s="28" t="n"/>
      <c r="M99" s="28" t="n"/>
      <c r="N99" s="28" t="n"/>
      <c r="O99" s="8" t="n"/>
      <c r="P99" s="8" t="n"/>
    </row>
    <row r="100">
      <c r="A100" s="8" t="inlineStr">
        <is>
          <t>PGCV_0026_1408</t>
        </is>
      </c>
      <c r="B100" s="8" t="inlineStr">
        <is>
          <t>COVID-SNL-22-70718</t>
        </is>
      </c>
      <c r="C100" s="8" t="inlineStr">
        <is>
          <t>WESTERN VISAYAS MEDICAL CENTER</t>
        </is>
      </c>
      <c r="D100" s="7" t="n">
        <v>6</v>
      </c>
      <c r="E100" s="8" t="inlineStr">
        <is>
          <t>Region VI (Western Visayas)</t>
        </is>
      </c>
      <c r="F100" s="7" t="inlineStr">
        <is>
          <t>21</t>
        </is>
      </c>
      <c r="G100" s="27" t="n">
        <v>44758</v>
      </c>
      <c r="H100" s="7" t="n">
        <v>33</v>
      </c>
      <c r="I100" s="7" t="inlineStr">
        <is>
          <t>F</t>
        </is>
      </c>
      <c r="J100" s="8" t="inlineStr">
        <is>
          <t>Cluster</t>
        </is>
      </c>
      <c r="K100" s="28" t="n">
        <v>26.92</v>
      </c>
      <c r="L100" s="28" t="n"/>
      <c r="M100" s="28" t="n"/>
      <c r="N100" s="28" t="n"/>
      <c r="O100" s="8" t="n"/>
      <c r="P100" s="8" t="n"/>
    </row>
    <row r="101">
      <c r="A101" s="8" t="inlineStr">
        <is>
          <t>PGCV_0026_1543</t>
        </is>
      </c>
      <c r="B101" s="8" t="inlineStr">
        <is>
          <t>MLAB176363</t>
        </is>
      </c>
      <c r="C101" s="8" t="inlineStr">
        <is>
          <t>METRO ILOILO HOSPITAL AND MEDICAL CENTER</t>
        </is>
      </c>
      <c r="D101" s="7" t="n">
        <v>6</v>
      </c>
      <c r="E101" s="8" t="inlineStr">
        <is>
          <t>Region VI (Western Visayas)</t>
        </is>
      </c>
      <c r="F101" s="7" t="inlineStr">
        <is>
          <t>21</t>
        </is>
      </c>
      <c r="G101" s="27" t="n">
        <v>44754</v>
      </c>
      <c r="H101" s="7" t="n">
        <v>47</v>
      </c>
      <c r="I101" s="7" t="inlineStr">
        <is>
          <t>F</t>
        </is>
      </c>
      <c r="J101" s="8" t="inlineStr">
        <is>
          <t>Returning Overseas Filipino</t>
        </is>
      </c>
      <c r="K101" s="28" t="n"/>
      <c r="L101" s="28" t="n">
        <v>19.13</v>
      </c>
      <c r="M101" s="28" t="n">
        <v>22.39</v>
      </c>
      <c r="N101" s="28" t="n"/>
      <c r="O101" s="8" t="n"/>
      <c r="P101" s="8" t="n"/>
    </row>
    <row r="102">
      <c r="A102" s="8" t="inlineStr">
        <is>
          <t>PGCV_0026_1602</t>
        </is>
      </c>
      <c r="B102" s="8" t="inlineStr">
        <is>
          <t>C33523</t>
        </is>
      </c>
      <c r="C102" s="8" t="inlineStr">
        <is>
          <t>TERESITA L. JALANDONI PROVINCIAL HOSPITAL MOLECULAR LABORATORY</t>
        </is>
      </c>
      <c r="D102" s="7" t="n">
        <v>6</v>
      </c>
      <c r="E102" s="8" t="inlineStr">
        <is>
          <t>Region VI (Western Visayas)</t>
        </is>
      </c>
      <c r="F102" s="7" t="inlineStr">
        <is>
          <t>21</t>
        </is>
      </c>
      <c r="G102" s="27" t="n">
        <v>44764</v>
      </c>
      <c r="H102" s="7" t="n">
        <v>20</v>
      </c>
      <c r="I102" s="7" t="inlineStr">
        <is>
          <t>F</t>
        </is>
      </c>
      <c r="J102" s="8" t="inlineStr">
        <is>
          <t>Unknown Exposure</t>
        </is>
      </c>
      <c r="K102" s="28" t="n">
        <v>28.32</v>
      </c>
      <c r="L102" s="28" t="n">
        <v>29.13</v>
      </c>
      <c r="M102" s="28" t="n"/>
      <c r="N102" s="28" t="n"/>
      <c r="O102" s="8" t="n"/>
      <c r="P102" s="8" t="n"/>
    </row>
    <row r="103">
      <c r="A103" s="8" t="inlineStr">
        <is>
          <t>PGCV_0027_1703</t>
        </is>
      </c>
      <c r="B103" s="8" t="inlineStr">
        <is>
          <t>COVID-SNL-22-73004</t>
        </is>
      </c>
      <c r="C103" s="8" t="inlineStr">
        <is>
          <t>SAN LORENZO RURAL HEALTH UNIT</t>
        </is>
      </c>
      <c r="D103" s="7" t="n">
        <v>6</v>
      </c>
      <c r="E103" s="8" t="inlineStr">
        <is>
          <t>Region VI (Western Visayas)</t>
        </is>
      </c>
      <c r="F103" s="7" t="inlineStr">
        <is>
          <t>22</t>
        </is>
      </c>
      <c r="G103" s="27" t="n">
        <v>44764</v>
      </c>
      <c r="H103" s="7" t="n">
        <v>26</v>
      </c>
      <c r="I103" s="7" t="inlineStr">
        <is>
          <t>F</t>
        </is>
      </c>
      <c r="J103" s="8" t="inlineStr">
        <is>
          <t>Cluster</t>
        </is>
      </c>
      <c r="K103" s="28" t="n">
        <v>21.18</v>
      </c>
      <c r="L103" s="28" t="n"/>
      <c r="M103" s="28" t="n"/>
      <c r="N103" s="28" t="n"/>
      <c r="O103" s="8" t="n"/>
      <c r="P103" s="8" t="n"/>
    </row>
    <row r="104">
      <c r="A104" s="8" t="inlineStr">
        <is>
          <t>PGCV_0027_1758</t>
        </is>
      </c>
      <c r="B104" s="8" t="inlineStr">
        <is>
          <t>COVID-SNL-22-73996</t>
        </is>
      </c>
      <c r="C104" s="8" t="inlineStr">
        <is>
          <t>PASSI CITY HEALTH OFFICE</t>
        </is>
      </c>
      <c r="D104" s="7" t="n">
        <v>6</v>
      </c>
      <c r="E104" s="8" t="inlineStr">
        <is>
          <t>Region VI (Western Visayas)</t>
        </is>
      </c>
      <c r="F104" s="7" t="inlineStr">
        <is>
          <t>22</t>
        </is>
      </c>
      <c r="G104" s="27" t="n">
        <v>44767</v>
      </c>
      <c r="H104" s="7" t="n">
        <v>37</v>
      </c>
      <c r="I104" s="7" t="inlineStr">
        <is>
          <t>M</t>
        </is>
      </c>
      <c r="J104" s="8" t="inlineStr">
        <is>
          <t>Cluster</t>
        </is>
      </c>
      <c r="K104" s="28" t="n">
        <v>24.27</v>
      </c>
      <c r="L104" s="28" t="n"/>
      <c r="M104" s="28" t="n"/>
      <c r="N104" s="28" t="n"/>
      <c r="O104" s="8" t="n"/>
      <c r="P104" s="8" t="n"/>
    </row>
    <row r="105">
      <c r="A105" s="8" t="inlineStr">
        <is>
          <t>PGCV_0027_1828</t>
        </is>
      </c>
      <c r="B105" s="8" t="inlineStr">
        <is>
          <t>COVID-SNL-22-74742</t>
        </is>
      </c>
      <c r="C105" s="8" t="inlineStr">
        <is>
          <t>WESTERN VISAYAS MEDICAL CENTER</t>
        </is>
      </c>
      <c r="D105" s="7" t="n">
        <v>6</v>
      </c>
      <c r="E105" s="8" t="inlineStr">
        <is>
          <t>Region VI (Western Visayas)</t>
        </is>
      </c>
      <c r="F105" s="7" t="inlineStr">
        <is>
          <t>22</t>
        </is>
      </c>
      <c r="G105" s="27" t="n">
        <v>44768</v>
      </c>
      <c r="H105" s="7" t="n">
        <v>73</v>
      </c>
      <c r="I105" s="7" t="inlineStr">
        <is>
          <t>M</t>
        </is>
      </c>
      <c r="J105" s="8" t="inlineStr">
        <is>
          <t>Admitted</t>
        </is>
      </c>
      <c r="K105" s="28" t="n">
        <v>25.4</v>
      </c>
      <c r="L105" s="28" t="n"/>
      <c r="M105" s="28" t="n"/>
      <c r="N105" s="28" t="n"/>
      <c r="O105" s="8" t="n"/>
      <c r="P105" s="8" t="n"/>
    </row>
    <row r="106">
      <c r="A106" s="8" t="inlineStr">
        <is>
          <t>PGCV_0027_1830</t>
        </is>
      </c>
      <c r="B106" s="8" t="inlineStr">
        <is>
          <t>COVID-SNL-22-74793</t>
        </is>
      </c>
      <c r="C106" s="8" t="inlineStr">
        <is>
          <t>WESTERN VISAYAS MEDICAL CENTER</t>
        </is>
      </c>
      <c r="D106" s="7" t="n">
        <v>6</v>
      </c>
      <c r="E106" s="8" t="inlineStr">
        <is>
          <t>Region VI (Western Visayas)</t>
        </is>
      </c>
      <c r="F106" s="7" t="inlineStr">
        <is>
          <t>22</t>
        </is>
      </c>
      <c r="G106" s="27" t="n">
        <v>44769</v>
      </c>
      <c r="H106" s="7" t="n">
        <v>36</v>
      </c>
      <c r="I106" s="7" t="inlineStr">
        <is>
          <t>M</t>
        </is>
      </c>
      <c r="J106" s="8" t="inlineStr">
        <is>
          <t>Cluster</t>
        </is>
      </c>
      <c r="K106" s="28" t="n">
        <v>19.25</v>
      </c>
      <c r="L106" s="28" t="n"/>
      <c r="M106" s="28" t="n"/>
      <c r="N106" s="28" t="n"/>
      <c r="O106" s="8" t="n"/>
      <c r="P106" s="8" t="n"/>
    </row>
    <row r="107">
      <c r="A107" s="8" t="inlineStr">
        <is>
          <t>PGCV_0028_2021</t>
        </is>
      </c>
      <c r="B107" s="8" t="inlineStr">
        <is>
          <t>COVID-SNL-22-75569</t>
        </is>
      </c>
      <c r="C107" s="8" t="inlineStr">
        <is>
          <t>ILOILO DOCTOR'S HOSPITAL, INC.</t>
        </is>
      </c>
      <c r="D107" s="7" t="n">
        <v>6</v>
      </c>
      <c r="E107" s="8" t="inlineStr">
        <is>
          <t>Region VI (Western Visayas)</t>
        </is>
      </c>
      <c r="F107" s="7" t="inlineStr">
        <is>
          <t>23</t>
        </is>
      </c>
      <c r="G107" s="27" t="n">
        <v>44770</v>
      </c>
      <c r="H107" s="7" t="n">
        <v>23</v>
      </c>
      <c r="I107" s="7" t="inlineStr">
        <is>
          <t>F</t>
        </is>
      </c>
      <c r="J107" s="8" t="inlineStr">
        <is>
          <t>Cluster</t>
        </is>
      </c>
      <c r="K107" s="28" t="n">
        <v>18.68</v>
      </c>
      <c r="L107" s="28" t="n"/>
      <c r="M107" s="28" t="n"/>
      <c r="N107" s="28" t="n"/>
      <c r="O107" s="8" t="n"/>
      <c r="P107" s="8" t="n"/>
    </row>
    <row r="108">
      <c r="A108" s="8" t="inlineStr">
        <is>
          <t>PGCV_0028_2125</t>
        </is>
      </c>
      <c r="B108" s="8" t="inlineStr">
        <is>
          <t>COVID-SNL-22-78033</t>
        </is>
      </c>
      <c r="C108" s="8" t="inlineStr">
        <is>
          <t>NUEVA VALENCIA RURAL HEALTH UNIT</t>
        </is>
      </c>
      <c r="D108" s="7" t="n">
        <v>6</v>
      </c>
      <c r="E108" s="8" t="inlineStr">
        <is>
          <t>Region VI (Western Visayas)</t>
        </is>
      </c>
      <c r="F108" s="7" t="inlineStr">
        <is>
          <t>23</t>
        </is>
      </c>
      <c r="G108" s="27" t="n">
        <v>44776</v>
      </c>
      <c r="H108" s="7" t="n">
        <v>21</v>
      </c>
      <c r="I108" s="7" t="inlineStr">
        <is>
          <t>F</t>
        </is>
      </c>
      <c r="J108" s="8" t="inlineStr">
        <is>
          <t>Cluster</t>
        </is>
      </c>
      <c r="K108" s="28" t="n">
        <v>24.94</v>
      </c>
      <c r="L108" s="28" t="n"/>
      <c r="M108" s="28" t="n"/>
      <c r="N108" s="28" t="n"/>
      <c r="O108" s="8" t="n"/>
      <c r="P108" s="8" t="n"/>
    </row>
    <row r="109">
      <c r="A109" s="8" t="inlineStr">
        <is>
          <t>PGCV_0028_2138</t>
        </is>
      </c>
      <c r="B109" s="8" t="inlineStr">
        <is>
          <t>COVID-SNL-22-77123</t>
        </is>
      </c>
      <c r="C109" s="8" t="inlineStr">
        <is>
          <t>WESTERN VISAYAS MEDICAL CENTER</t>
        </is>
      </c>
      <c r="D109" s="7" t="n">
        <v>6</v>
      </c>
      <c r="E109" s="8" t="inlineStr">
        <is>
          <t>Region VI (Western Visayas)</t>
        </is>
      </c>
      <c r="F109" s="7" t="inlineStr">
        <is>
          <t>23</t>
        </is>
      </c>
      <c r="G109" s="27" t="n">
        <v>44774</v>
      </c>
      <c r="H109" s="7" t="n">
        <v>37</v>
      </c>
      <c r="I109" s="7" t="inlineStr">
        <is>
          <t>F</t>
        </is>
      </c>
      <c r="J109" s="8" t="inlineStr">
        <is>
          <t>Cluster</t>
        </is>
      </c>
      <c r="K109" s="28" t="n">
        <v>26</v>
      </c>
      <c r="L109" s="28" t="n"/>
      <c r="M109" s="28" t="n"/>
      <c r="N109" s="28" t="n"/>
      <c r="O109" s="8" t="n"/>
      <c r="P109" s="8" t="n"/>
    </row>
    <row r="110">
      <c r="A110" s="8" t="inlineStr">
        <is>
          <t>PGCV_0028_2151</t>
        </is>
      </c>
      <c r="B110" s="8" t="inlineStr">
        <is>
          <t>COVID-SNL-22-77177</t>
        </is>
      </c>
      <c r="C110" s="8" t="inlineStr">
        <is>
          <t>WESTERN VISAYAS MEDICAL CENTER</t>
        </is>
      </c>
      <c r="D110" s="7" t="n">
        <v>6</v>
      </c>
      <c r="E110" s="8" t="inlineStr">
        <is>
          <t>Region VI (Western Visayas)</t>
        </is>
      </c>
      <c r="F110" s="7" t="inlineStr">
        <is>
          <t>23</t>
        </is>
      </c>
      <c r="G110" s="27" t="n">
        <v>44774</v>
      </c>
      <c r="H110" s="7" t="n">
        <v>69</v>
      </c>
      <c r="I110" s="7" t="inlineStr">
        <is>
          <t>F</t>
        </is>
      </c>
      <c r="J110" s="8" t="inlineStr">
        <is>
          <t>Admitted</t>
        </is>
      </c>
      <c r="K110" s="28" t="n">
        <v>16.35</v>
      </c>
      <c r="L110" s="28" t="n"/>
      <c r="M110" s="28" t="n"/>
      <c r="N110" s="28" t="n"/>
      <c r="O110" s="8" t="n"/>
      <c r="P110" s="8" t="n"/>
    </row>
    <row r="111">
      <c r="A111" s="8" t="inlineStr">
        <is>
          <t>PGCV_0028_2278</t>
        </is>
      </c>
      <c r="B111" s="8" t="inlineStr">
        <is>
          <t>C35285</t>
        </is>
      </c>
      <c r="C111" s="8" t="inlineStr">
        <is>
          <t>TERESITA L. JALANDONI PROVINCIAL HOSPITAL MOLECULAR LABORATORY</t>
        </is>
      </c>
      <c r="D111" s="7" t="n">
        <v>6</v>
      </c>
      <c r="E111" s="8" t="inlineStr">
        <is>
          <t>Region VI (Western Visayas)</t>
        </is>
      </c>
      <c r="F111" s="7" t="inlineStr">
        <is>
          <t>23</t>
        </is>
      </c>
      <c r="G111" s="27" t="n">
        <v>44779</v>
      </c>
      <c r="H111" s="7" t="n">
        <v>61</v>
      </c>
      <c r="I111" s="7" t="inlineStr">
        <is>
          <t>F</t>
        </is>
      </c>
      <c r="J111" s="8" t="inlineStr">
        <is>
          <t>Admitted</t>
        </is>
      </c>
      <c r="K111" s="28" t="n">
        <v>30.56</v>
      </c>
      <c r="L111" s="28" t="n">
        <v>28.91</v>
      </c>
      <c r="M111" s="28" t="n"/>
      <c r="N111" s="28" t="n"/>
      <c r="O111" s="8" t="n"/>
      <c r="P111" s="8" t="n"/>
    </row>
    <row r="112">
      <c r="A112" s="8" t="inlineStr">
        <is>
          <t>PGCV_0028_2296</t>
        </is>
      </c>
      <c r="B112" s="8" t="inlineStr">
        <is>
          <t>739B115438</t>
        </is>
      </c>
      <c r="C112" s="8" t="inlineStr">
        <is>
          <t>CORAZON LOCSIN MONTELIBANO MEMORIAL REGIONAL HOSPITAL</t>
        </is>
      </c>
      <c r="D112" s="7" t="n">
        <v>6</v>
      </c>
      <c r="E112" s="8" t="inlineStr">
        <is>
          <t>Region VI (Western Visayas)</t>
        </is>
      </c>
      <c r="F112" s="7" t="inlineStr">
        <is>
          <t>23</t>
        </is>
      </c>
      <c r="G112" s="27" t="n">
        <v>44776</v>
      </c>
      <c r="H112" s="7" t="n">
        <v>27</v>
      </c>
      <c r="I112" s="7" t="inlineStr">
        <is>
          <t>F</t>
        </is>
      </c>
      <c r="J112" s="8" t="inlineStr">
        <is>
          <t>Cluster</t>
        </is>
      </c>
      <c r="K112" s="28" t="n">
        <v>25.31</v>
      </c>
      <c r="L112" s="28" t="n">
        <v>22.76</v>
      </c>
      <c r="M112" s="28" t="n"/>
      <c r="N112" s="28" t="n"/>
      <c r="O112" s="8" t="n"/>
      <c r="P112" s="8" t="n"/>
    </row>
    <row r="113">
      <c r="A113" s="8" t="inlineStr">
        <is>
          <t>PGCV_0028_2309</t>
        </is>
      </c>
      <c r="B113" s="8" t="inlineStr">
        <is>
          <t>741B115666</t>
        </is>
      </c>
      <c r="C113" s="8" t="inlineStr">
        <is>
          <t>CORAZON LOCSIN MONTELIBANO MEMORIAL REGIONAL HOSPITAL</t>
        </is>
      </c>
      <c r="D113" s="7" t="n">
        <v>6</v>
      </c>
      <c r="E113" s="8" t="inlineStr">
        <is>
          <t>Region VI (Western Visayas)</t>
        </is>
      </c>
      <c r="F113" s="7" t="inlineStr">
        <is>
          <t>23</t>
        </is>
      </c>
      <c r="G113" s="27" t="n">
        <v>44778</v>
      </c>
      <c r="H113" s="7" t="n">
        <v>22</v>
      </c>
      <c r="I113" s="7" t="inlineStr">
        <is>
          <t>F</t>
        </is>
      </c>
      <c r="J113" s="8" t="inlineStr">
        <is>
          <t>Cluster</t>
        </is>
      </c>
      <c r="K113" s="28" t="n">
        <v>28.85</v>
      </c>
      <c r="L113" s="28" t="n">
        <v>24.31</v>
      </c>
      <c r="M113" s="28" t="n"/>
      <c r="N113" s="28" t="n"/>
      <c r="O113" s="8" t="n"/>
      <c r="P113" s="8" t="n"/>
    </row>
    <row r="114">
      <c r="A114" s="8" t="inlineStr">
        <is>
          <t>PGCV_0029_2341</t>
        </is>
      </c>
      <c r="B114" s="8" t="inlineStr">
        <is>
          <t>COVID-SNL-22-78956</t>
        </is>
      </c>
      <c r="C114" s="8" t="inlineStr">
        <is>
          <t>ST. PAUL'S HOSPITAL OF ILOILO, INC.</t>
        </is>
      </c>
      <c r="D114" s="7" t="n">
        <v>6</v>
      </c>
      <c r="E114" s="8" t="inlineStr">
        <is>
          <t>Region VI (Western Visayas)</t>
        </is>
      </c>
      <c r="F114" s="7" t="inlineStr">
        <is>
          <t>24</t>
        </is>
      </c>
      <c r="G114" s="27" t="n">
        <v>44778</v>
      </c>
      <c r="H114" s="7" t="n">
        <v>65</v>
      </c>
      <c r="I114" s="7" t="inlineStr">
        <is>
          <t>M</t>
        </is>
      </c>
      <c r="J114" s="8" t="inlineStr">
        <is>
          <t>Cluster</t>
        </is>
      </c>
      <c r="K114" s="28" t="n">
        <v>17.24</v>
      </c>
      <c r="L114" s="28" t="n"/>
      <c r="M114" s="28" t="n"/>
      <c r="N114" s="28" t="n"/>
      <c r="O114" s="8" t="n"/>
      <c r="P114" s="8" t="n"/>
    </row>
    <row r="115">
      <c r="A115" s="8" t="inlineStr">
        <is>
          <t>PGCV_0029_2381</t>
        </is>
      </c>
      <c r="B115" s="8" t="inlineStr">
        <is>
          <t>COVID-SNL-22-79700</t>
        </is>
      </c>
      <c r="C115" s="8" t="inlineStr">
        <is>
          <t>WESTERN VISAYAS MEDICAL CENTER</t>
        </is>
      </c>
      <c r="D115" s="7" t="n">
        <v>6</v>
      </c>
      <c r="E115" s="8" t="inlineStr">
        <is>
          <t>Region VI (Western Visayas)</t>
        </is>
      </c>
      <c r="F115" s="7" t="inlineStr">
        <is>
          <t>24</t>
        </is>
      </c>
      <c r="G115" s="27" t="n">
        <v>44781</v>
      </c>
      <c r="H115" s="7" t="n">
        <v>35</v>
      </c>
      <c r="I115" s="7" t="inlineStr">
        <is>
          <t>F</t>
        </is>
      </c>
      <c r="J115" s="8" t="inlineStr">
        <is>
          <t>Cluster</t>
        </is>
      </c>
      <c r="K115" s="28" t="n">
        <v>29.59</v>
      </c>
      <c r="L115" s="28" t="n"/>
      <c r="M115" s="28" t="n"/>
      <c r="N115" s="28" t="n"/>
      <c r="O115" s="8" t="n"/>
      <c r="P115" s="8" t="n"/>
    </row>
    <row r="116">
      <c r="A116" s="8" t="inlineStr">
        <is>
          <t>PGCV_0029_2441</t>
        </is>
      </c>
      <c r="B116" s="8" t="inlineStr">
        <is>
          <t>COVID-SNL-22-80604</t>
        </is>
      </c>
      <c r="C116" s="8" t="inlineStr">
        <is>
          <t>LEON RURAL HEALTH UNIT</t>
        </is>
      </c>
      <c r="D116" s="7" t="n">
        <v>6</v>
      </c>
      <c r="E116" s="8" t="inlineStr">
        <is>
          <t>Region VI (Western Visayas)</t>
        </is>
      </c>
      <c r="F116" s="7" t="inlineStr">
        <is>
          <t>24</t>
        </is>
      </c>
      <c r="G116" s="27" t="n">
        <v>44783</v>
      </c>
      <c r="H116" s="7" t="n">
        <v>26</v>
      </c>
      <c r="I116" s="7" t="inlineStr">
        <is>
          <t>F</t>
        </is>
      </c>
      <c r="J116" s="8" t="inlineStr">
        <is>
          <t>Cluster</t>
        </is>
      </c>
      <c r="K116" s="28" t="n">
        <v>30.01</v>
      </c>
      <c r="L116" s="28" t="n"/>
      <c r="M116" s="28" t="n"/>
      <c r="N116" s="28" t="n"/>
      <c r="O116" s="8" t="n"/>
      <c r="P116" s="8" t="n"/>
    </row>
    <row r="117">
      <c r="A117" s="8" t="inlineStr">
        <is>
          <t>PGCV_0029_2611</t>
        </is>
      </c>
      <c r="B117" s="8" t="inlineStr">
        <is>
          <t>748B116688</t>
        </is>
      </c>
      <c r="C117" s="8" t="inlineStr">
        <is>
          <t>CLMMRH-ML</t>
        </is>
      </c>
      <c r="D117" s="7" t="n">
        <v>6</v>
      </c>
      <c r="E117" s="8" t="inlineStr">
        <is>
          <t>Region VI (Western Visayas)</t>
        </is>
      </c>
      <c r="F117" s="7" t="inlineStr">
        <is>
          <t>24</t>
        </is>
      </c>
      <c r="G117" s="27" t="n">
        <v>44785</v>
      </c>
      <c r="H117" s="7" t="n">
        <v>55</v>
      </c>
      <c r="I117" s="7" t="inlineStr">
        <is>
          <t>F</t>
        </is>
      </c>
      <c r="J117" s="8" t="inlineStr">
        <is>
          <t>Admitted</t>
        </is>
      </c>
      <c r="K117" s="28" t="n">
        <v>22.78</v>
      </c>
      <c r="L117" s="28" t="n"/>
      <c r="M117" s="28" t="n"/>
      <c r="N117" s="28" t="n"/>
      <c r="O117" s="8" t="n"/>
      <c r="P117" s="8" t="n"/>
    </row>
    <row r="118">
      <c r="A118" s="8" t="inlineStr">
        <is>
          <t>PGCV_0029_2613</t>
        </is>
      </c>
      <c r="B118" s="8" t="inlineStr">
        <is>
          <t>748B116700</t>
        </is>
      </c>
      <c r="C118" s="8" t="inlineStr">
        <is>
          <t>CLMMRH-ML</t>
        </is>
      </c>
      <c r="D118" s="7" t="n">
        <v>6</v>
      </c>
      <c r="E118" s="8" t="inlineStr">
        <is>
          <t>Region VI (Western Visayas)</t>
        </is>
      </c>
      <c r="F118" s="7" t="inlineStr">
        <is>
          <t>24</t>
        </is>
      </c>
      <c r="G118" s="27" t="n">
        <v>44785</v>
      </c>
      <c r="H118" s="7" t="n">
        <v>35</v>
      </c>
      <c r="I118" s="7" t="inlineStr">
        <is>
          <t>F</t>
        </is>
      </c>
      <c r="J118" s="8" t="inlineStr">
        <is>
          <t>Reinfection</t>
        </is>
      </c>
      <c r="K118" s="28" t="n">
        <v>22.95</v>
      </c>
      <c r="L118" s="28" t="n"/>
      <c r="M118" s="28" t="n"/>
      <c r="N118" s="28" t="n"/>
      <c r="O118" s="8" t="n"/>
      <c r="P118" s="8" t="n"/>
    </row>
    <row r="119">
      <c r="A119" s="8" t="inlineStr">
        <is>
          <t>PGCV_0029_2616</t>
        </is>
      </c>
      <c r="B119" s="8" t="inlineStr">
        <is>
          <t>749B116819</t>
        </is>
      </c>
      <c r="C119" s="8" t="inlineStr">
        <is>
          <t>CLMMRH-ML</t>
        </is>
      </c>
      <c r="D119" s="7" t="n">
        <v>6</v>
      </c>
      <c r="E119" s="8" t="inlineStr">
        <is>
          <t>Region VI (Western Visayas)</t>
        </is>
      </c>
      <c r="F119" s="7" t="inlineStr">
        <is>
          <t>24</t>
        </is>
      </c>
      <c r="G119" s="27" t="n">
        <v>44786</v>
      </c>
      <c r="H119" s="7" t="n">
        <v>30</v>
      </c>
      <c r="I119" s="7" t="inlineStr">
        <is>
          <t>F</t>
        </is>
      </c>
      <c r="J119" s="8" t="inlineStr">
        <is>
          <t>Unknown Exposure</t>
        </is>
      </c>
      <c r="K119" s="28" t="n">
        <v>30.07</v>
      </c>
      <c r="L119" s="28" t="n">
        <v>22.58</v>
      </c>
      <c r="M119" s="28" t="n"/>
      <c r="N119" s="28" t="n"/>
      <c r="O119" s="8" t="n"/>
      <c r="P119" s="8" t="n"/>
    </row>
    <row r="120">
      <c r="A120" s="8" t="inlineStr">
        <is>
          <t>PGCV_0030_2555</t>
        </is>
      </c>
      <c r="B120" s="8" t="inlineStr">
        <is>
          <t>22-41079</t>
        </is>
      </c>
      <c r="C120" s="8" t="inlineStr">
        <is>
          <t>USWAG ILOILO CITY MOLECULAR LABORATORY</t>
        </is>
      </c>
      <c r="D120" s="7" t="n">
        <v>6</v>
      </c>
      <c r="E120" s="8" t="inlineStr">
        <is>
          <t>Region VI (Western Visayas)</t>
        </is>
      </c>
      <c r="F120" s="7" t="inlineStr">
        <is>
          <t>25</t>
        </is>
      </c>
      <c r="G120" s="27" t="n">
        <v>44782</v>
      </c>
      <c r="H120" s="7" t="n">
        <v>39</v>
      </c>
      <c r="I120" s="7" t="inlineStr">
        <is>
          <t>F</t>
        </is>
      </c>
      <c r="J120" s="8" t="inlineStr">
        <is>
          <t>Unknown Exposure</t>
        </is>
      </c>
      <c r="K120" s="28" t="n">
        <v>19.9</v>
      </c>
      <c r="L120" s="28" t="n"/>
      <c r="M120" s="28" t="n"/>
      <c r="N120" s="28" t="n"/>
      <c r="O120" s="8" t="n"/>
      <c r="P120" s="8" t="n"/>
    </row>
    <row r="121">
      <c r="A121" s="8" t="inlineStr">
        <is>
          <t>PGCV_0030_2687</t>
        </is>
      </c>
      <c r="B121" s="8" t="inlineStr">
        <is>
          <t>COVID-SNL-22-83169</t>
        </is>
      </c>
      <c r="C121" s="8" t="inlineStr">
        <is>
          <t>WESTERN VISAYAS MEDICAL CENTER</t>
        </is>
      </c>
      <c r="D121" s="7" t="n">
        <v>6</v>
      </c>
      <c r="E121" s="8" t="inlineStr">
        <is>
          <t>Region VI (Western Visayas)</t>
        </is>
      </c>
      <c r="F121" s="7" t="inlineStr">
        <is>
          <t>25</t>
        </is>
      </c>
      <c r="G121" s="27" t="n">
        <v>44788</v>
      </c>
      <c r="H121" s="7" t="n">
        <v>35</v>
      </c>
      <c r="I121" s="7" t="inlineStr">
        <is>
          <t>F</t>
        </is>
      </c>
      <c r="J121" s="8" t="inlineStr">
        <is>
          <t>Cluster</t>
        </is>
      </c>
      <c r="K121" s="28" t="n">
        <v>24.82</v>
      </c>
      <c r="L121" s="28" t="n"/>
      <c r="M121" s="28" t="n"/>
      <c r="N121" s="28" t="n"/>
      <c r="O121" s="8" t="n"/>
      <c r="P121" s="8" t="n"/>
    </row>
    <row r="122">
      <c r="A122" s="8" t="inlineStr">
        <is>
          <t>PGCV_0030_2723</t>
        </is>
      </c>
      <c r="B122" s="8" t="inlineStr">
        <is>
          <t>COVID-SNL-22-83739</t>
        </is>
      </c>
      <c r="C122" s="8" t="inlineStr">
        <is>
          <t>WESTERN VISAYAS MEDICAL CENTER</t>
        </is>
      </c>
      <c r="D122" s="7" t="n">
        <v>6</v>
      </c>
      <c r="E122" s="8" t="inlineStr">
        <is>
          <t>Region VI (Western Visayas)</t>
        </is>
      </c>
      <c r="F122" s="7" t="inlineStr">
        <is>
          <t>25</t>
        </is>
      </c>
      <c r="G122" s="27" t="n">
        <v>44790</v>
      </c>
      <c r="H122" s="7" t="n">
        <v>67</v>
      </c>
      <c r="I122" s="7" t="inlineStr">
        <is>
          <t>F</t>
        </is>
      </c>
      <c r="J122" s="8" t="inlineStr">
        <is>
          <t>Cluster</t>
        </is>
      </c>
      <c r="K122" s="28" t="n">
        <v>25.53</v>
      </c>
      <c r="L122" s="28" t="n"/>
      <c r="M122" s="28" t="n"/>
      <c r="N122" s="28" t="n"/>
      <c r="O122" s="8" t="n"/>
      <c r="P122" s="8" t="n"/>
    </row>
    <row r="123">
      <c r="A123" s="8" t="inlineStr">
        <is>
          <t>PGCV_0030_2746</t>
        </is>
      </c>
      <c r="B123" s="8" t="inlineStr">
        <is>
          <t>COVID-SNL-22-81822</t>
        </is>
      </c>
      <c r="C123" s="8" t="inlineStr">
        <is>
          <t>WESTERN VISAYAS MEDICAL CENTER</t>
        </is>
      </c>
      <c r="D123" s="7" t="n">
        <v>6</v>
      </c>
      <c r="E123" s="8" t="inlineStr">
        <is>
          <t>Region VI (Western Visayas)</t>
        </is>
      </c>
      <c r="F123" s="7" t="inlineStr">
        <is>
          <t>25</t>
        </is>
      </c>
      <c r="G123" s="27" t="n">
        <v>44785</v>
      </c>
      <c r="H123" s="7" t="n">
        <v>34</v>
      </c>
      <c r="I123" s="7" t="inlineStr">
        <is>
          <t>F</t>
        </is>
      </c>
      <c r="J123" s="8" t="inlineStr">
        <is>
          <t>Cluster</t>
        </is>
      </c>
      <c r="K123" s="28" t="n">
        <v>26.92</v>
      </c>
      <c r="L123" s="28" t="n"/>
      <c r="M123" s="28" t="n"/>
      <c r="N123" s="28" t="n"/>
      <c r="O123" s="8" t="n"/>
      <c r="P123" s="8" t="n"/>
    </row>
    <row r="124">
      <c r="A124" s="8" t="inlineStr">
        <is>
          <t>PGCV_0030_2747</t>
        </is>
      </c>
      <c r="B124" s="8" t="inlineStr">
        <is>
          <t>COVID-SNL-22-81860</t>
        </is>
      </c>
      <c r="C124" s="8" t="inlineStr">
        <is>
          <t>DR. CATALINO GALLEGO NAVA PROVINCIAL HOSPITAL</t>
        </is>
      </c>
      <c r="D124" s="7" t="n">
        <v>6</v>
      </c>
      <c r="E124" s="8" t="inlineStr">
        <is>
          <t>Region VI (Western Visayas)</t>
        </is>
      </c>
      <c r="F124" s="7" t="inlineStr">
        <is>
          <t>25</t>
        </is>
      </c>
      <c r="G124" s="27" t="n">
        <v>44785</v>
      </c>
      <c r="H124" s="7" t="n">
        <v>52</v>
      </c>
      <c r="I124" s="7" t="inlineStr">
        <is>
          <t>M</t>
        </is>
      </c>
      <c r="J124" s="8" t="inlineStr">
        <is>
          <t>Admitted</t>
        </is>
      </c>
      <c r="K124" s="28" t="n">
        <v>28.18</v>
      </c>
      <c r="L124" s="28" t="n"/>
      <c r="M124" s="28" t="n"/>
      <c r="N124" s="28" t="n"/>
      <c r="O124" s="8" t="n"/>
      <c r="P124" s="8" t="n"/>
    </row>
    <row r="125">
      <c r="A125" s="8" t="inlineStr">
        <is>
          <t>PGCV_0030_2750</t>
        </is>
      </c>
      <c r="B125" s="8" t="inlineStr">
        <is>
          <t>COVID-SNL-22-82367</t>
        </is>
      </c>
      <c r="C125" s="8" t="inlineStr">
        <is>
          <t>TIBIAO RURAL HEALTH UNIT</t>
        </is>
      </c>
      <c r="D125" s="7" t="n">
        <v>6</v>
      </c>
      <c r="E125" s="8" t="inlineStr">
        <is>
          <t>Region VI (Western Visayas)</t>
        </is>
      </c>
      <c r="F125" s="7" t="inlineStr">
        <is>
          <t>25</t>
        </is>
      </c>
      <c r="G125" s="27" t="n">
        <v>44786</v>
      </c>
      <c r="H125" s="7" t="n">
        <v>29</v>
      </c>
      <c r="I125" s="7" t="inlineStr">
        <is>
          <t>F</t>
        </is>
      </c>
      <c r="J125" s="8" t="inlineStr">
        <is>
          <t>Cluster</t>
        </is>
      </c>
      <c r="K125" s="28" t="n">
        <v>29.2</v>
      </c>
      <c r="L125" s="28" t="n"/>
      <c r="M125" s="28" t="n"/>
      <c r="N125" s="28" t="n"/>
      <c r="O125" s="8" t="n"/>
      <c r="P125" s="8" t="n"/>
    </row>
    <row r="126">
      <c r="A126" s="8" t="inlineStr">
        <is>
          <t>PGCV_0030_2755</t>
        </is>
      </c>
      <c r="B126" s="8" t="inlineStr">
        <is>
          <t>COVID-SNL-22-82962</t>
        </is>
      </c>
      <c r="C126" s="8" t="inlineStr">
        <is>
          <t>DR. CATALINO GALLEGO NAVA PROVINCIAL HOSPITAL</t>
        </is>
      </c>
      <c r="D126" s="7" t="n">
        <v>6</v>
      </c>
      <c r="E126" s="8" t="inlineStr">
        <is>
          <t>Region VI (Western Visayas)</t>
        </is>
      </c>
      <c r="F126" s="7" t="inlineStr">
        <is>
          <t>25</t>
        </is>
      </c>
      <c r="G126" s="27" t="n">
        <v>44788</v>
      </c>
      <c r="H126" s="7" t="n">
        <v>23</v>
      </c>
      <c r="I126" s="7" t="inlineStr">
        <is>
          <t>F</t>
        </is>
      </c>
      <c r="J126" s="8" t="inlineStr">
        <is>
          <t>Admitted</t>
        </is>
      </c>
      <c r="K126" s="28" t="n">
        <v>28.9</v>
      </c>
      <c r="L126" s="28" t="n"/>
      <c r="M126" s="28" t="n"/>
      <c r="N126" s="28" t="n"/>
      <c r="O126" s="8" t="n"/>
      <c r="P126" s="8" t="n"/>
    </row>
    <row r="127">
      <c r="A127" s="8" t="inlineStr">
        <is>
          <t>PGCV_0030_2756</t>
        </is>
      </c>
      <c r="B127" s="8" t="inlineStr">
        <is>
          <t>COVID-SNL-22-82973</t>
        </is>
      </c>
      <c r="C127" s="8" t="inlineStr">
        <is>
          <t>DR. CATALINO GALLEGO NAVA PROVINCIAL HOSPITAL</t>
        </is>
      </c>
      <c r="D127" s="7" t="n">
        <v>6</v>
      </c>
      <c r="E127" s="8" t="inlineStr">
        <is>
          <t>Region VI (Western Visayas)</t>
        </is>
      </c>
      <c r="F127" s="7" t="inlineStr">
        <is>
          <t>25</t>
        </is>
      </c>
      <c r="G127" s="27" t="n">
        <v>44788</v>
      </c>
      <c r="H127" s="7" t="n">
        <v>94</v>
      </c>
      <c r="I127" s="7" t="inlineStr">
        <is>
          <t>F</t>
        </is>
      </c>
      <c r="J127" s="8" t="inlineStr">
        <is>
          <t>Admitted</t>
        </is>
      </c>
      <c r="K127" s="28" t="n">
        <v>25.37</v>
      </c>
      <c r="L127" s="28" t="n"/>
      <c r="M127" s="28" t="n"/>
      <c r="N127" s="28" t="n"/>
      <c r="O127" s="8" t="n"/>
      <c r="P127" s="8" t="n"/>
    </row>
    <row r="128">
      <c r="A128" s="8" t="inlineStr">
        <is>
          <t>PGCV_0030_2757</t>
        </is>
      </c>
      <c r="B128" s="8" t="inlineStr">
        <is>
          <t>COVID-SNL-22-82977</t>
        </is>
      </c>
      <c r="C128" s="8" t="inlineStr">
        <is>
          <t>DR. CATALINO GALLEGO NAVA PROVINCIAL HOSPITAL</t>
        </is>
      </c>
      <c r="D128" s="7" t="n">
        <v>6</v>
      </c>
      <c r="E128" s="8" t="inlineStr">
        <is>
          <t>Region VI (Western Visayas)</t>
        </is>
      </c>
      <c r="F128" s="7" t="inlineStr">
        <is>
          <t>25</t>
        </is>
      </c>
      <c r="G128" s="27" t="n">
        <v>44788</v>
      </c>
      <c r="H128" s="7" t="n">
        <v>83</v>
      </c>
      <c r="I128" s="7" t="inlineStr">
        <is>
          <t>F</t>
        </is>
      </c>
      <c r="J128" s="8" t="inlineStr">
        <is>
          <t>Admitted</t>
        </is>
      </c>
      <c r="K128" s="28" t="n">
        <v>29.55</v>
      </c>
      <c r="L128" s="28" t="n"/>
      <c r="M128" s="28" t="n"/>
      <c r="N128" s="28" t="n"/>
      <c r="O128" s="8" t="n"/>
      <c r="P128" s="8" t="n"/>
    </row>
    <row r="129">
      <c r="A129" s="8" t="inlineStr">
        <is>
          <t>PGCV_0030_2759</t>
        </is>
      </c>
      <c r="B129" s="8" t="inlineStr">
        <is>
          <t>COVID-SNL-22-83099</t>
        </is>
      </c>
      <c r="C129" s="8" t="inlineStr">
        <is>
          <t>BJMP-PANAY ISOLATION FACILITY</t>
        </is>
      </c>
      <c r="D129" s="7" t="n">
        <v>6</v>
      </c>
      <c r="E129" s="8" t="inlineStr">
        <is>
          <t>Region VI (Western Visayas)</t>
        </is>
      </c>
      <c r="F129" s="7" t="inlineStr">
        <is>
          <t>25</t>
        </is>
      </c>
      <c r="G129" s="27" t="n">
        <v>44788</v>
      </c>
      <c r="H129" s="7" t="n">
        <v>44</v>
      </c>
      <c r="I129" s="7" t="inlineStr">
        <is>
          <t>M</t>
        </is>
      </c>
      <c r="J129" s="8" t="inlineStr">
        <is>
          <t>Cluster</t>
        </is>
      </c>
      <c r="K129" s="28" t="n">
        <v>28.33</v>
      </c>
      <c r="L129" s="28" t="n"/>
      <c r="M129" s="28" t="n"/>
      <c r="N129" s="28" t="n"/>
      <c r="O129" s="8" t="n"/>
      <c r="P129" s="8" t="n"/>
    </row>
    <row r="130">
      <c r="A130" s="8" t="inlineStr">
        <is>
          <t>PGCV_0030_2760</t>
        </is>
      </c>
      <c r="B130" s="8" t="inlineStr">
        <is>
          <t>COVID-SNL-22-83102</t>
        </is>
      </c>
      <c r="C130" s="8" t="inlineStr">
        <is>
          <t>BJMP-PANAY ISOLATION FACILITY</t>
        </is>
      </c>
      <c r="D130" s="7" t="n">
        <v>6</v>
      </c>
      <c r="E130" s="8" t="inlineStr">
        <is>
          <t>Region VI (Western Visayas)</t>
        </is>
      </c>
      <c r="F130" s="7" t="inlineStr">
        <is>
          <t>25</t>
        </is>
      </c>
      <c r="G130" s="27" t="n">
        <v>44788</v>
      </c>
      <c r="H130" s="7" t="n">
        <v>34</v>
      </c>
      <c r="I130" s="7" t="inlineStr">
        <is>
          <t>M</t>
        </is>
      </c>
      <c r="J130" s="8" t="inlineStr">
        <is>
          <t>Cluster</t>
        </is>
      </c>
      <c r="K130" s="28" t="n">
        <v>26.73</v>
      </c>
      <c r="L130" s="28" t="n"/>
      <c r="M130" s="28" t="n"/>
      <c r="N130" s="28" t="n"/>
      <c r="O130" s="8" t="n"/>
      <c r="P130" s="8" t="n"/>
    </row>
    <row r="131">
      <c r="A131" s="8" t="inlineStr">
        <is>
          <t>PGCV_0030_2763</t>
        </is>
      </c>
      <c r="B131" s="8" t="inlineStr">
        <is>
          <t>COVID-SNL-22-83295</t>
        </is>
      </c>
      <c r="C131" s="8" t="inlineStr">
        <is>
          <t>PASSI CITY HEALTH OFFICE</t>
        </is>
      </c>
      <c r="D131" s="7" t="n">
        <v>6</v>
      </c>
      <c r="E131" s="8" t="inlineStr">
        <is>
          <t>Region VI (Western Visayas)</t>
        </is>
      </c>
      <c r="F131" s="7" t="inlineStr">
        <is>
          <t>25</t>
        </is>
      </c>
      <c r="G131" s="27" t="n">
        <v>44789</v>
      </c>
      <c r="H131" s="7" t="n">
        <v>36</v>
      </c>
      <c r="I131" s="7" t="inlineStr">
        <is>
          <t>F</t>
        </is>
      </c>
      <c r="J131" s="8" t="inlineStr">
        <is>
          <t>Cluster</t>
        </is>
      </c>
      <c r="K131" s="28" t="n">
        <v>29.39</v>
      </c>
      <c r="L131" s="28" t="n"/>
      <c r="M131" s="28" t="n"/>
      <c r="N131" s="28" t="n"/>
      <c r="O131" s="8" t="n"/>
      <c r="P131" s="8" t="n"/>
    </row>
    <row r="132">
      <c r="A132" s="8" t="inlineStr">
        <is>
          <t>PGCV_0030_2844</t>
        </is>
      </c>
      <c r="B132" s="8" t="inlineStr">
        <is>
          <t>753B117339</t>
        </is>
      </c>
      <c r="C132" s="8" t="inlineStr">
        <is>
          <t>CLMMRH-ML</t>
        </is>
      </c>
      <c r="D132" s="7" t="n">
        <v>6</v>
      </c>
      <c r="E132" s="8" t="inlineStr">
        <is>
          <t>Region VI (Western Visayas)</t>
        </is>
      </c>
      <c r="F132" s="7" t="inlineStr">
        <is>
          <t>25</t>
        </is>
      </c>
      <c r="G132" s="27" t="n">
        <v>44788</v>
      </c>
      <c r="H132" s="7" t="n">
        <v>27</v>
      </c>
      <c r="I132" s="7" t="inlineStr">
        <is>
          <t>M</t>
        </is>
      </c>
      <c r="J132" s="8" t="inlineStr">
        <is>
          <t>Unknown Exposure</t>
        </is>
      </c>
      <c r="K132" s="28" t="n">
        <v>18.53</v>
      </c>
      <c r="L132" s="28" t="n">
        <v>20.81</v>
      </c>
      <c r="M132" s="28" t="n"/>
      <c r="N132" s="28" t="n"/>
      <c r="O132" s="8" t="n"/>
      <c r="P132" s="8" t="n"/>
    </row>
    <row r="133">
      <c r="A133" s="8" t="inlineStr">
        <is>
          <t>PGCV_0031_2869</t>
        </is>
      </c>
      <c r="B133" s="8" t="inlineStr">
        <is>
          <t>MLAB178684</t>
        </is>
      </c>
      <c r="C133" s="8" t="inlineStr">
        <is>
          <t>METRO ILOILO HOSPITAL AND MEDICAL CENTER</t>
        </is>
      </c>
      <c r="D133" s="7" t="n">
        <v>6</v>
      </c>
      <c r="E133" s="8" t="inlineStr">
        <is>
          <t>Region VI (Western Visayas)</t>
        </is>
      </c>
      <c r="F133" s="7" t="inlineStr">
        <is>
          <t>26</t>
        </is>
      </c>
      <c r="G133" s="27" t="n">
        <v>44791</v>
      </c>
      <c r="H133" s="7" t="n">
        <v>26</v>
      </c>
      <c r="I133" s="7" t="inlineStr">
        <is>
          <t>M</t>
        </is>
      </c>
      <c r="J133" s="8" t="inlineStr">
        <is>
          <t>Unknown Exposure</t>
        </is>
      </c>
      <c r="K133" s="28" t="n"/>
      <c r="L133" s="28" t="n">
        <v>36.7</v>
      </c>
      <c r="M133" s="28" t="n">
        <v>37.23</v>
      </c>
      <c r="N133" s="28" t="n"/>
      <c r="O133" s="8" t="n"/>
      <c r="P133" s="8" t="n"/>
    </row>
    <row r="134">
      <c r="A134" s="8" t="inlineStr">
        <is>
          <t>PGCV_0031_2892</t>
        </is>
      </c>
      <c r="B134" s="8" t="inlineStr">
        <is>
          <t>COVID-SNL-22-84697</t>
        </is>
      </c>
      <c r="C134" s="8" t="inlineStr">
        <is>
          <t>WESTERN VISAYAS MEDICAL CENTER</t>
        </is>
      </c>
      <c r="D134" s="7" t="n">
        <v>6</v>
      </c>
      <c r="E134" s="8" t="inlineStr">
        <is>
          <t>Region VI (Western Visayas)</t>
        </is>
      </c>
      <c r="F134" s="7" t="inlineStr">
        <is>
          <t>26</t>
        </is>
      </c>
      <c r="G134" s="27" t="n">
        <v>44792</v>
      </c>
      <c r="H134" s="7" t="n">
        <v>66</v>
      </c>
      <c r="I134" s="7" t="inlineStr">
        <is>
          <t>F</t>
        </is>
      </c>
      <c r="J134" s="8" t="inlineStr">
        <is>
          <t>Admitted</t>
        </is>
      </c>
      <c r="K134" s="28" t="n">
        <v>28.75</v>
      </c>
      <c r="L134" s="28" t="n"/>
      <c r="M134" s="28" t="n"/>
      <c r="N134" s="28" t="n"/>
      <c r="O134" s="8" t="n"/>
      <c r="P134" s="8" t="n"/>
    </row>
    <row r="135">
      <c r="A135" s="8" t="inlineStr">
        <is>
          <t>PGCV_0031_2903</t>
        </is>
      </c>
      <c r="B135" s="8" t="inlineStr">
        <is>
          <t>COVID-SNL-22-85016</t>
        </is>
      </c>
      <c r="C135" s="8" t="inlineStr">
        <is>
          <t>THE BUREAU OF JAIL MANAGEMENT AND PENOLOGY PANAY ISOLATION FACILITY</t>
        </is>
      </c>
      <c r="D135" s="7" t="n">
        <v>6</v>
      </c>
      <c r="E135" s="8" t="inlineStr">
        <is>
          <t>Region VI (Western Visayas)</t>
        </is>
      </c>
      <c r="F135" s="7" t="inlineStr">
        <is>
          <t>26</t>
        </is>
      </c>
      <c r="G135" s="27" t="n">
        <v>44793</v>
      </c>
      <c r="H135" s="7" t="n">
        <v>37</v>
      </c>
      <c r="I135" s="7" t="inlineStr">
        <is>
          <t>F</t>
        </is>
      </c>
      <c r="J135" s="8" t="inlineStr">
        <is>
          <t>Cluster</t>
        </is>
      </c>
      <c r="K135" s="28" t="n">
        <v>28.16</v>
      </c>
      <c r="L135" s="28" t="n"/>
      <c r="M135" s="28" t="n"/>
      <c r="N135" s="28" t="n"/>
      <c r="O135" s="8" t="n"/>
      <c r="P135" s="8" t="n"/>
    </row>
    <row r="136">
      <c r="A136" s="8" t="inlineStr">
        <is>
          <t>PGCV_0031_2919</t>
        </is>
      </c>
      <c r="B136" s="8" t="inlineStr">
        <is>
          <t>COVID-SNL-22-85452</t>
        </is>
      </c>
      <c r="C136" s="8" t="inlineStr">
        <is>
          <t>WESTERN VISAYAS MEDICAL CENTER</t>
        </is>
      </c>
      <c r="D136" s="7" t="n">
        <v>6</v>
      </c>
      <c r="E136" s="8" t="inlineStr">
        <is>
          <t>Region VI (Western Visayas)</t>
        </is>
      </c>
      <c r="F136" s="7" t="inlineStr">
        <is>
          <t>26</t>
        </is>
      </c>
      <c r="G136" s="27" t="n">
        <v>44794</v>
      </c>
      <c r="H136" s="7" t="n">
        <v>24</v>
      </c>
      <c r="I136" s="7" t="inlineStr">
        <is>
          <t>F</t>
        </is>
      </c>
      <c r="J136" s="8" t="inlineStr">
        <is>
          <t>Admitted</t>
        </is>
      </c>
      <c r="K136" s="28" t="n">
        <v>28.7</v>
      </c>
      <c r="L136" s="28" t="n"/>
      <c r="M136" s="28" t="n"/>
      <c r="N136" s="28" t="n"/>
      <c r="O136" s="8" t="n"/>
      <c r="P136" s="8" t="n"/>
    </row>
    <row r="137">
      <c r="A137" s="8" t="inlineStr">
        <is>
          <t>PGCV_0031_2937</t>
        </is>
      </c>
      <c r="B137" s="8" t="inlineStr">
        <is>
          <t>COVID-SNL-22-85894</t>
        </is>
      </c>
      <c r="C137" s="8" t="inlineStr">
        <is>
          <t>WESTERN VISAYAS MEDICAL CENTER</t>
        </is>
      </c>
      <c r="D137" s="7" t="n">
        <v>6</v>
      </c>
      <c r="E137" s="8" t="inlineStr">
        <is>
          <t>Region VI (Western Visayas)</t>
        </is>
      </c>
      <c r="F137" s="7" t="inlineStr">
        <is>
          <t>26</t>
        </is>
      </c>
      <c r="G137" s="27" t="n">
        <v>44795</v>
      </c>
      <c r="H137" s="7" t="n">
        <v>18</v>
      </c>
      <c r="I137" s="7" t="inlineStr">
        <is>
          <t>F</t>
        </is>
      </c>
      <c r="J137" s="8" t="inlineStr">
        <is>
          <t>Admitted</t>
        </is>
      </c>
      <c r="K137" s="28" t="n">
        <v>27.63</v>
      </c>
      <c r="L137" s="28" t="n"/>
      <c r="M137" s="28" t="n"/>
      <c r="N137" s="28" t="n"/>
      <c r="O137" s="8" t="n"/>
      <c r="P137" s="8" t="n"/>
    </row>
    <row r="138">
      <c r="A138" s="8" t="inlineStr">
        <is>
          <t>PGCV_0031_2940</t>
        </is>
      </c>
      <c r="B138" s="8" t="inlineStr">
        <is>
          <t>COVID-SNL-22-85993</t>
        </is>
      </c>
      <c r="C138" s="8" t="inlineStr">
        <is>
          <t>WESTERN VISAYAS MEDICAL CENTER</t>
        </is>
      </c>
      <c r="D138" s="7" t="n">
        <v>6</v>
      </c>
      <c r="E138" s="8" t="inlineStr">
        <is>
          <t>Region VI (Western Visayas)</t>
        </is>
      </c>
      <c r="F138" s="7" t="inlineStr">
        <is>
          <t>26</t>
        </is>
      </c>
      <c r="G138" s="27" t="n">
        <v>44796</v>
      </c>
      <c r="H138" s="7" t="n">
        <v>64</v>
      </c>
      <c r="I138" s="7" t="inlineStr">
        <is>
          <t>M</t>
        </is>
      </c>
      <c r="J138" s="8" t="inlineStr">
        <is>
          <t>Admitted</t>
        </is>
      </c>
      <c r="K138" s="28" t="n">
        <v>20.37</v>
      </c>
      <c r="L138" s="28" t="n"/>
      <c r="M138" s="28" t="n"/>
      <c r="N138" s="28" t="n"/>
      <c r="O138" s="8" t="n"/>
      <c r="P138" s="8" t="n"/>
    </row>
    <row r="139">
      <c r="A139" s="8" t="inlineStr">
        <is>
          <t>PGCV_0031_2958</t>
        </is>
      </c>
      <c r="B139" s="8" t="inlineStr">
        <is>
          <t>COVID-SNL-22-86683</t>
        </is>
      </c>
      <c r="C139" s="8" t="inlineStr">
        <is>
          <t>CAPIZ PROVINCIAL HEALTH OFFICE</t>
        </is>
      </c>
      <c r="D139" s="7" t="n">
        <v>6</v>
      </c>
      <c r="E139" s="8" t="inlineStr">
        <is>
          <t>Region VI (Western Visayas)</t>
        </is>
      </c>
      <c r="F139" s="7" t="inlineStr">
        <is>
          <t>26</t>
        </is>
      </c>
      <c r="G139" s="27" t="n">
        <v>44797</v>
      </c>
      <c r="H139" s="7" t="n">
        <v>35</v>
      </c>
      <c r="I139" s="7" t="inlineStr">
        <is>
          <t>F</t>
        </is>
      </c>
      <c r="J139" s="8" t="inlineStr">
        <is>
          <t>Cluster</t>
        </is>
      </c>
      <c r="K139" s="28" t="n">
        <v>29.16</v>
      </c>
      <c r="L139" s="28" t="n"/>
      <c r="M139" s="28" t="n"/>
      <c r="N139" s="28" t="n"/>
      <c r="O139" s="8" t="n"/>
      <c r="P139" s="8" t="n"/>
    </row>
    <row r="140">
      <c r="A140" s="8" t="inlineStr">
        <is>
          <t>PGCV_0031_2960</t>
        </is>
      </c>
      <c r="B140" s="8" t="inlineStr">
        <is>
          <t>COVID-SNL-22-86685</t>
        </is>
      </c>
      <c r="C140" s="8" t="inlineStr">
        <is>
          <t>PANITAN RURAL HEALTH UNIT AND BIRTHING FACILITY</t>
        </is>
      </c>
      <c r="D140" s="7" t="n">
        <v>6</v>
      </c>
      <c r="E140" s="8" t="inlineStr">
        <is>
          <t>Region VI (Western Visayas)</t>
        </is>
      </c>
      <c r="F140" s="7" t="inlineStr">
        <is>
          <t>26</t>
        </is>
      </c>
      <c r="G140" s="27" t="n">
        <v>44797</v>
      </c>
      <c r="H140" s="7" t="n">
        <v>58</v>
      </c>
      <c r="I140" s="7" t="inlineStr">
        <is>
          <t>F</t>
        </is>
      </c>
      <c r="J140" s="8" t="inlineStr">
        <is>
          <t>Cluster</t>
        </is>
      </c>
      <c r="K140" s="28" t="n">
        <v>27.75</v>
      </c>
      <c r="L140" s="28" t="n"/>
      <c r="M140" s="28" t="n"/>
      <c r="N140" s="28" t="n"/>
      <c r="O140" s="8" t="n"/>
      <c r="P140" s="8" t="n"/>
    </row>
    <row r="141">
      <c r="A141" s="8" t="inlineStr">
        <is>
          <t>PGCV_0031_2972</t>
        </is>
      </c>
      <c r="B141" s="8" t="inlineStr">
        <is>
          <t>COVID-SNL-22-87051</t>
        </is>
      </c>
      <c r="C141" s="8" t="inlineStr">
        <is>
          <t>WESTERN VISAYAS MEDICAL CENTER</t>
        </is>
      </c>
      <c r="D141" s="7" t="n">
        <v>6</v>
      </c>
      <c r="E141" s="8" t="inlineStr">
        <is>
          <t>Region VI (Western Visayas)</t>
        </is>
      </c>
      <c r="F141" s="7" t="inlineStr">
        <is>
          <t>26</t>
        </is>
      </c>
      <c r="G141" s="27" t="n">
        <v>44798</v>
      </c>
      <c r="H141" s="7" t="n">
        <v>46</v>
      </c>
      <c r="I141" s="7" t="inlineStr">
        <is>
          <t>M</t>
        </is>
      </c>
      <c r="J141" s="8" t="inlineStr">
        <is>
          <t>Cluster</t>
        </is>
      </c>
      <c r="K141" s="28" t="n">
        <v>24.93</v>
      </c>
      <c r="L141" s="28" t="n"/>
      <c r="M141" s="28" t="n"/>
      <c r="N141" s="28" t="n"/>
      <c r="O141" s="8" t="n"/>
      <c r="P141" s="8" t="n"/>
    </row>
    <row r="142">
      <c r="A142" s="8" t="inlineStr">
        <is>
          <t>PGCV_0031_3059</t>
        </is>
      </c>
      <c r="B142" s="8" t="inlineStr">
        <is>
          <t>C37227</t>
        </is>
      </c>
      <c r="C142" s="8" t="inlineStr">
        <is>
          <t>TERESITA L. JALANDONI PROVINCIAL HOSPITAL MOLECULAR LABORATORY</t>
        </is>
      </c>
      <c r="D142" s="7" t="n">
        <v>6</v>
      </c>
      <c r="E142" s="8" t="inlineStr">
        <is>
          <t>Region VI (Western Visayas)</t>
        </is>
      </c>
      <c r="F142" s="7" t="inlineStr">
        <is>
          <t>26</t>
        </is>
      </c>
      <c r="G142" s="27" t="n">
        <v>44796</v>
      </c>
      <c r="H142" s="7" t="n">
        <v>39</v>
      </c>
      <c r="I142" s="7" t="inlineStr">
        <is>
          <t>F</t>
        </is>
      </c>
      <c r="J142" s="8" t="inlineStr">
        <is>
          <t>Unknown Exposure</t>
        </is>
      </c>
      <c r="K142" s="28" t="n">
        <v>26.07</v>
      </c>
      <c r="L142" s="28" t="n">
        <v>20.6</v>
      </c>
      <c r="M142" s="28" t="n"/>
      <c r="N142" s="28" t="n"/>
      <c r="O142" s="8" t="n"/>
      <c r="P142" s="8" t="n"/>
    </row>
    <row r="143">
      <c r="A143" s="8" t="inlineStr">
        <is>
          <t>PGCV_0031_3062</t>
        </is>
      </c>
      <c r="B143" s="8" t="inlineStr">
        <is>
          <t>C37318</t>
        </is>
      </c>
      <c r="C143" s="8" t="inlineStr">
        <is>
          <t>TERESITA L. JALANDONI PROVINCIAL HOSPITAL MOLECULAR LABORATORY</t>
        </is>
      </c>
      <c r="D143" s="7" t="n">
        <v>6</v>
      </c>
      <c r="E143" s="8" t="inlineStr">
        <is>
          <t>Region VI (Western Visayas)</t>
        </is>
      </c>
      <c r="F143" s="7" t="inlineStr">
        <is>
          <t>26</t>
        </is>
      </c>
      <c r="G143" s="27" t="n">
        <v>44796</v>
      </c>
      <c r="H143" s="7" t="n">
        <v>31</v>
      </c>
      <c r="I143" s="7" t="inlineStr">
        <is>
          <t>F</t>
        </is>
      </c>
      <c r="J143" s="8" t="inlineStr">
        <is>
          <t>Unknown Exposure</t>
        </is>
      </c>
      <c r="K143" s="28" t="n">
        <v>21.06</v>
      </c>
      <c r="L143" s="28" t="n">
        <v>18.72</v>
      </c>
      <c r="M143" s="28" t="n"/>
      <c r="N143" s="28" t="n"/>
      <c r="O143" s="8" t="n"/>
      <c r="P143" s="8" t="n"/>
    </row>
    <row r="144">
      <c r="A144" s="8" t="inlineStr">
        <is>
          <t>PGCV_0031_3068</t>
        </is>
      </c>
      <c r="B144" s="8" t="inlineStr">
        <is>
          <t>C37353</t>
        </is>
      </c>
      <c r="C144" s="8" t="inlineStr">
        <is>
          <t>TERESITA L. JALANDONI PROVINCIAL HOSPITAL MOLECULAR LABORATORY</t>
        </is>
      </c>
      <c r="D144" s="7" t="n">
        <v>6</v>
      </c>
      <c r="E144" s="8" t="inlineStr">
        <is>
          <t>Region VI (Western Visayas)</t>
        </is>
      </c>
      <c r="F144" s="7" t="inlineStr">
        <is>
          <t>26</t>
        </is>
      </c>
      <c r="G144" s="27" t="n">
        <v>44796</v>
      </c>
      <c r="H144" s="7" t="n">
        <v>0</v>
      </c>
      <c r="I144" s="7" t="inlineStr">
        <is>
          <t>F</t>
        </is>
      </c>
      <c r="J144" s="8" t="inlineStr">
        <is>
          <t>Unknown Exposure</t>
        </is>
      </c>
      <c r="K144" s="28" t="n">
        <v>19.38</v>
      </c>
      <c r="L144" s="28" t="n">
        <v>15.64</v>
      </c>
      <c r="M144" s="28" t="n"/>
      <c r="N144" s="28" t="n"/>
      <c r="O144" s="8" t="n"/>
      <c r="P144" s="8" t="n"/>
    </row>
    <row r="145">
      <c r="A145" s="8" t="inlineStr">
        <is>
          <t>PGCV_0032_3101</t>
        </is>
      </c>
      <c r="B145" s="8" t="inlineStr">
        <is>
          <t>COVID-SNL-22-87407</t>
        </is>
      </c>
      <c r="C145" s="8" t="n"/>
      <c r="D145" s="7" t="n">
        <v>6</v>
      </c>
      <c r="E145" s="8" t="inlineStr">
        <is>
          <t>Region VI (Western Visayas)</t>
        </is>
      </c>
      <c r="F145" s="7" t="inlineStr">
        <is>
          <t>27</t>
        </is>
      </c>
      <c r="G145" s="27" t="n">
        <v>44799</v>
      </c>
      <c r="H145" s="7" t="n">
        <v>53</v>
      </c>
      <c r="I145" s="7" t="inlineStr">
        <is>
          <t>F</t>
        </is>
      </c>
      <c r="J145" s="8" t="inlineStr">
        <is>
          <t>Cluster</t>
        </is>
      </c>
      <c r="K145" s="28" t="n">
        <v>29.28</v>
      </c>
      <c r="L145" s="28" t="n"/>
      <c r="M145" s="28" t="n"/>
      <c r="N145" s="28" t="n"/>
      <c r="O145" s="8" t="n"/>
      <c r="P145" s="8" t="n"/>
    </row>
    <row r="146">
      <c r="A146" s="8" t="inlineStr">
        <is>
          <t>PGCV_0032_3144</t>
        </is>
      </c>
      <c r="B146" s="8" t="inlineStr">
        <is>
          <t>COVID-SNL-22-88598</t>
        </is>
      </c>
      <c r="C146" s="8" t="n"/>
      <c r="D146" s="7" t="n">
        <v>6</v>
      </c>
      <c r="E146" s="8" t="inlineStr">
        <is>
          <t>Region VI (Western Visayas)</t>
        </is>
      </c>
      <c r="F146" s="7" t="inlineStr">
        <is>
          <t>27</t>
        </is>
      </c>
      <c r="G146" s="27" t="n">
        <v>44802</v>
      </c>
      <c r="H146" s="7" t="n">
        <v>64</v>
      </c>
      <c r="I146" s="7" t="inlineStr">
        <is>
          <t>F</t>
        </is>
      </c>
      <c r="J146" s="8" t="inlineStr">
        <is>
          <t>Admitted</t>
        </is>
      </c>
      <c r="K146" s="28" t="n">
        <v>23.91</v>
      </c>
      <c r="L146" s="28" t="n"/>
      <c r="M146" s="28" t="n"/>
      <c r="N146" s="28" t="n"/>
      <c r="O146" s="8" t="n"/>
      <c r="P146" s="8" t="n"/>
    </row>
    <row r="147">
      <c r="A147" s="8" t="inlineStr">
        <is>
          <t>PGCV_0032_3199</t>
        </is>
      </c>
      <c r="B147" s="8" t="inlineStr">
        <is>
          <t>C38516</t>
        </is>
      </c>
      <c r="C147" s="8" t="n"/>
      <c r="D147" s="7" t="n">
        <v>6</v>
      </c>
      <c r="E147" s="8" t="inlineStr">
        <is>
          <t>Region VI (Western Visayas)</t>
        </is>
      </c>
      <c r="F147" s="7" t="inlineStr">
        <is>
          <t>27</t>
        </is>
      </c>
      <c r="G147" s="27" t="n">
        <v>44805</v>
      </c>
      <c r="H147" s="7" t="n">
        <v>29</v>
      </c>
      <c r="I147" s="7" t="inlineStr">
        <is>
          <t>F</t>
        </is>
      </c>
      <c r="J147" s="8" t="inlineStr">
        <is>
          <t>Unknown Exposure</t>
        </is>
      </c>
      <c r="K147" s="28" t="n"/>
      <c r="L147" s="28" t="n">
        <v>15.66</v>
      </c>
      <c r="M147" s="28" t="n"/>
      <c r="N147" s="28" t="n"/>
      <c r="O147" s="8" t="n"/>
      <c r="P147" s="8" t="n"/>
    </row>
    <row r="148">
      <c r="A148" s="8" t="inlineStr">
        <is>
          <t>PGCV_0033_3251</t>
        </is>
      </c>
      <c r="B148" s="8" t="inlineStr">
        <is>
          <t>COVID-SNL-22-90170</t>
        </is>
      </c>
      <c r="C148" s="8" t="n"/>
      <c r="D148" s="7" t="n">
        <v>6</v>
      </c>
      <c r="E148" s="8" t="inlineStr">
        <is>
          <t>Region VI (Western Visayas)</t>
        </is>
      </c>
      <c r="F148" s="7" t="inlineStr">
        <is>
          <t>27</t>
        </is>
      </c>
      <c r="G148" s="27" t="n">
        <v>44806</v>
      </c>
      <c r="H148" s="7" t="n">
        <v>55</v>
      </c>
      <c r="I148" s="7" t="inlineStr">
        <is>
          <t>M</t>
        </is>
      </c>
      <c r="J148" s="8" t="inlineStr">
        <is>
          <t>Cluster</t>
        </is>
      </c>
      <c r="K148" s="28" t="n">
        <v>29.66</v>
      </c>
      <c r="L148" s="28" t="n"/>
      <c r="M148" s="28" t="n"/>
      <c r="N148" s="28" t="n"/>
      <c r="O148" s="8" t="n"/>
      <c r="P148" s="8" t="n"/>
    </row>
    <row r="149">
      <c r="A149" s="8" t="inlineStr">
        <is>
          <t>PGCV_0033_3253</t>
        </is>
      </c>
      <c r="B149" s="8" t="inlineStr">
        <is>
          <t>COVID-SNL-22-90411</t>
        </is>
      </c>
      <c r="C149" s="8" t="n"/>
      <c r="D149" s="7" t="n">
        <v>6</v>
      </c>
      <c r="E149" s="8" t="inlineStr">
        <is>
          <t>Region VI (Western Visayas)</t>
        </is>
      </c>
      <c r="F149" s="7" t="inlineStr">
        <is>
          <t>27</t>
        </is>
      </c>
      <c r="G149" s="27" t="n">
        <v>44807</v>
      </c>
      <c r="H149" s="7" t="n">
        <v>45</v>
      </c>
      <c r="I149" s="7" t="inlineStr">
        <is>
          <t>F</t>
        </is>
      </c>
      <c r="J149" s="8" t="inlineStr">
        <is>
          <t>Cluster</t>
        </is>
      </c>
      <c r="K149" s="28" t="n">
        <v>29.08</v>
      </c>
      <c r="L149" s="28" t="n"/>
      <c r="M149" s="28" t="n"/>
      <c r="N149" s="28" t="n"/>
      <c r="O149" s="8" t="n"/>
      <c r="P149" s="8" t="n"/>
    </row>
    <row r="150">
      <c r="A150" s="8" t="inlineStr">
        <is>
          <t>PGCV_0033_3268</t>
        </is>
      </c>
      <c r="B150" s="8" t="inlineStr">
        <is>
          <t>COVID-SNL-22-91019</t>
        </is>
      </c>
      <c r="C150" s="8" t="n"/>
      <c r="D150" s="7" t="n">
        <v>6</v>
      </c>
      <c r="E150" s="8" t="inlineStr">
        <is>
          <t>Region VI (Western Visayas)</t>
        </is>
      </c>
      <c r="F150" s="7" t="inlineStr">
        <is>
          <t>27</t>
        </is>
      </c>
      <c r="G150" s="27" t="n">
        <v>44809</v>
      </c>
      <c r="H150" s="7" t="n">
        <v>31</v>
      </c>
      <c r="I150" s="7" t="inlineStr">
        <is>
          <t>F</t>
        </is>
      </c>
      <c r="J150" s="8" t="inlineStr">
        <is>
          <t>Cluster</t>
        </is>
      </c>
      <c r="K150" s="28" t="n">
        <v>29.9</v>
      </c>
      <c r="L150" s="28" t="n"/>
      <c r="M150" s="28" t="n"/>
      <c r="N150" s="28" t="n"/>
      <c r="O150" s="8" t="n"/>
      <c r="P150" s="8" t="n"/>
    </row>
    <row r="151">
      <c r="A151" s="8" t="inlineStr">
        <is>
          <t>PGCV_0033_3285</t>
        </is>
      </c>
      <c r="B151" s="8" t="inlineStr">
        <is>
          <t>COVID-SNL-22-91761</t>
        </is>
      </c>
      <c r="C151" s="8" t="n"/>
      <c r="D151" s="7" t="n">
        <v>6</v>
      </c>
      <c r="E151" s="8" t="inlineStr">
        <is>
          <t>Region VI (Western Visayas)</t>
        </is>
      </c>
      <c r="F151" s="7" t="inlineStr">
        <is>
          <t>27</t>
        </is>
      </c>
      <c r="G151" s="27" t="n">
        <v>44811</v>
      </c>
      <c r="H151" s="7" t="n">
        <v>21</v>
      </c>
      <c r="I151" s="7" t="inlineStr">
        <is>
          <t>M</t>
        </is>
      </c>
      <c r="J151" s="8" t="inlineStr">
        <is>
          <t>Cluster</t>
        </is>
      </c>
      <c r="K151" s="28" t="n">
        <v>26.45</v>
      </c>
      <c r="L151" s="28" t="n"/>
      <c r="M151" s="28" t="n"/>
      <c r="N151" s="28" t="n"/>
      <c r="O151" s="8" t="n"/>
      <c r="P151" s="8" t="n"/>
    </row>
    <row r="152">
      <c r="A152" s="8" t="inlineStr">
        <is>
          <t>PGCV_0033_3322</t>
        </is>
      </c>
      <c r="B152" s="8" t="inlineStr">
        <is>
          <t>774B119801</t>
        </is>
      </c>
      <c r="C152" s="8" t="n"/>
      <c r="D152" s="7" t="n">
        <v>6</v>
      </c>
      <c r="E152" s="8" t="inlineStr">
        <is>
          <t>Region VI (Western Visayas)</t>
        </is>
      </c>
      <c r="F152" s="7" t="inlineStr">
        <is>
          <t>27</t>
        </is>
      </c>
      <c r="G152" s="27" t="n">
        <v>44811</v>
      </c>
      <c r="H152" s="7" t="n">
        <v>34</v>
      </c>
      <c r="I152" s="7" t="inlineStr">
        <is>
          <t>F</t>
        </is>
      </c>
      <c r="J152" s="8" t="inlineStr">
        <is>
          <t>Cluster</t>
        </is>
      </c>
      <c r="K152" s="28" t="n">
        <v>19.34</v>
      </c>
      <c r="L152" s="28" t="n">
        <v>22.68</v>
      </c>
      <c r="M152" s="28" t="n"/>
      <c r="N152" s="28" t="n"/>
      <c r="O152" s="8" t="n"/>
      <c r="P152" s="8" t="n"/>
    </row>
    <row r="153">
      <c r="A153" s="8" t="inlineStr">
        <is>
          <t>PGCV_0034_3364</t>
        </is>
      </c>
      <c r="B153" s="8" t="inlineStr">
        <is>
          <t>COVID-SNL-22-92975</t>
        </is>
      </c>
      <c r="C153" s="8" t="n"/>
      <c r="D153" s="7" t="n">
        <v>6</v>
      </c>
      <c r="E153" s="8" t="inlineStr">
        <is>
          <t>Region VI (Western Visayas)</t>
        </is>
      </c>
      <c r="F153" s="7" t="inlineStr">
        <is>
          <t>29</t>
        </is>
      </c>
      <c r="G153" s="27" t="n">
        <v>44814</v>
      </c>
      <c r="H153" s="7" t="n">
        <v>25</v>
      </c>
      <c r="I153" s="7" t="inlineStr">
        <is>
          <t>F</t>
        </is>
      </c>
      <c r="J153" s="8" t="inlineStr">
        <is>
          <t>Cluster</t>
        </is>
      </c>
      <c r="K153" s="28" t="n">
        <v>29.22</v>
      </c>
      <c r="L153" s="28" t="n"/>
      <c r="M153" s="28" t="n"/>
      <c r="N153" s="28" t="n"/>
      <c r="O153" s="8" t="n"/>
      <c r="P153" s="8" t="n"/>
    </row>
    <row r="154">
      <c r="A154" s="8" t="inlineStr">
        <is>
          <t>PGCV_0034_3371</t>
        </is>
      </c>
      <c r="B154" s="8" t="inlineStr">
        <is>
          <t>COVID-SNL-22-93283</t>
        </is>
      </c>
      <c r="C154" s="8" t="n"/>
      <c r="D154" s="7" t="n">
        <v>6</v>
      </c>
      <c r="E154" s="8" t="inlineStr">
        <is>
          <t>Region VI (Western Visayas)</t>
        </is>
      </c>
      <c r="F154" s="7" t="inlineStr">
        <is>
          <t>29</t>
        </is>
      </c>
      <c r="G154" s="27" t="n">
        <v>44815</v>
      </c>
      <c r="H154" s="7" t="n">
        <v>56</v>
      </c>
      <c r="I154" s="7" t="inlineStr">
        <is>
          <t>M</t>
        </is>
      </c>
      <c r="J154" s="8" t="inlineStr">
        <is>
          <t>Cluster</t>
        </is>
      </c>
      <c r="K154" s="28" t="n">
        <v>28.61</v>
      </c>
      <c r="L154" s="28" t="n"/>
      <c r="M154" s="28" t="n"/>
      <c r="N154" s="28" t="n"/>
      <c r="O154" s="8" t="n"/>
      <c r="P154" s="8" t="n"/>
    </row>
    <row r="155">
      <c r="A155" s="8" t="inlineStr">
        <is>
          <t>PGCV_0034_3372</t>
        </is>
      </c>
      <c r="B155" s="8" t="inlineStr">
        <is>
          <t>COVID-SNL-22-93305</t>
        </is>
      </c>
      <c r="C155" s="8" t="n"/>
      <c r="D155" s="7" t="n">
        <v>6</v>
      </c>
      <c r="E155" s="8" t="inlineStr">
        <is>
          <t>Region VI (Western Visayas)</t>
        </is>
      </c>
      <c r="F155" s="7" t="inlineStr">
        <is>
          <t>29</t>
        </is>
      </c>
      <c r="G155" s="27" t="n">
        <v>44815</v>
      </c>
      <c r="H155" s="7" t="n">
        <v>78</v>
      </c>
      <c r="I155" s="7" t="inlineStr">
        <is>
          <t>F</t>
        </is>
      </c>
      <c r="J155" s="8" t="inlineStr">
        <is>
          <t>Admitted</t>
        </is>
      </c>
      <c r="K155" s="28" t="n">
        <v>29.35</v>
      </c>
      <c r="L155" s="28" t="n"/>
      <c r="M155" s="28" t="n"/>
      <c r="N155" s="28" t="n"/>
      <c r="O155" s="8" t="n"/>
      <c r="P155" s="8" t="n"/>
    </row>
    <row r="156">
      <c r="A156" s="8" t="inlineStr">
        <is>
          <t>PGCV_0034_3377</t>
        </is>
      </c>
      <c r="B156" s="8" t="inlineStr">
        <is>
          <t>COVID-SNL-22-93810</t>
        </is>
      </c>
      <c r="C156" s="8" t="n"/>
      <c r="D156" s="7" t="n">
        <v>6</v>
      </c>
      <c r="E156" s="8" t="inlineStr">
        <is>
          <t>Region VI (Western Visayas)</t>
        </is>
      </c>
      <c r="F156" s="7" t="inlineStr">
        <is>
          <t>29</t>
        </is>
      </c>
      <c r="G156" s="27" t="n">
        <v>44816</v>
      </c>
      <c r="H156" s="7" t="n">
        <v>42</v>
      </c>
      <c r="I156" s="7" t="inlineStr">
        <is>
          <t>F</t>
        </is>
      </c>
      <c r="J156" s="8" t="inlineStr">
        <is>
          <t>Cluster</t>
        </is>
      </c>
      <c r="K156" s="28" t="n">
        <v>29.03</v>
      </c>
      <c r="L156" s="28" t="n"/>
      <c r="M156" s="28" t="n"/>
      <c r="N156" s="28" t="n"/>
      <c r="O156" s="8" t="n"/>
      <c r="P156" s="8" t="n"/>
    </row>
    <row r="157">
      <c r="A157" s="8" t="inlineStr">
        <is>
          <t>PGCV_0034_3378</t>
        </is>
      </c>
      <c r="B157" s="8" t="inlineStr">
        <is>
          <t>COVID-SNL-22-93972</t>
        </is>
      </c>
      <c r="C157" s="8" t="n"/>
      <c r="D157" s="7" t="n">
        <v>6</v>
      </c>
      <c r="E157" s="8" t="inlineStr">
        <is>
          <t>Region VI (Western Visayas)</t>
        </is>
      </c>
      <c r="F157" s="7" t="inlineStr">
        <is>
          <t>29</t>
        </is>
      </c>
      <c r="G157" s="27" t="n">
        <v>44817</v>
      </c>
      <c r="H157" s="7" t="n">
        <v>31</v>
      </c>
      <c r="I157" s="7" t="inlineStr">
        <is>
          <t>F</t>
        </is>
      </c>
      <c r="J157" s="8" t="inlineStr">
        <is>
          <t>Cluster</t>
        </is>
      </c>
      <c r="K157" s="28" t="n">
        <v>29.1</v>
      </c>
      <c r="L157" s="28" t="n"/>
      <c r="M157" s="28" t="n"/>
      <c r="N157" s="28" t="n"/>
      <c r="O157" s="8" t="n"/>
      <c r="P157" s="8" t="n"/>
    </row>
    <row r="158">
      <c r="A158" s="8" t="inlineStr">
        <is>
          <t>PGCV_0034_3382</t>
        </is>
      </c>
      <c r="B158" s="8" t="inlineStr">
        <is>
          <t>COVID-SNL-22-93906</t>
        </is>
      </c>
      <c r="C158" s="8" t="n"/>
      <c r="D158" s="7" t="n">
        <v>6</v>
      </c>
      <c r="E158" s="8" t="inlineStr">
        <is>
          <t>Region VI (Western Visayas)</t>
        </is>
      </c>
      <c r="F158" s="7" t="inlineStr">
        <is>
          <t>29</t>
        </is>
      </c>
      <c r="G158" s="27" t="n">
        <v>44817</v>
      </c>
      <c r="H158" s="7" t="n">
        <v>56</v>
      </c>
      <c r="I158" s="7" t="inlineStr">
        <is>
          <t>M</t>
        </is>
      </c>
      <c r="J158" s="8" t="inlineStr">
        <is>
          <t>Cluster</t>
        </is>
      </c>
      <c r="K158" s="28" t="n">
        <v>29.67</v>
      </c>
      <c r="L158" s="28" t="n"/>
      <c r="M158" s="28" t="n"/>
      <c r="N158" s="28" t="n"/>
      <c r="O158" s="8" t="n"/>
      <c r="P158" s="8" t="n"/>
    </row>
    <row r="159">
      <c r="A159" s="8" t="inlineStr">
        <is>
          <t>PGCV_0034_3391</t>
        </is>
      </c>
      <c r="B159" s="8" t="inlineStr">
        <is>
          <t>COVID-SNL-22-94310</t>
        </is>
      </c>
      <c r="C159" s="8" t="n"/>
      <c r="D159" s="7" t="n">
        <v>6</v>
      </c>
      <c r="E159" s="8" t="inlineStr">
        <is>
          <t>Region VI (Western Visayas)</t>
        </is>
      </c>
      <c r="F159" s="7" t="inlineStr">
        <is>
          <t>29</t>
        </is>
      </c>
      <c r="G159" s="27" t="n">
        <v>44818</v>
      </c>
      <c r="H159" s="7" t="n">
        <v>27</v>
      </c>
      <c r="I159" s="7" t="inlineStr">
        <is>
          <t>M</t>
        </is>
      </c>
      <c r="J159" s="8" t="inlineStr">
        <is>
          <t>Cluster</t>
        </is>
      </c>
      <c r="K159" s="28" t="n">
        <v>21</v>
      </c>
      <c r="L159" s="28" t="n"/>
      <c r="M159" s="28" t="n"/>
      <c r="N159" s="28" t="n"/>
      <c r="O159" s="8" t="n"/>
      <c r="P159" s="8" t="n"/>
    </row>
    <row r="160">
      <c r="A160" s="8" t="inlineStr">
        <is>
          <t>PGCV_0034_3392</t>
        </is>
      </c>
      <c r="B160" s="8" t="inlineStr">
        <is>
          <t>COVID-SNL-22-94311</t>
        </is>
      </c>
      <c r="C160" s="8" t="n"/>
      <c r="D160" s="7" t="n">
        <v>6</v>
      </c>
      <c r="E160" s="8" t="inlineStr">
        <is>
          <t>Region VI (Western Visayas)</t>
        </is>
      </c>
      <c r="F160" s="7" t="inlineStr">
        <is>
          <t>29</t>
        </is>
      </c>
      <c r="G160" s="27" t="n">
        <v>44818</v>
      </c>
      <c r="H160" s="7" t="n">
        <v>21</v>
      </c>
      <c r="I160" s="7" t="inlineStr">
        <is>
          <t>F</t>
        </is>
      </c>
      <c r="J160" s="8" t="inlineStr">
        <is>
          <t>Cluster</t>
        </is>
      </c>
      <c r="K160" s="28" t="n">
        <v>19.92</v>
      </c>
      <c r="L160" s="28" t="n"/>
      <c r="M160" s="28" t="n"/>
      <c r="N160" s="28" t="n"/>
      <c r="O160" s="8" t="n"/>
      <c r="P160" s="8" t="n"/>
    </row>
    <row r="161">
      <c r="A161" s="8" t="inlineStr">
        <is>
          <t>PGCV_0034_3417</t>
        </is>
      </c>
      <c r="B161" s="8" t="inlineStr">
        <is>
          <t>C39728</t>
        </is>
      </c>
      <c r="C161" s="8" t="n"/>
      <c r="D161" s="7" t="n">
        <v>6</v>
      </c>
      <c r="E161" s="8" t="inlineStr">
        <is>
          <t>Region VI (Western Visayas)</t>
        </is>
      </c>
      <c r="F161" s="7" t="inlineStr">
        <is>
          <t>29</t>
        </is>
      </c>
      <c r="G161" s="27" t="n">
        <v>44815</v>
      </c>
      <c r="H161" s="7" t="n">
        <v>64</v>
      </c>
      <c r="I161" s="7" t="inlineStr">
        <is>
          <t>F</t>
        </is>
      </c>
      <c r="J161" s="8" t="inlineStr">
        <is>
          <t>Unknown Exposure</t>
        </is>
      </c>
      <c r="K161" s="28" t="n">
        <v>28.55</v>
      </c>
      <c r="L161" s="28" t="n">
        <v>26.07</v>
      </c>
      <c r="M161" s="28" t="n"/>
      <c r="N161" s="28" t="n"/>
      <c r="O161" s="8" t="n"/>
      <c r="P161" s="8" t="n"/>
    </row>
    <row r="162">
      <c r="A162" s="8" t="inlineStr">
        <is>
          <t>PGCV_0035_3449</t>
        </is>
      </c>
      <c r="B162" s="8" t="inlineStr">
        <is>
          <t>COVID-SNL-22-95960</t>
        </is>
      </c>
      <c r="C162" s="8" t="n"/>
      <c r="D162" s="7" t="n">
        <v>6</v>
      </c>
      <c r="E162" s="8" t="inlineStr">
        <is>
          <t>Region VI (Western Visayas)</t>
        </is>
      </c>
      <c r="F162" s="7" t="inlineStr">
        <is>
          <t>30</t>
        </is>
      </c>
      <c r="G162" s="27" t="n">
        <v>44823</v>
      </c>
      <c r="H162" s="7" t="n">
        <v>73</v>
      </c>
      <c r="I162" s="7" t="inlineStr">
        <is>
          <t>F</t>
        </is>
      </c>
      <c r="J162" s="8" t="inlineStr">
        <is>
          <t>Admitted</t>
        </is>
      </c>
      <c r="K162" s="28" t="n">
        <v>25.22</v>
      </c>
      <c r="L162" s="28" t="n"/>
      <c r="M162" s="28" t="n"/>
      <c r="N162" s="28" t="n"/>
      <c r="O162" s="8" t="n"/>
      <c r="P162" s="8" t="n"/>
    </row>
    <row r="163">
      <c r="A163" s="12" t="inlineStr">
        <is>
          <t>PGCV_0036_3516</t>
        </is>
      </c>
      <c r="B163" s="12" t="inlineStr">
        <is>
          <t>COVID-SNL-22-98330</t>
        </is>
      </c>
      <c r="C163" s="12" t="n"/>
      <c r="D163" s="11" t="n">
        <v>6</v>
      </c>
      <c r="E163" s="12" t="inlineStr">
        <is>
          <t>Region VI (Western Visayas)</t>
        </is>
      </c>
      <c r="F163" s="11" t="inlineStr">
        <is>
          <t>31</t>
        </is>
      </c>
      <c r="G163" s="29" t="n">
        <v>44829</v>
      </c>
      <c r="H163" s="11" t="n">
        <v>17</v>
      </c>
      <c r="I163" s="11" t="inlineStr">
        <is>
          <t>M</t>
        </is>
      </c>
      <c r="J163" s="12" t="inlineStr">
        <is>
          <t>Admitted</t>
        </is>
      </c>
      <c r="K163" s="30" t="n">
        <v>27.78</v>
      </c>
      <c r="L163" s="30" t="n">
        <v>26.61</v>
      </c>
      <c r="M163" s="30" t="n"/>
      <c r="N163" s="30" t="n"/>
      <c r="O163" s="12" t="n"/>
      <c r="P163" s="12" t="inlineStr">
        <is>
          <t>criteria recorded as "Admitted*" - meaning of the asterisk unknown</t>
        </is>
      </c>
    </row>
    <row r="164">
      <c r="A164" s="8" t="inlineStr">
        <is>
          <t>PGCV_0037_3587</t>
        </is>
      </c>
      <c r="B164" s="8" t="inlineStr">
        <is>
          <t>COVID-SNL-22-99849</t>
        </is>
      </c>
      <c r="C164" s="8" t="n"/>
      <c r="D164" s="7" t="n">
        <v>6</v>
      </c>
      <c r="E164" s="8" t="inlineStr">
        <is>
          <t>Region VI (Western Visayas)</t>
        </is>
      </c>
      <c r="F164" s="7" t="inlineStr">
        <is>
          <t>32</t>
        </is>
      </c>
      <c r="G164" s="27" t="n">
        <v>44834</v>
      </c>
      <c r="H164" s="7" t="n">
        <v>28</v>
      </c>
      <c r="I164" s="7" t="inlineStr">
        <is>
          <t>F</t>
        </is>
      </c>
      <c r="J164" s="8" t="inlineStr">
        <is>
          <t>Cluster</t>
        </is>
      </c>
      <c r="K164" s="28" t="n">
        <v>21.65</v>
      </c>
      <c r="L164" s="28" t="n"/>
      <c r="M164" s="28" t="n"/>
      <c r="N164" s="28" t="n"/>
      <c r="O164" s="8" t="n"/>
      <c r="P164" s="8" t="n"/>
    </row>
    <row r="165">
      <c r="A165" s="8" t="inlineStr">
        <is>
          <t>PGCV_0037_3590</t>
        </is>
      </c>
      <c r="B165" s="8" t="inlineStr">
        <is>
          <t>COVID-SNL-22-100055</t>
        </is>
      </c>
      <c r="C165" s="8" t="n"/>
      <c r="D165" s="7" t="n">
        <v>6</v>
      </c>
      <c r="E165" s="8" t="inlineStr">
        <is>
          <t>Region VI (Western Visayas)</t>
        </is>
      </c>
      <c r="F165" s="7" t="inlineStr">
        <is>
          <t>32</t>
        </is>
      </c>
      <c r="G165" s="27" t="n">
        <v>44834</v>
      </c>
      <c r="H165" s="7" t="n">
        <v>18</v>
      </c>
      <c r="I165" s="7" t="inlineStr">
        <is>
          <t>F</t>
        </is>
      </c>
      <c r="J165" s="8" t="inlineStr">
        <is>
          <t>Cluster</t>
        </is>
      </c>
      <c r="K165" s="28" t="n">
        <v>27.91</v>
      </c>
      <c r="L165" s="28" t="n"/>
      <c r="M165" s="28" t="n"/>
      <c r="N165" s="28" t="n"/>
      <c r="O165" s="8" t="n"/>
      <c r="P165" s="8" t="n"/>
    </row>
    <row r="166">
      <c r="A166" s="8" t="inlineStr">
        <is>
          <t>PGCV_0037_3592</t>
        </is>
      </c>
      <c r="B166" s="8" t="inlineStr">
        <is>
          <t>COVID-SNL-22-100136</t>
        </is>
      </c>
      <c r="C166" s="8" t="n"/>
      <c r="D166" s="7" t="n">
        <v>6</v>
      </c>
      <c r="E166" s="8" t="inlineStr">
        <is>
          <t>Region VI (Western Visayas)</t>
        </is>
      </c>
      <c r="F166" s="7" t="inlineStr">
        <is>
          <t>32</t>
        </is>
      </c>
      <c r="G166" s="27" t="n">
        <v>44835</v>
      </c>
      <c r="H166" s="7" t="n">
        <v>24</v>
      </c>
      <c r="I166" s="7" t="inlineStr">
        <is>
          <t>F</t>
        </is>
      </c>
      <c r="J166" s="8" t="inlineStr">
        <is>
          <t>Cluster</t>
        </is>
      </c>
      <c r="K166" s="28" t="n">
        <v>29.14</v>
      </c>
      <c r="L166" s="28" t="n"/>
      <c r="M166" s="28" t="n"/>
      <c r="N166" s="28" t="n"/>
      <c r="O166" s="8" t="n"/>
      <c r="P166" s="8" t="n"/>
    </row>
    <row r="167">
      <c r="A167" s="8" t="inlineStr">
        <is>
          <t>PGCV_0037_3594</t>
        </is>
      </c>
      <c r="B167" s="8" t="inlineStr">
        <is>
          <t>COVID-SNL-22-100235</t>
        </is>
      </c>
      <c r="C167" s="8" t="n"/>
      <c r="D167" s="7" t="n">
        <v>6</v>
      </c>
      <c r="E167" s="8" t="inlineStr">
        <is>
          <t>Region VI (Western Visayas)</t>
        </is>
      </c>
      <c r="F167" s="7" t="inlineStr">
        <is>
          <t>32</t>
        </is>
      </c>
      <c r="G167" s="27" t="n">
        <v>44835</v>
      </c>
      <c r="H167" s="7" t="n">
        <v>58</v>
      </c>
      <c r="I167" s="7" t="inlineStr">
        <is>
          <t>F</t>
        </is>
      </c>
      <c r="J167" s="8" t="inlineStr">
        <is>
          <t>Cluster</t>
        </is>
      </c>
      <c r="K167" s="28" t="n">
        <v>28.05</v>
      </c>
      <c r="L167" s="28" t="n"/>
      <c r="M167" s="28" t="n"/>
      <c r="N167" s="28" t="n"/>
      <c r="O167" s="8" t="n"/>
      <c r="P167" s="8" t="n"/>
    </row>
    <row r="168">
      <c r="A168" s="8" t="inlineStr">
        <is>
          <t>PGCV_0037_3600</t>
        </is>
      </c>
      <c r="B168" s="8" t="inlineStr">
        <is>
          <t>COVID-SNL-22-100503</t>
        </is>
      </c>
      <c r="C168" s="8" t="n"/>
      <c r="D168" s="7" t="n">
        <v>6</v>
      </c>
      <c r="E168" s="8" t="inlineStr">
        <is>
          <t>Region VI (Western Visayas)</t>
        </is>
      </c>
      <c r="F168" s="7" t="inlineStr">
        <is>
          <t>32</t>
        </is>
      </c>
      <c r="G168" s="27" t="n">
        <v>44836</v>
      </c>
      <c r="H168" s="7" t="n">
        <v>54</v>
      </c>
      <c r="I168" s="7" t="inlineStr">
        <is>
          <t>F</t>
        </is>
      </c>
      <c r="J168" s="8" t="inlineStr">
        <is>
          <t>Admitted</t>
        </is>
      </c>
      <c r="K168" s="28" t="n">
        <v>25.53</v>
      </c>
      <c r="L168" s="28" t="n"/>
      <c r="M168" s="28" t="n"/>
      <c r="N168" s="28" t="n"/>
      <c r="O168" s="8" t="n"/>
      <c r="P168" s="8" t="n"/>
    </row>
    <row r="169">
      <c r="A169" s="8" t="inlineStr">
        <is>
          <t>PGCV_0037_3603</t>
        </is>
      </c>
      <c r="B169" s="8" t="inlineStr">
        <is>
          <t>COVID-SNL-22-100532</t>
        </is>
      </c>
      <c r="C169" s="8" t="n"/>
      <c r="D169" s="7" t="n">
        <v>6</v>
      </c>
      <c r="E169" s="8" t="inlineStr">
        <is>
          <t>Region VI (Western Visayas)</t>
        </is>
      </c>
      <c r="F169" s="7" t="inlineStr">
        <is>
          <t>32</t>
        </is>
      </c>
      <c r="G169" s="27" t="n">
        <v>44836</v>
      </c>
      <c r="H169" s="7" t="n">
        <v>26</v>
      </c>
      <c r="I169" s="7" t="inlineStr">
        <is>
          <t>M</t>
        </is>
      </c>
      <c r="J169" s="8" t="inlineStr">
        <is>
          <t>Cluster</t>
        </is>
      </c>
      <c r="K169" s="28" t="n">
        <v>27.8</v>
      </c>
      <c r="L169" s="28" t="n"/>
      <c r="M169" s="28" t="n"/>
      <c r="N169" s="28" t="n"/>
      <c r="O169" s="8" t="n"/>
      <c r="P169" s="8" t="n"/>
    </row>
    <row r="170">
      <c r="A170" s="8" t="inlineStr">
        <is>
          <t>PGCV_0037_3610</t>
        </is>
      </c>
      <c r="B170" s="8" t="inlineStr">
        <is>
          <t>COVID-SNL-22-100748</t>
        </is>
      </c>
      <c r="C170" s="8" t="n"/>
      <c r="D170" s="7" t="n">
        <v>6</v>
      </c>
      <c r="E170" s="8" t="inlineStr">
        <is>
          <t>Region VI (Western Visayas)</t>
        </is>
      </c>
      <c r="F170" s="7" t="inlineStr">
        <is>
          <t>32</t>
        </is>
      </c>
      <c r="G170" s="27" t="n">
        <v>44837</v>
      </c>
      <c r="H170" s="7" t="n">
        <v>29</v>
      </c>
      <c r="I170" s="7" t="inlineStr">
        <is>
          <t>F</t>
        </is>
      </c>
      <c r="J170" s="8" t="inlineStr">
        <is>
          <t>Admitted</t>
        </is>
      </c>
      <c r="K170" s="28" t="n">
        <v>26.54</v>
      </c>
      <c r="L170" s="28" t="n"/>
      <c r="M170" s="28" t="n"/>
      <c r="N170" s="28" t="n"/>
      <c r="O170" s="8" t="n"/>
      <c r="P170" s="8" t="n"/>
    </row>
    <row r="171">
      <c r="A171" s="8" t="inlineStr">
        <is>
          <t>PGCV_0037_3611</t>
        </is>
      </c>
      <c r="B171" s="8" t="inlineStr">
        <is>
          <t>COVID-SNL-22-100749</t>
        </is>
      </c>
      <c r="C171" s="8" t="n"/>
      <c r="D171" s="7" t="n">
        <v>6</v>
      </c>
      <c r="E171" s="8" t="inlineStr">
        <is>
          <t>Region VI (Western Visayas)</t>
        </is>
      </c>
      <c r="F171" s="7" t="inlineStr">
        <is>
          <t>32</t>
        </is>
      </c>
      <c r="G171" s="27" t="n">
        <v>44837</v>
      </c>
      <c r="H171" s="7" t="n">
        <v>19</v>
      </c>
      <c r="I171" s="7" t="inlineStr">
        <is>
          <t>F</t>
        </is>
      </c>
      <c r="J171" s="8" t="inlineStr">
        <is>
          <t>Admitted</t>
        </is>
      </c>
      <c r="K171" s="28" t="n">
        <v>27.89</v>
      </c>
      <c r="L171" s="28" t="n"/>
      <c r="M171" s="28" t="n"/>
      <c r="N171" s="28" t="n"/>
      <c r="O171" s="8" t="n"/>
      <c r="P171" s="8" t="n"/>
    </row>
    <row r="172">
      <c r="A172" s="8" t="inlineStr">
        <is>
          <t>PGCV_0037_3613</t>
        </is>
      </c>
      <c r="B172" s="8" t="inlineStr">
        <is>
          <t>COVID-SNL-22-100776</t>
        </is>
      </c>
      <c r="C172" s="8" t="n"/>
      <c r="D172" s="7" t="n">
        <v>6</v>
      </c>
      <c r="E172" s="8" t="inlineStr">
        <is>
          <t>Region VI (Western Visayas)</t>
        </is>
      </c>
      <c r="F172" s="7" t="inlineStr">
        <is>
          <t>32</t>
        </is>
      </c>
      <c r="G172" s="27" t="n">
        <v>44837</v>
      </c>
      <c r="H172" s="7" t="n">
        <v>48</v>
      </c>
      <c r="I172" s="7" t="inlineStr">
        <is>
          <t>F</t>
        </is>
      </c>
      <c r="J172" s="8" t="inlineStr">
        <is>
          <t>Cluster</t>
        </is>
      </c>
      <c r="K172" s="28" t="n">
        <v>24.75</v>
      </c>
      <c r="L172" s="28" t="n"/>
      <c r="M172" s="28" t="n"/>
      <c r="N172" s="28" t="n"/>
      <c r="O172" s="8" t="n"/>
      <c r="P172" s="8" t="n"/>
    </row>
    <row r="173">
      <c r="A173" s="8" t="inlineStr">
        <is>
          <t>PGCV_0037_3636</t>
        </is>
      </c>
      <c r="B173" s="8" t="inlineStr">
        <is>
          <t>COVID-SNL-22-101328</t>
        </is>
      </c>
      <c r="C173" s="8" t="n"/>
      <c r="D173" s="7" t="n">
        <v>6</v>
      </c>
      <c r="E173" s="8" t="inlineStr">
        <is>
          <t>Region VI (Western Visayas)</t>
        </is>
      </c>
      <c r="F173" s="7" t="inlineStr">
        <is>
          <t>32</t>
        </is>
      </c>
      <c r="G173" s="27" t="n">
        <v>44838</v>
      </c>
      <c r="H173" s="7" t="n">
        <v>25</v>
      </c>
      <c r="I173" s="7" t="inlineStr">
        <is>
          <t>F</t>
        </is>
      </c>
      <c r="J173" s="8" t="inlineStr">
        <is>
          <t>Cluster</t>
        </is>
      </c>
      <c r="K173" s="28" t="n">
        <v>28.69</v>
      </c>
      <c r="L173" s="28" t="n"/>
      <c r="M173" s="28" t="n"/>
      <c r="N173" s="28" t="n"/>
      <c r="O173" s="8" t="n"/>
      <c r="P173" s="8" t="n"/>
    </row>
    <row r="174">
      <c r="A174" s="8" t="inlineStr">
        <is>
          <t>PGCV_0037_3660</t>
        </is>
      </c>
      <c r="B174" s="8" t="inlineStr">
        <is>
          <t>COVID-SNL-22-102008</t>
        </is>
      </c>
      <c r="C174" s="8" t="n"/>
      <c r="D174" s="7" t="n">
        <v>6</v>
      </c>
      <c r="E174" s="8" t="inlineStr">
        <is>
          <t>Region VI (Western Visayas)</t>
        </is>
      </c>
      <c r="F174" s="7" t="inlineStr">
        <is>
          <t>32</t>
        </is>
      </c>
      <c r="G174" s="27" t="n">
        <v>44840</v>
      </c>
      <c r="H174" s="7" t="n">
        <v>53</v>
      </c>
      <c r="I174" s="7" t="inlineStr">
        <is>
          <t>F</t>
        </is>
      </c>
      <c r="J174" s="8" t="inlineStr">
        <is>
          <t>Cluster</t>
        </is>
      </c>
      <c r="K174" s="28" t="n">
        <v>28.19</v>
      </c>
      <c r="L174" s="28" t="n"/>
      <c r="M174" s="28" t="n"/>
      <c r="N174" s="28" t="n"/>
      <c r="O174" s="8" t="n"/>
      <c r="P174" s="8" t="n"/>
    </row>
    <row r="175">
      <c r="A175" s="8" t="inlineStr">
        <is>
          <t>PGCV_0038_3737</t>
        </is>
      </c>
      <c r="B175" s="8" t="inlineStr">
        <is>
          <t>COVID-SNL-22-102284</t>
        </is>
      </c>
      <c r="C175" s="8" t="n"/>
      <c r="D175" s="7" t="n">
        <v>6</v>
      </c>
      <c r="E175" s="8" t="inlineStr">
        <is>
          <t>Region VI (Western Visayas)</t>
        </is>
      </c>
      <c r="F175" s="7" t="inlineStr">
        <is>
          <t>33</t>
        </is>
      </c>
      <c r="G175" s="27" t="n">
        <v>44841</v>
      </c>
      <c r="H175" s="7" t="n">
        <v>32</v>
      </c>
      <c r="I175" s="7" t="inlineStr">
        <is>
          <t>F</t>
        </is>
      </c>
      <c r="J175" s="8" t="inlineStr">
        <is>
          <t>Cluster</t>
        </is>
      </c>
      <c r="K175" s="28" t="n">
        <v>26.88</v>
      </c>
      <c r="L175" s="28" t="n"/>
      <c r="M175" s="28" t="n"/>
      <c r="N175" s="28" t="n"/>
      <c r="O175" s="8" t="n"/>
      <c r="P175" s="8" t="n"/>
    </row>
    <row r="176">
      <c r="A176" s="8" t="inlineStr">
        <is>
          <t>PGCV_0038_3743</t>
        </is>
      </c>
      <c r="B176" s="8" t="inlineStr">
        <is>
          <t>COVID-SNL-22-102481</t>
        </is>
      </c>
      <c r="C176" s="8" t="n"/>
      <c r="D176" s="7" t="n">
        <v>6</v>
      </c>
      <c r="E176" s="8" t="inlineStr">
        <is>
          <t>Region VI (Western Visayas)</t>
        </is>
      </c>
      <c r="F176" s="7" t="inlineStr">
        <is>
          <t>33</t>
        </is>
      </c>
      <c r="G176" s="27" t="n">
        <v>44841</v>
      </c>
      <c r="H176" s="7" t="n">
        <v>21</v>
      </c>
      <c r="I176" s="7" t="inlineStr">
        <is>
          <t>F</t>
        </is>
      </c>
      <c r="J176" s="8" t="inlineStr">
        <is>
          <t>Cluster</t>
        </is>
      </c>
      <c r="K176" s="28" t="n">
        <v>25.85</v>
      </c>
      <c r="L176" s="28" t="n"/>
      <c r="M176" s="28" t="n"/>
      <c r="N176" s="28" t="n"/>
      <c r="O176" s="8" t="n"/>
      <c r="P176" s="8" t="n"/>
    </row>
    <row r="177">
      <c r="A177" s="8" t="inlineStr">
        <is>
          <t>PGCV_0038_3746</t>
        </is>
      </c>
      <c r="B177" s="8" t="inlineStr">
        <is>
          <t>COVID-SNL-22-102500</t>
        </is>
      </c>
      <c r="C177" s="8" t="n"/>
      <c r="D177" s="7" t="n">
        <v>6</v>
      </c>
      <c r="E177" s="8" t="inlineStr">
        <is>
          <t>Region VI (Western Visayas)</t>
        </is>
      </c>
      <c r="F177" s="7" t="inlineStr">
        <is>
          <t>33</t>
        </is>
      </c>
      <c r="G177" s="27" t="n">
        <v>44841</v>
      </c>
      <c r="H177" s="7" t="n">
        <v>19</v>
      </c>
      <c r="I177" s="7" t="inlineStr">
        <is>
          <t>F</t>
        </is>
      </c>
      <c r="J177" s="8" t="inlineStr">
        <is>
          <t>Cluster</t>
        </is>
      </c>
      <c r="K177" s="28" t="n">
        <v>24.86</v>
      </c>
      <c r="L177" s="28" t="n"/>
      <c r="M177" s="28" t="n"/>
      <c r="N177" s="28" t="n"/>
      <c r="O177" s="8" t="n"/>
      <c r="P177" s="8" t="n"/>
    </row>
    <row r="178">
      <c r="A178" s="8" t="inlineStr">
        <is>
          <t>PGCV_0038_3747</t>
        </is>
      </c>
      <c r="B178" s="8" t="inlineStr">
        <is>
          <t>COVID-SNL-22-102505</t>
        </is>
      </c>
      <c r="C178" s="8" t="n"/>
      <c r="D178" s="7" t="n">
        <v>6</v>
      </c>
      <c r="E178" s="8" t="inlineStr">
        <is>
          <t>Region VI (Western Visayas)</t>
        </is>
      </c>
      <c r="F178" s="7" t="inlineStr">
        <is>
          <t>33</t>
        </is>
      </c>
      <c r="G178" s="27" t="n">
        <v>44841</v>
      </c>
      <c r="H178" s="7" t="n">
        <v>3</v>
      </c>
      <c r="I178" s="7" t="inlineStr">
        <is>
          <t>M</t>
        </is>
      </c>
      <c r="J178" s="8" t="inlineStr">
        <is>
          <t>Admitted</t>
        </is>
      </c>
      <c r="K178" s="28" t="n">
        <v>27.93</v>
      </c>
      <c r="L178" s="28" t="n"/>
      <c r="M178" s="28" t="n"/>
      <c r="N178" s="28" t="n"/>
      <c r="O178" s="8" t="n"/>
      <c r="P178" s="8" t="n"/>
    </row>
    <row r="179">
      <c r="A179" s="8" t="inlineStr">
        <is>
          <t>PGCV_0038_3753</t>
        </is>
      </c>
      <c r="B179" s="8" t="inlineStr">
        <is>
          <t>COVID-SNL-22-102425</t>
        </is>
      </c>
      <c r="C179" s="8" t="n"/>
      <c r="D179" s="7" t="n">
        <v>6</v>
      </c>
      <c r="E179" s="8" t="inlineStr">
        <is>
          <t>Region VI (Western Visayas)</t>
        </is>
      </c>
      <c r="F179" s="7" t="inlineStr">
        <is>
          <t>33</t>
        </is>
      </c>
      <c r="G179" s="27" t="n">
        <v>44841</v>
      </c>
      <c r="H179" s="7" t="n">
        <v>50</v>
      </c>
      <c r="I179" s="7" t="inlineStr">
        <is>
          <t>M</t>
        </is>
      </c>
      <c r="J179" s="8" t="inlineStr">
        <is>
          <t>Cluster</t>
        </is>
      </c>
      <c r="K179" s="28" t="n">
        <v>26.62</v>
      </c>
      <c r="L179" s="28" t="n"/>
      <c r="M179" s="28" t="n"/>
      <c r="N179" s="28" t="n"/>
      <c r="O179" s="8" t="n"/>
      <c r="P179" s="8" t="n"/>
    </row>
    <row r="180">
      <c r="A180" s="8" t="inlineStr">
        <is>
          <t>PGCV_0038_3763</t>
        </is>
      </c>
      <c r="B180" s="8" t="inlineStr">
        <is>
          <t>COVID-SNL-22-102604</t>
        </is>
      </c>
      <c r="C180" s="8" t="n"/>
      <c r="D180" s="7" t="n">
        <v>6</v>
      </c>
      <c r="E180" s="8" t="inlineStr">
        <is>
          <t>Region VI (Western Visayas)</t>
        </is>
      </c>
      <c r="F180" s="7" t="inlineStr">
        <is>
          <t>33</t>
        </is>
      </c>
      <c r="G180" s="27" t="n">
        <v>44842</v>
      </c>
      <c r="H180" s="7" t="n">
        <v>69</v>
      </c>
      <c r="I180" s="7" t="inlineStr">
        <is>
          <t>M</t>
        </is>
      </c>
      <c r="J180" s="8" t="inlineStr">
        <is>
          <t>Admitted</t>
        </is>
      </c>
      <c r="K180" s="28" t="n">
        <v>28.41</v>
      </c>
      <c r="L180" s="28" t="n"/>
      <c r="M180" s="28" t="n"/>
      <c r="N180" s="28" t="n"/>
      <c r="O180" s="8" t="n"/>
      <c r="P180" s="8" t="n"/>
    </row>
    <row r="181">
      <c r="A181" s="8" t="inlineStr">
        <is>
          <t>PGCV_0038_3767</t>
        </is>
      </c>
      <c r="B181" s="8" t="inlineStr">
        <is>
          <t>COVID-SNL-22-102664</t>
        </is>
      </c>
      <c r="C181" s="8" t="n"/>
      <c r="D181" s="7" t="n">
        <v>6</v>
      </c>
      <c r="E181" s="8" t="inlineStr">
        <is>
          <t>Region VI (Western Visayas)</t>
        </is>
      </c>
      <c r="F181" s="7" t="inlineStr">
        <is>
          <t>33</t>
        </is>
      </c>
      <c r="G181" s="27" t="n">
        <v>44842</v>
      </c>
      <c r="H181" s="7" t="n">
        <v>27</v>
      </c>
      <c r="I181" s="7" t="inlineStr">
        <is>
          <t>F</t>
        </is>
      </c>
      <c r="J181" s="8" t="inlineStr">
        <is>
          <t>Cluster</t>
        </is>
      </c>
      <c r="K181" s="28" t="n">
        <v>24.6</v>
      </c>
      <c r="L181" s="28" t="n"/>
      <c r="M181" s="28" t="n"/>
      <c r="N181" s="28" t="n"/>
      <c r="O181" s="8" t="n"/>
      <c r="P181" s="8" t="n"/>
    </row>
    <row r="182">
      <c r="A182" s="8" t="inlineStr">
        <is>
          <t>PGCV_0038_3774</t>
        </is>
      </c>
      <c r="B182" s="8" t="inlineStr">
        <is>
          <t>COVID-SNL-22-102337</t>
        </is>
      </c>
      <c r="C182" s="8" t="n"/>
      <c r="D182" s="7" t="n">
        <v>6</v>
      </c>
      <c r="E182" s="8" t="inlineStr">
        <is>
          <t>Region VI (Western Visayas)</t>
        </is>
      </c>
      <c r="F182" s="7" t="inlineStr">
        <is>
          <t>33</t>
        </is>
      </c>
      <c r="G182" s="27" t="n">
        <v>44842</v>
      </c>
      <c r="H182" s="7" t="n">
        <v>71</v>
      </c>
      <c r="I182" s="7" t="inlineStr">
        <is>
          <t>F</t>
        </is>
      </c>
      <c r="J182" s="8" t="inlineStr">
        <is>
          <t>Cluster</t>
        </is>
      </c>
      <c r="K182" s="28" t="n">
        <v>26.14</v>
      </c>
      <c r="L182" s="28" t="n"/>
      <c r="M182" s="28" t="n"/>
      <c r="N182" s="28" t="n"/>
      <c r="O182" s="8" t="n"/>
      <c r="P182" s="8" t="n"/>
    </row>
    <row r="183">
      <c r="A183" s="8" t="inlineStr">
        <is>
          <t>PGCV_0038_3784</t>
        </is>
      </c>
      <c r="B183" s="8" t="inlineStr">
        <is>
          <t>COVID-SNL-22-103057</t>
        </is>
      </c>
      <c r="C183" s="8" t="n"/>
      <c r="D183" s="7" t="n">
        <v>6</v>
      </c>
      <c r="E183" s="8" t="inlineStr">
        <is>
          <t>Region VI (Western Visayas)</t>
        </is>
      </c>
      <c r="F183" s="7" t="inlineStr">
        <is>
          <t>33</t>
        </is>
      </c>
      <c r="G183" s="27" t="n">
        <v>44843</v>
      </c>
      <c r="H183" s="7" t="n">
        <v>51</v>
      </c>
      <c r="I183" s="7" t="inlineStr">
        <is>
          <t>F</t>
        </is>
      </c>
      <c r="J183" s="8" t="inlineStr">
        <is>
          <t>Cluster</t>
        </is>
      </c>
      <c r="K183" s="28" t="n">
        <v>25.11</v>
      </c>
      <c r="L183" s="28" t="n"/>
      <c r="M183" s="28" t="n"/>
      <c r="N183" s="28" t="n"/>
      <c r="O183" s="8" t="n"/>
      <c r="P183" s="8" t="n"/>
    </row>
    <row r="184">
      <c r="A184" s="8" t="inlineStr">
        <is>
          <t>PGCV_0038_3786</t>
        </is>
      </c>
      <c r="B184" s="8" t="inlineStr">
        <is>
          <t>COVID-SNL-22-103053</t>
        </is>
      </c>
      <c r="C184" s="8" t="n"/>
      <c r="D184" s="7" t="n">
        <v>6</v>
      </c>
      <c r="E184" s="8" t="inlineStr">
        <is>
          <t>Region VI (Western Visayas)</t>
        </is>
      </c>
      <c r="F184" s="7" t="inlineStr">
        <is>
          <t>33</t>
        </is>
      </c>
      <c r="G184" s="27" t="n">
        <v>44843</v>
      </c>
      <c r="H184" s="7" t="n">
        <v>37</v>
      </c>
      <c r="I184" s="7" t="inlineStr">
        <is>
          <t>F</t>
        </is>
      </c>
      <c r="J184" s="8" t="inlineStr">
        <is>
          <t>Cluster</t>
        </is>
      </c>
      <c r="K184" s="28" t="n">
        <v>26.93</v>
      </c>
      <c r="L184" s="28" t="n"/>
      <c r="M184" s="28" t="n"/>
      <c r="N184" s="28" t="n"/>
      <c r="O184" s="8" t="n"/>
      <c r="P184" s="8" t="n"/>
    </row>
    <row r="185">
      <c r="A185" s="8" t="inlineStr">
        <is>
          <t>PGCV_0038_3788</t>
        </is>
      </c>
      <c r="B185" s="8" t="inlineStr">
        <is>
          <t>COVID-SNL-22-103118</t>
        </is>
      </c>
      <c r="C185" s="8" t="n"/>
      <c r="D185" s="7" t="n">
        <v>6</v>
      </c>
      <c r="E185" s="8" t="inlineStr">
        <is>
          <t>Region VI (Western Visayas)</t>
        </is>
      </c>
      <c r="F185" s="7" t="inlineStr">
        <is>
          <t>33</t>
        </is>
      </c>
      <c r="G185" s="27" t="n">
        <v>44844</v>
      </c>
      <c r="H185" s="7" t="n">
        <v>80</v>
      </c>
      <c r="I185" s="7" t="inlineStr">
        <is>
          <t>M</t>
        </is>
      </c>
      <c r="J185" s="8" t="inlineStr">
        <is>
          <t>Cluster</t>
        </is>
      </c>
      <c r="K185" s="28" t="n">
        <v>28.75</v>
      </c>
      <c r="L185" s="28" t="n"/>
      <c r="M185" s="28" t="n"/>
      <c r="N185" s="28" t="n"/>
      <c r="O185" s="8" t="n"/>
      <c r="P185" s="8" t="n"/>
    </row>
    <row r="186">
      <c r="A186" s="8" t="inlineStr">
        <is>
          <t>PGCV_0038_3793</t>
        </is>
      </c>
      <c r="B186" s="8" t="inlineStr">
        <is>
          <t>COVID-SNL-22-103062</t>
        </is>
      </c>
      <c r="C186" s="8" t="n"/>
      <c r="D186" s="7" t="n">
        <v>6</v>
      </c>
      <c r="E186" s="8" t="inlineStr">
        <is>
          <t>Region VI (Western Visayas)</t>
        </is>
      </c>
      <c r="F186" s="7" t="inlineStr">
        <is>
          <t>33</t>
        </is>
      </c>
      <c r="G186" s="27" t="n">
        <v>44844</v>
      </c>
      <c r="H186" s="7" t="n">
        <v>30</v>
      </c>
      <c r="I186" s="7" t="inlineStr">
        <is>
          <t>F</t>
        </is>
      </c>
      <c r="J186" s="8" t="inlineStr">
        <is>
          <t>Cluster</t>
        </is>
      </c>
      <c r="K186" s="28" t="n">
        <v>29.94</v>
      </c>
      <c r="L186" s="28" t="n"/>
      <c r="M186" s="28" t="n"/>
      <c r="N186" s="28" t="n"/>
      <c r="O186" s="8" t="n"/>
      <c r="P186" s="8" t="n"/>
    </row>
    <row r="187">
      <c r="A187" s="8" t="inlineStr">
        <is>
          <t>PGCV_0038_3801</t>
        </is>
      </c>
      <c r="B187" s="8" t="inlineStr">
        <is>
          <t>COVID-SNL-22-103353</t>
        </is>
      </c>
      <c r="C187" s="8" t="n"/>
      <c r="D187" s="7" t="n">
        <v>6</v>
      </c>
      <c r="E187" s="8" t="inlineStr">
        <is>
          <t>Region VI (Western Visayas)</t>
        </is>
      </c>
      <c r="F187" s="7" t="inlineStr">
        <is>
          <t>33</t>
        </is>
      </c>
      <c r="G187" s="27" t="n">
        <v>44844</v>
      </c>
      <c r="H187" s="7" t="n">
        <v>74</v>
      </c>
      <c r="I187" s="7" t="inlineStr">
        <is>
          <t>F</t>
        </is>
      </c>
      <c r="J187" s="8" t="inlineStr">
        <is>
          <t>Admitted</t>
        </is>
      </c>
      <c r="K187" s="28" t="n">
        <v>28.12</v>
      </c>
      <c r="L187" s="28" t="n"/>
      <c r="M187" s="28" t="n"/>
      <c r="N187" s="28" t="n"/>
      <c r="O187" s="8" t="n"/>
      <c r="P187" s="8" t="n"/>
    </row>
    <row r="188">
      <c r="A188" s="8" t="inlineStr">
        <is>
          <t>PGCV_0038_3810</t>
        </is>
      </c>
      <c r="B188" s="8" t="inlineStr">
        <is>
          <t>COVID-SNL-22-103425</t>
        </is>
      </c>
      <c r="C188" s="8" t="n"/>
      <c r="D188" s="7" t="n">
        <v>6</v>
      </c>
      <c r="E188" s="8" t="inlineStr">
        <is>
          <t>Region VI (Western Visayas)</t>
        </is>
      </c>
      <c r="F188" s="7" t="inlineStr">
        <is>
          <t>33</t>
        </is>
      </c>
      <c r="G188" s="27" t="n">
        <v>44844</v>
      </c>
      <c r="H188" s="7" t="n">
        <v>95</v>
      </c>
      <c r="I188" s="7" t="inlineStr">
        <is>
          <t>F</t>
        </is>
      </c>
      <c r="J188" s="8" t="inlineStr">
        <is>
          <t>Admitted</t>
        </is>
      </c>
      <c r="K188" s="28" t="n">
        <v>29.83</v>
      </c>
      <c r="L188" s="28" t="n"/>
      <c r="M188" s="28" t="n"/>
      <c r="N188" s="28" t="n"/>
      <c r="O188" s="8" t="n"/>
      <c r="P188" s="8" t="n"/>
    </row>
    <row r="189">
      <c r="A189" s="8" t="inlineStr">
        <is>
          <t>PGCV_0038_3818</t>
        </is>
      </c>
      <c r="B189" s="8" t="inlineStr">
        <is>
          <t>COVID-SNL-22-103572</t>
        </is>
      </c>
      <c r="C189" s="8" t="n"/>
      <c r="D189" s="7" t="n">
        <v>6</v>
      </c>
      <c r="E189" s="8" t="inlineStr">
        <is>
          <t>Region VI (Western Visayas)</t>
        </is>
      </c>
      <c r="F189" s="7" t="inlineStr">
        <is>
          <t>33</t>
        </is>
      </c>
      <c r="G189" s="27" t="n">
        <v>44845</v>
      </c>
      <c r="H189" s="7" t="n">
        <v>29</v>
      </c>
      <c r="I189" s="7" t="inlineStr">
        <is>
          <t>M</t>
        </is>
      </c>
      <c r="J189" s="8" t="inlineStr">
        <is>
          <t>Cluster</t>
        </is>
      </c>
      <c r="K189" s="28" t="n"/>
      <c r="L189" s="28" t="n">
        <v>24.96</v>
      </c>
      <c r="M189" s="28" t="n">
        <v>27.03</v>
      </c>
      <c r="N189" s="28" t="n"/>
      <c r="O189" s="8" t="n"/>
      <c r="P189" s="8" t="n"/>
    </row>
    <row r="190">
      <c r="A190" s="8" t="inlineStr">
        <is>
          <t>PGCV_0038_3824</t>
        </is>
      </c>
      <c r="B190" s="8" t="inlineStr">
        <is>
          <t>COVID-SNL-22-103685</t>
        </is>
      </c>
      <c r="C190" s="8" t="n"/>
      <c r="D190" s="7" t="n">
        <v>6</v>
      </c>
      <c r="E190" s="8" t="inlineStr">
        <is>
          <t>Region VI (Western Visayas)</t>
        </is>
      </c>
      <c r="F190" s="7" t="inlineStr">
        <is>
          <t>33</t>
        </is>
      </c>
      <c r="G190" s="27" t="n">
        <v>44845</v>
      </c>
      <c r="H190" s="7" t="n">
        <v>27</v>
      </c>
      <c r="I190" s="7" t="inlineStr">
        <is>
          <t>F</t>
        </is>
      </c>
      <c r="J190" s="8" t="inlineStr">
        <is>
          <t>Cluster</t>
        </is>
      </c>
      <c r="K190" s="28" t="n">
        <v>20.21</v>
      </c>
      <c r="L190" s="28" t="n"/>
      <c r="M190" s="28" t="n"/>
      <c r="N190" s="28" t="n"/>
      <c r="O190" s="8" t="n"/>
      <c r="P190" s="8" t="n"/>
    </row>
    <row r="191">
      <c r="A191" s="8" t="inlineStr">
        <is>
          <t>PGCV_0038_3832</t>
        </is>
      </c>
      <c r="B191" s="8" t="inlineStr">
        <is>
          <t>COVID-SNL-22-103835</t>
        </is>
      </c>
      <c r="C191" s="8" t="n"/>
      <c r="D191" s="7" t="n">
        <v>6</v>
      </c>
      <c r="E191" s="8" t="inlineStr">
        <is>
          <t>Region VI (Western Visayas)</t>
        </is>
      </c>
      <c r="F191" s="7" t="inlineStr">
        <is>
          <t>33</t>
        </is>
      </c>
      <c r="G191" s="27" t="n">
        <v>44846</v>
      </c>
      <c r="H191" s="7" t="n">
        <v>44</v>
      </c>
      <c r="I191" s="7" t="inlineStr">
        <is>
          <t>F</t>
        </is>
      </c>
      <c r="J191" s="8" t="inlineStr">
        <is>
          <t>Cluster</t>
        </is>
      </c>
      <c r="K191" s="28" t="n"/>
      <c r="L191" s="28" t="n">
        <v>26.55</v>
      </c>
      <c r="M191" s="28" t="n">
        <v>28.26</v>
      </c>
      <c r="N191" s="28" t="n"/>
      <c r="O191" s="8" t="n"/>
      <c r="P191" s="8" t="n"/>
    </row>
    <row r="192">
      <c r="A192" s="8" t="inlineStr">
        <is>
          <t>PGCV_0038_3844</t>
        </is>
      </c>
      <c r="B192" s="8" t="inlineStr">
        <is>
          <t>COVID-SNL-22-104074</t>
        </is>
      </c>
      <c r="C192" s="8" t="n"/>
      <c r="D192" s="7" t="n">
        <v>6</v>
      </c>
      <c r="E192" s="8" t="inlineStr">
        <is>
          <t>Region VI (Western Visayas)</t>
        </is>
      </c>
      <c r="F192" s="7" t="inlineStr">
        <is>
          <t>33</t>
        </is>
      </c>
      <c r="G192" s="27" t="n">
        <v>44846</v>
      </c>
      <c r="H192" s="7" t="n">
        <v>21</v>
      </c>
      <c r="I192" s="7" t="inlineStr">
        <is>
          <t>F</t>
        </is>
      </c>
      <c r="J192" s="8" t="inlineStr">
        <is>
          <t>Cluster</t>
        </is>
      </c>
      <c r="K192" s="28" t="n">
        <v>22.85</v>
      </c>
      <c r="L192" s="28" t="n"/>
      <c r="M192" s="28" t="n"/>
      <c r="N192" s="28" t="n"/>
      <c r="O192" s="8" t="n"/>
      <c r="P192" s="8" t="n"/>
    </row>
    <row r="193">
      <c r="A193" s="8" t="inlineStr">
        <is>
          <t>PGCV_0038_3846</t>
        </is>
      </c>
      <c r="B193" s="8" t="inlineStr">
        <is>
          <t>COVID-SNL-22-104010</t>
        </is>
      </c>
      <c r="C193" s="8" t="n"/>
      <c r="D193" s="7" t="n">
        <v>6</v>
      </c>
      <c r="E193" s="8" t="inlineStr">
        <is>
          <t>Region VI (Western Visayas)</t>
        </is>
      </c>
      <c r="F193" s="7" t="inlineStr">
        <is>
          <t>33</t>
        </is>
      </c>
      <c r="G193" s="27" t="n">
        <v>44846</v>
      </c>
      <c r="H193" s="7" t="n">
        <v>78</v>
      </c>
      <c r="I193" s="7" t="inlineStr">
        <is>
          <t>F</t>
        </is>
      </c>
      <c r="J193" s="8" t="inlineStr">
        <is>
          <t>Admitted</t>
        </is>
      </c>
      <c r="K193" s="28" t="n">
        <v>27.86</v>
      </c>
      <c r="L193" s="28" t="n"/>
      <c r="M193" s="28" t="n"/>
      <c r="N193" s="28" t="n"/>
      <c r="O193" s="8" t="n"/>
      <c r="P193" s="8" t="n"/>
    </row>
    <row r="194">
      <c r="A194" s="8" t="inlineStr">
        <is>
          <t>PGCV_0038_3847</t>
        </is>
      </c>
      <c r="B194" s="8" t="inlineStr">
        <is>
          <t>COVID-SNL-22-104013</t>
        </is>
      </c>
      <c r="C194" s="8" t="n"/>
      <c r="D194" s="7" t="n">
        <v>6</v>
      </c>
      <c r="E194" s="8" t="inlineStr">
        <is>
          <t>Region VI (Western Visayas)</t>
        </is>
      </c>
      <c r="F194" s="7" t="inlineStr">
        <is>
          <t>33</t>
        </is>
      </c>
      <c r="G194" s="27" t="n">
        <v>44846</v>
      </c>
      <c r="H194" s="7" t="n">
        <v>33</v>
      </c>
      <c r="I194" s="7" t="inlineStr">
        <is>
          <t>F</t>
        </is>
      </c>
      <c r="J194" s="8" t="inlineStr">
        <is>
          <t>Cluster</t>
        </is>
      </c>
      <c r="K194" s="28" t="n">
        <v>29.74</v>
      </c>
      <c r="L194" s="28" t="n"/>
      <c r="M194" s="28" t="n"/>
      <c r="N194" s="28" t="n"/>
      <c r="O194" s="8" t="n"/>
      <c r="P194" s="8" t="n"/>
    </row>
    <row r="195">
      <c r="A195" s="8" t="inlineStr">
        <is>
          <t>PGCV_0038_3877</t>
        </is>
      </c>
      <c r="B195" s="8" t="inlineStr">
        <is>
          <t>COVID-SNL-22-104465</t>
        </is>
      </c>
      <c r="C195" s="8" t="n"/>
      <c r="D195" s="7" t="n">
        <v>6</v>
      </c>
      <c r="E195" s="8" t="inlineStr">
        <is>
          <t>Region VI (Western Visayas)</t>
        </is>
      </c>
      <c r="F195" s="7" t="inlineStr">
        <is>
          <t>33</t>
        </is>
      </c>
      <c r="G195" s="27" t="n">
        <v>44847</v>
      </c>
      <c r="H195" s="7" t="n">
        <v>38</v>
      </c>
      <c r="I195" s="7" t="inlineStr">
        <is>
          <t>F</t>
        </is>
      </c>
      <c r="J195" s="8" t="inlineStr">
        <is>
          <t>Cluster</t>
        </is>
      </c>
      <c r="K195" s="28" t="n">
        <v>29.58</v>
      </c>
      <c r="L195" s="28" t="n"/>
      <c r="M195" s="28" t="n"/>
      <c r="N195" s="28" t="n"/>
      <c r="O195" s="8" t="n"/>
      <c r="P195" s="8" t="n"/>
    </row>
    <row r="196">
      <c r="A196" s="8" t="inlineStr">
        <is>
          <t>PGCV_0038_3946</t>
        </is>
      </c>
      <c r="B196" s="8" t="inlineStr">
        <is>
          <t>810B123893</t>
        </is>
      </c>
      <c r="C196" s="8" t="n"/>
      <c r="D196" s="7" t="n">
        <v>6</v>
      </c>
      <c r="E196" s="8" t="inlineStr">
        <is>
          <t>Region VI (Western Visayas)</t>
        </is>
      </c>
      <c r="F196" s="7" t="inlineStr">
        <is>
          <t>33</t>
        </is>
      </c>
      <c r="G196" s="27" t="n">
        <v>44847</v>
      </c>
      <c r="H196" s="7" t="n">
        <v>26</v>
      </c>
      <c r="I196" s="7" t="inlineStr">
        <is>
          <t>M</t>
        </is>
      </c>
      <c r="J196" s="8" t="inlineStr">
        <is>
          <t>Cluster</t>
        </is>
      </c>
      <c r="K196" s="28" t="n">
        <v>27.14</v>
      </c>
      <c r="L196" s="28" t="n"/>
      <c r="M196" s="28" t="n"/>
      <c r="N196" s="28" t="n"/>
      <c r="O196" s="8" t="n"/>
      <c r="P196" s="8" t="n"/>
    </row>
    <row r="197">
      <c r="A197" s="8" t="inlineStr">
        <is>
          <t>PGCV_0038_3956</t>
        </is>
      </c>
      <c r="B197" s="8" t="inlineStr">
        <is>
          <t>812B124048</t>
        </is>
      </c>
      <c r="C197" s="8" t="n"/>
      <c r="D197" s="7" t="n">
        <v>6</v>
      </c>
      <c r="E197" s="8" t="inlineStr">
        <is>
          <t>Region VI (Western Visayas)</t>
        </is>
      </c>
      <c r="F197" s="7" t="inlineStr">
        <is>
          <t>33</t>
        </is>
      </c>
      <c r="G197" s="27" t="n">
        <v>44849</v>
      </c>
      <c r="H197" s="7" t="n">
        <v>27</v>
      </c>
      <c r="I197" s="7" t="inlineStr">
        <is>
          <t>M</t>
        </is>
      </c>
      <c r="J197" s="8" t="inlineStr">
        <is>
          <t>Unknown Exposure</t>
        </is>
      </c>
      <c r="K197" s="28" t="n">
        <v>24.75</v>
      </c>
      <c r="L197" s="28" t="n"/>
      <c r="M197" s="28" t="n"/>
      <c r="N197" s="28" t="n"/>
      <c r="O197" s="8" t="n"/>
      <c r="P197" s="8" t="n"/>
    </row>
    <row r="198">
      <c r="A198" s="8" t="inlineStr">
        <is>
          <t>PGCV_0039_4024</t>
        </is>
      </c>
      <c r="B198" s="8" t="inlineStr">
        <is>
          <t>COVID-SNL-22-104920</t>
        </is>
      </c>
      <c r="C198" s="8" t="n"/>
      <c r="D198" s="7" t="n">
        <v>6</v>
      </c>
      <c r="E198" s="8" t="inlineStr">
        <is>
          <t>Region VI (Western Visayas)</t>
        </is>
      </c>
      <c r="F198" s="7" t="inlineStr">
        <is>
          <t>34</t>
        </is>
      </c>
      <c r="G198" s="27" t="n">
        <v>44848</v>
      </c>
      <c r="H198" s="7" t="n">
        <v>42</v>
      </c>
      <c r="I198" s="7" t="inlineStr">
        <is>
          <t>M</t>
        </is>
      </c>
      <c r="J198" s="8" t="inlineStr">
        <is>
          <t>Cluster</t>
        </is>
      </c>
      <c r="K198" s="28" t="n">
        <v>28.63</v>
      </c>
      <c r="L198" s="28" t="n"/>
      <c r="M198" s="28" t="n"/>
      <c r="N198" s="28" t="n"/>
      <c r="O198" s="8" t="n"/>
      <c r="P198" s="8" t="n"/>
    </row>
    <row r="199">
      <c r="A199" s="8" t="inlineStr">
        <is>
          <t>PGCV_0039_4053</t>
        </is>
      </c>
      <c r="B199" s="8" t="inlineStr">
        <is>
          <t>COVID-SNL-22-105439</t>
        </is>
      </c>
      <c r="C199" s="8" t="n"/>
      <c r="D199" s="7" t="n">
        <v>6</v>
      </c>
      <c r="E199" s="8" t="inlineStr">
        <is>
          <t>Region VI (Western Visayas)</t>
        </is>
      </c>
      <c r="F199" s="7" t="inlineStr">
        <is>
          <t>34</t>
        </is>
      </c>
      <c r="G199" s="27" t="n">
        <v>44850</v>
      </c>
      <c r="H199" s="7" t="n">
        <v>26</v>
      </c>
      <c r="I199" s="7" t="inlineStr">
        <is>
          <t>F</t>
        </is>
      </c>
      <c r="J199" s="8" t="inlineStr">
        <is>
          <t>Admitted</t>
        </is>
      </c>
      <c r="K199" s="28" t="n">
        <v>29.16</v>
      </c>
      <c r="L199" s="28" t="n"/>
      <c r="M199" s="28" t="n"/>
      <c r="N199" s="28" t="n"/>
      <c r="O199" s="8" t="n"/>
      <c r="P199" s="8" t="n"/>
    </row>
    <row r="200">
      <c r="A200" s="8" t="inlineStr">
        <is>
          <t>PGCV_0039_4068</t>
        </is>
      </c>
      <c r="B200" s="8" t="inlineStr">
        <is>
          <t>COVID-SNL-22-105575</t>
        </is>
      </c>
      <c r="C200" s="8" t="n"/>
      <c r="D200" s="7" t="n">
        <v>6</v>
      </c>
      <c r="E200" s="8" t="inlineStr">
        <is>
          <t>Region VI (Western Visayas)</t>
        </is>
      </c>
      <c r="F200" s="7" t="inlineStr">
        <is>
          <t>34</t>
        </is>
      </c>
      <c r="G200" s="27" t="n">
        <v>44851</v>
      </c>
      <c r="H200" s="7" t="n">
        <v>83</v>
      </c>
      <c r="I200" s="7" t="inlineStr">
        <is>
          <t>F</t>
        </is>
      </c>
      <c r="J200" s="8" t="inlineStr">
        <is>
          <t>Cluster</t>
        </is>
      </c>
      <c r="K200" s="28" t="n"/>
      <c r="L200" s="28" t="n">
        <v>25.34</v>
      </c>
      <c r="M200" s="28" t="n">
        <v>28.64</v>
      </c>
      <c r="N200" s="28" t="n"/>
      <c r="O200" s="8" t="n"/>
      <c r="P200" s="8" t="n"/>
    </row>
    <row r="201">
      <c r="A201" s="8" t="inlineStr">
        <is>
          <t>PGCV_0039_4081</t>
        </is>
      </c>
      <c r="B201" s="8" t="inlineStr">
        <is>
          <t>COVID-SNL-22-105965</t>
        </is>
      </c>
      <c r="C201" s="8" t="n"/>
      <c r="D201" s="7" t="n">
        <v>6</v>
      </c>
      <c r="E201" s="8" t="inlineStr">
        <is>
          <t>Region VI (Western Visayas)</t>
        </is>
      </c>
      <c r="F201" s="7" t="inlineStr">
        <is>
          <t>34</t>
        </is>
      </c>
      <c r="G201" s="27" t="n">
        <v>44852</v>
      </c>
      <c r="H201" s="7" t="n">
        <v>48</v>
      </c>
      <c r="I201" s="7" t="inlineStr">
        <is>
          <t>F</t>
        </is>
      </c>
      <c r="J201" s="8" t="inlineStr">
        <is>
          <t>Cluster</t>
        </is>
      </c>
      <c r="K201" s="28" t="n"/>
      <c r="L201" s="28" t="n">
        <v>23.15</v>
      </c>
      <c r="M201" s="28" t="n">
        <v>25.38</v>
      </c>
      <c r="N201" s="28" t="n"/>
      <c r="O201" s="8" t="n"/>
      <c r="P201" s="8" t="n"/>
    </row>
    <row r="202">
      <c r="A202" s="8" t="inlineStr">
        <is>
          <t>PGCV_0039_4090</t>
        </is>
      </c>
      <c r="B202" s="8" t="inlineStr">
        <is>
          <t>COVID-SNL-22-105999</t>
        </is>
      </c>
      <c r="C202" s="8" t="n"/>
      <c r="D202" s="7" t="n">
        <v>6</v>
      </c>
      <c r="E202" s="8" t="inlineStr">
        <is>
          <t>Region VI (Western Visayas)</t>
        </is>
      </c>
      <c r="F202" s="7" t="inlineStr">
        <is>
          <t>34</t>
        </is>
      </c>
      <c r="G202" s="27" t="n">
        <v>44852</v>
      </c>
      <c r="H202" s="7" t="n">
        <v>2</v>
      </c>
      <c r="I202" s="7" t="inlineStr">
        <is>
          <t>F</t>
        </is>
      </c>
      <c r="J202" s="8" t="inlineStr">
        <is>
          <t>Cluster</t>
        </is>
      </c>
      <c r="K202" s="28" t="n">
        <v>27.84</v>
      </c>
      <c r="L202" s="28" t="n"/>
      <c r="M202" s="28" t="n"/>
      <c r="N202" s="28" t="n"/>
      <c r="O202" s="8" t="n"/>
      <c r="P202" s="8" t="n"/>
    </row>
    <row r="203">
      <c r="A203" s="8" t="inlineStr">
        <is>
          <t>PGCV_0039_4091</t>
        </is>
      </c>
      <c r="B203" s="8" t="inlineStr">
        <is>
          <t>COVID-SNL-22-106012</t>
        </is>
      </c>
      <c r="C203" s="8" t="n"/>
      <c r="D203" s="7" t="n">
        <v>6</v>
      </c>
      <c r="E203" s="8" t="inlineStr">
        <is>
          <t>Region VI (Western Visayas)</t>
        </is>
      </c>
      <c r="F203" s="7" t="inlineStr">
        <is>
          <t>34</t>
        </is>
      </c>
      <c r="G203" s="27" t="n">
        <v>44852</v>
      </c>
      <c r="H203" s="7" t="n">
        <v>48</v>
      </c>
      <c r="I203" s="7" t="inlineStr">
        <is>
          <t>F</t>
        </is>
      </c>
      <c r="J203" s="8" t="inlineStr">
        <is>
          <t>Admitted</t>
        </is>
      </c>
      <c r="K203" s="28" t="n">
        <v>22.95</v>
      </c>
      <c r="L203" s="28" t="n"/>
      <c r="M203" s="28" t="n"/>
      <c r="N203" s="28" t="n"/>
      <c r="O203" s="8" t="n"/>
      <c r="P203" s="8" t="n"/>
    </row>
    <row r="204">
      <c r="A204" s="8" t="inlineStr">
        <is>
          <t>PGCV_0039_4097</t>
        </is>
      </c>
      <c r="B204" s="8" t="inlineStr">
        <is>
          <t>COVID-SNL-22-105852</t>
        </is>
      </c>
      <c r="C204" s="8" t="n"/>
      <c r="D204" s="7" t="n">
        <v>6</v>
      </c>
      <c r="E204" s="8" t="inlineStr">
        <is>
          <t>Region VI (Western Visayas)</t>
        </is>
      </c>
      <c r="F204" s="7" t="inlineStr">
        <is>
          <t>34</t>
        </is>
      </c>
      <c r="G204" s="27" t="n">
        <v>44852</v>
      </c>
      <c r="H204" s="7" t="n">
        <v>18</v>
      </c>
      <c r="I204" s="7" t="inlineStr">
        <is>
          <t>F</t>
        </is>
      </c>
      <c r="J204" s="8" t="inlineStr">
        <is>
          <t>Cluster</t>
        </is>
      </c>
      <c r="K204" s="28" t="n">
        <v>29.77</v>
      </c>
      <c r="L204" s="28" t="n"/>
      <c r="M204" s="28" t="n"/>
      <c r="N204" s="28" t="n"/>
      <c r="O204" s="8" t="n"/>
      <c r="P204" s="8" t="n"/>
    </row>
    <row r="205">
      <c r="A205" s="8" t="inlineStr">
        <is>
          <t>PGCV_0039_4163</t>
        </is>
      </c>
      <c r="B205" s="8" t="inlineStr">
        <is>
          <t>COVID-SNL-22-106986</t>
        </is>
      </c>
      <c r="C205" s="8" t="n"/>
      <c r="D205" s="7" t="n">
        <v>6</v>
      </c>
      <c r="E205" s="8" t="inlineStr">
        <is>
          <t>Region VI (Western Visayas)</t>
        </is>
      </c>
      <c r="F205" s="7" t="inlineStr">
        <is>
          <t>34</t>
        </is>
      </c>
      <c r="G205" s="27" t="n">
        <v>44854</v>
      </c>
      <c r="H205" s="7" t="n">
        <v>59</v>
      </c>
      <c r="I205" s="7" t="inlineStr">
        <is>
          <t>M</t>
        </is>
      </c>
      <c r="J205" s="8" t="inlineStr">
        <is>
          <t>Cluster</t>
        </is>
      </c>
      <c r="K205" s="28" t="n">
        <v>25.69</v>
      </c>
      <c r="L205" s="28" t="n"/>
      <c r="M205" s="28" t="n"/>
      <c r="N205" s="28" t="n"/>
      <c r="O205" s="8" t="n"/>
      <c r="P205" s="8" t="n"/>
    </row>
    <row r="206">
      <c r="A206" s="8" t="inlineStr">
        <is>
          <t>PGCV_0039_4180</t>
        </is>
      </c>
      <c r="B206" s="8" t="inlineStr">
        <is>
          <t>C44030</t>
        </is>
      </c>
      <c r="C206" s="8" t="n"/>
      <c r="D206" s="7" t="n">
        <v>6</v>
      </c>
      <c r="E206" s="8" t="inlineStr">
        <is>
          <t>Region VI (Western Visayas)</t>
        </is>
      </c>
      <c r="F206" s="7" t="inlineStr">
        <is>
          <t>34</t>
        </is>
      </c>
      <c r="G206" s="27" t="n">
        <v>44853</v>
      </c>
      <c r="H206" s="7" t="n">
        <v>8</v>
      </c>
      <c r="I206" s="7" t="inlineStr">
        <is>
          <t>M</t>
        </is>
      </c>
      <c r="J206" s="8" t="inlineStr">
        <is>
          <t>Unknown Exposure</t>
        </is>
      </c>
      <c r="K206" s="28" t="n">
        <v>30.6</v>
      </c>
      <c r="L206" s="28" t="n">
        <v>28.76</v>
      </c>
      <c r="M206" s="28" t="n"/>
      <c r="N206" s="28" t="n"/>
      <c r="O206" s="8" t="n"/>
      <c r="P206" s="8" t="n"/>
    </row>
    <row r="207">
      <c r="A207" s="8" t="inlineStr">
        <is>
          <t>PGCV_0040_4217</t>
        </is>
      </c>
      <c r="B207" s="8" t="inlineStr">
        <is>
          <t>MLAB181637</t>
        </is>
      </c>
      <c r="C207" s="8" t="n"/>
      <c r="D207" s="7" t="n">
        <v>6</v>
      </c>
      <c r="E207" s="8" t="inlineStr">
        <is>
          <t>Region VI (Western Visayas)</t>
        </is>
      </c>
      <c r="F207" s="7" t="inlineStr">
        <is>
          <t>35</t>
        </is>
      </c>
      <c r="G207" s="27" t="n">
        <v>44855</v>
      </c>
      <c r="H207" s="7" t="n">
        <v>70</v>
      </c>
      <c r="I207" s="7" t="inlineStr">
        <is>
          <t>F</t>
        </is>
      </c>
      <c r="J207" s="8" t="inlineStr">
        <is>
          <t>Unknown Exposure</t>
        </is>
      </c>
      <c r="K207" s="28" t="n"/>
      <c r="L207" s="28" t="n">
        <v>13.05</v>
      </c>
      <c r="M207" s="28" t="n">
        <v>19.73</v>
      </c>
      <c r="N207" s="28" t="n"/>
      <c r="O207" s="8" t="n"/>
      <c r="P207" s="8" t="n"/>
    </row>
    <row r="208">
      <c r="A208" s="8" t="inlineStr">
        <is>
          <t>PGCV_0040_4231</t>
        </is>
      </c>
      <c r="B208" s="8" t="inlineStr">
        <is>
          <t>COVID-SNL-22-107168</t>
        </is>
      </c>
      <c r="C208" s="8" t="n"/>
      <c r="D208" s="7" t="n">
        <v>6</v>
      </c>
      <c r="E208" s="8" t="inlineStr">
        <is>
          <t>Region VI (Western Visayas)</t>
        </is>
      </c>
      <c r="F208" s="7" t="inlineStr">
        <is>
          <t>35</t>
        </is>
      </c>
      <c r="G208" s="27" t="n">
        <v>44855</v>
      </c>
      <c r="H208" s="7" t="n">
        <v>29</v>
      </c>
      <c r="I208" s="7" t="inlineStr">
        <is>
          <t>M</t>
        </is>
      </c>
      <c r="J208" s="8" t="inlineStr">
        <is>
          <t>Cluster</t>
        </is>
      </c>
      <c r="K208" s="28" t="n"/>
      <c r="L208" s="28" t="n">
        <v>21.71</v>
      </c>
      <c r="M208" s="28" t="n">
        <v>28.32</v>
      </c>
      <c r="N208" s="28" t="n"/>
      <c r="O208" s="8" t="n"/>
      <c r="P208" s="8" t="n"/>
    </row>
    <row r="209">
      <c r="A209" s="8" t="inlineStr">
        <is>
          <t>PGCV_0040_4283</t>
        </is>
      </c>
      <c r="B209" s="8" t="inlineStr">
        <is>
          <t>COVID-SNL-22-108278</t>
        </is>
      </c>
      <c r="C209" s="8" t="n"/>
      <c r="D209" s="7" t="n">
        <v>6</v>
      </c>
      <c r="E209" s="8" t="inlineStr">
        <is>
          <t>Region VI (Western Visayas)</t>
        </is>
      </c>
      <c r="F209" s="7" t="inlineStr">
        <is>
          <t>35</t>
        </is>
      </c>
      <c r="G209" s="27" t="n">
        <v>44858</v>
      </c>
      <c r="H209" s="7" t="n">
        <v>69</v>
      </c>
      <c r="I209" s="7" t="inlineStr">
        <is>
          <t>F</t>
        </is>
      </c>
      <c r="J209" s="8" t="inlineStr">
        <is>
          <t>Admitted</t>
        </is>
      </c>
      <c r="K209" s="28" t="n">
        <v>28.28</v>
      </c>
      <c r="L209" s="28" t="n"/>
      <c r="M209" s="28" t="n"/>
      <c r="N209" s="28" t="n"/>
      <c r="O209" s="8" t="n"/>
      <c r="P209" s="8" t="n"/>
    </row>
    <row r="210">
      <c r="A210" s="8" t="inlineStr">
        <is>
          <t>PGCV_0040_4335</t>
        </is>
      </c>
      <c r="B210" s="8" t="inlineStr">
        <is>
          <t>COVID-SNL-22-109219</t>
        </is>
      </c>
      <c r="C210" s="8" t="n"/>
      <c r="D210" s="7" t="n">
        <v>6</v>
      </c>
      <c r="E210" s="8" t="inlineStr">
        <is>
          <t>Region VI (Western Visayas)</t>
        </is>
      </c>
      <c r="F210" s="7" t="inlineStr">
        <is>
          <t>35</t>
        </is>
      </c>
      <c r="G210" s="27" t="n">
        <v>44861</v>
      </c>
      <c r="H210" s="7" t="n">
        <v>66</v>
      </c>
      <c r="I210" s="7" t="inlineStr">
        <is>
          <t>M</t>
        </is>
      </c>
      <c r="J210" s="8" t="inlineStr">
        <is>
          <t>Admitted</t>
        </is>
      </c>
      <c r="K210" s="28" t="n">
        <v>29.24</v>
      </c>
      <c r="L210" s="28" t="n"/>
      <c r="M210" s="28" t="n"/>
      <c r="N210" s="28" t="n"/>
      <c r="O210" s="8" t="n"/>
      <c r="P210" s="8" t="n"/>
    </row>
    <row r="211">
      <c r="A211" s="8" t="inlineStr">
        <is>
          <t>PGCV_0041_4379</t>
        </is>
      </c>
      <c r="B211" s="8" t="inlineStr">
        <is>
          <t>COVID-SNL-22-110104</t>
        </is>
      </c>
      <c r="C211" s="8" t="n"/>
      <c r="D211" s="7" t="n">
        <v>6</v>
      </c>
      <c r="E211" s="8" t="inlineStr">
        <is>
          <t>Region VI (Western Visayas)</t>
        </is>
      </c>
      <c r="F211" s="7" t="inlineStr">
        <is>
          <t>36</t>
        </is>
      </c>
      <c r="G211" s="27" t="n">
        <v>44864</v>
      </c>
      <c r="H211" s="7" t="n">
        <v>25</v>
      </c>
      <c r="I211" s="7" t="inlineStr">
        <is>
          <t>M</t>
        </is>
      </c>
      <c r="J211" s="8" t="inlineStr">
        <is>
          <t>Admitted</t>
        </is>
      </c>
      <c r="K211" s="28" t="n"/>
      <c r="L211" s="28" t="n">
        <v>22.68</v>
      </c>
      <c r="M211" s="28" t="n">
        <v>28.51</v>
      </c>
      <c r="N211" s="28" t="n"/>
      <c r="O211" s="8" t="n"/>
      <c r="P211" s="8" t="n"/>
    </row>
    <row r="212">
      <c r="A212" s="8" t="inlineStr">
        <is>
          <t>PGCV_0041_4387</t>
        </is>
      </c>
      <c r="B212" s="8" t="inlineStr">
        <is>
          <t>COVID-SNL-22-110204</t>
        </is>
      </c>
      <c r="C212" s="8" t="n"/>
      <c r="D212" s="7" t="n">
        <v>6</v>
      </c>
      <c r="E212" s="8" t="inlineStr">
        <is>
          <t>Region VI (Western Visayas)</t>
        </is>
      </c>
      <c r="F212" s="7" t="inlineStr">
        <is>
          <t>36</t>
        </is>
      </c>
      <c r="G212" s="27" t="n">
        <v>44864</v>
      </c>
      <c r="H212" s="7" t="n">
        <v>60</v>
      </c>
      <c r="I212" s="7" t="inlineStr">
        <is>
          <t>F</t>
        </is>
      </c>
      <c r="J212" s="8" t="inlineStr">
        <is>
          <t>Admitted</t>
        </is>
      </c>
      <c r="K212" s="28" t="n">
        <v>29.6</v>
      </c>
      <c r="L212" s="28" t="n"/>
      <c r="M212" s="28" t="n"/>
      <c r="N212" s="28" t="n"/>
      <c r="O212" s="8" t="n"/>
      <c r="P212" s="8" t="n"/>
    </row>
    <row r="213">
      <c r="A213" s="8" t="inlineStr">
        <is>
          <t>PGCV_0041_4417</t>
        </is>
      </c>
      <c r="B213" s="8" t="inlineStr">
        <is>
          <t>COVID-SNL-22-110953</t>
        </is>
      </c>
      <c r="C213" s="8" t="n"/>
      <c r="D213" s="7" t="n">
        <v>6</v>
      </c>
      <c r="E213" s="8" t="inlineStr">
        <is>
          <t>Region VI (Western Visayas)</t>
        </is>
      </c>
      <c r="F213" s="7" t="inlineStr">
        <is>
          <t>36</t>
        </is>
      </c>
      <c r="G213" s="27" t="n">
        <v>44867</v>
      </c>
      <c r="H213" s="7" t="n">
        <v>26</v>
      </c>
      <c r="I213" s="7" t="inlineStr">
        <is>
          <t>F</t>
        </is>
      </c>
      <c r="J213" s="8" t="inlineStr">
        <is>
          <t>Cluster</t>
        </is>
      </c>
      <c r="K213" s="28" t="n">
        <v>28.13</v>
      </c>
      <c r="L213" s="28" t="n"/>
      <c r="M213" s="28" t="n"/>
      <c r="N213" s="28" t="n"/>
      <c r="O213" s="8" t="n"/>
      <c r="P213" s="8" t="n"/>
    </row>
    <row r="214">
      <c r="A214" s="8" t="inlineStr">
        <is>
          <t>PGCV_0041_4422</t>
        </is>
      </c>
      <c r="B214" s="8" t="inlineStr">
        <is>
          <t>COVID-SNL-22-110980</t>
        </is>
      </c>
      <c r="C214" s="8" t="n"/>
      <c r="D214" s="7" t="n">
        <v>6</v>
      </c>
      <c r="E214" s="8" t="inlineStr">
        <is>
          <t>Region VI (Western Visayas)</t>
        </is>
      </c>
      <c r="F214" s="7" t="inlineStr">
        <is>
          <t>36</t>
        </is>
      </c>
      <c r="G214" s="27" t="n">
        <v>44867</v>
      </c>
      <c r="H214" s="7" t="n">
        <v>42</v>
      </c>
      <c r="I214" s="7" t="inlineStr">
        <is>
          <t>F</t>
        </is>
      </c>
      <c r="J214" s="8" t="inlineStr">
        <is>
          <t>Cluster</t>
        </is>
      </c>
      <c r="K214" s="28" t="n">
        <v>24.32</v>
      </c>
      <c r="L214" s="28" t="n"/>
      <c r="M214" s="28" t="n"/>
      <c r="N214" s="28" t="n"/>
      <c r="O214" s="8" t="n"/>
      <c r="P214" s="8" t="n"/>
    </row>
    <row r="215">
      <c r="A215" s="8" t="inlineStr">
        <is>
          <t>PGCV_0041_4497</t>
        </is>
      </c>
      <c r="B215" s="8" t="inlineStr">
        <is>
          <t>824B125510</t>
        </is>
      </c>
      <c r="C215" s="8" t="n"/>
      <c r="D215" s="7" t="n">
        <v>6</v>
      </c>
      <c r="E215" s="8" t="inlineStr">
        <is>
          <t>Region VI (Western Visayas)</t>
        </is>
      </c>
      <c r="F215" s="7" t="inlineStr">
        <is>
          <t>36</t>
        </is>
      </c>
      <c r="G215" s="27" t="n">
        <v>44862</v>
      </c>
      <c r="H215" s="7" t="n">
        <v>46</v>
      </c>
      <c r="I215" s="7" t="inlineStr">
        <is>
          <t>F</t>
        </is>
      </c>
      <c r="J215" s="8" t="inlineStr">
        <is>
          <t>Unknown Exposure</t>
        </is>
      </c>
      <c r="K215" s="28" t="n">
        <v>23.96</v>
      </c>
      <c r="L215" s="28" t="n">
        <v>23.82</v>
      </c>
      <c r="M215" s="28" t="n"/>
      <c r="N215" s="28" t="n"/>
      <c r="O215" s="8" t="n"/>
      <c r="P215" s="8" t="n"/>
    </row>
    <row r="216">
      <c r="A216" s="8" t="inlineStr">
        <is>
          <t>PGCV_0041_4507</t>
        </is>
      </c>
      <c r="B216" s="8" t="inlineStr">
        <is>
          <t>825B125629</t>
        </is>
      </c>
      <c r="C216" s="8" t="n"/>
      <c r="D216" s="7" t="n">
        <v>6</v>
      </c>
      <c r="E216" s="8" t="inlineStr">
        <is>
          <t>Region VI (Western Visayas)</t>
        </is>
      </c>
      <c r="F216" s="7" t="inlineStr">
        <is>
          <t>36</t>
        </is>
      </c>
      <c r="G216" s="27" t="n">
        <v>44863</v>
      </c>
      <c r="H216" s="7" t="n">
        <v>31</v>
      </c>
      <c r="I216" s="7" t="inlineStr">
        <is>
          <t>F</t>
        </is>
      </c>
      <c r="J216" s="8" t="inlineStr">
        <is>
          <t>Unknown Exposure</t>
        </is>
      </c>
      <c r="K216" s="28" t="n">
        <v>20.48</v>
      </c>
      <c r="L216" s="28" t="n"/>
      <c r="M216" s="28" t="n"/>
      <c r="N216" s="28" t="n"/>
      <c r="O216" s="8" t="n"/>
      <c r="P216" s="8" t="n"/>
    </row>
    <row r="217">
      <c r="A217" s="8" t="inlineStr">
        <is>
          <t>PGCV_0041_4514</t>
        </is>
      </c>
      <c r="B217" s="8" t="inlineStr">
        <is>
          <t>827B125816</t>
        </is>
      </c>
      <c r="C217" s="8" t="n"/>
      <c r="D217" s="7" t="n">
        <v>6</v>
      </c>
      <c r="E217" s="8" t="inlineStr">
        <is>
          <t>Region VI (Western Visayas)</t>
        </is>
      </c>
      <c r="F217" s="7" t="inlineStr">
        <is>
          <t>36</t>
        </is>
      </c>
      <c r="G217" s="27" t="n">
        <v>44864</v>
      </c>
      <c r="H217" s="7" t="n">
        <v>31</v>
      </c>
      <c r="I217" s="7" t="inlineStr">
        <is>
          <t>F</t>
        </is>
      </c>
      <c r="J217" s="8" t="inlineStr">
        <is>
          <t>Unknown Exposure</t>
        </is>
      </c>
      <c r="K217" s="28" t="n">
        <v>22.19</v>
      </c>
      <c r="L217" s="28" t="n"/>
      <c r="M217" s="28" t="n"/>
      <c r="N217" s="28" t="n"/>
      <c r="O217" s="8" t="n"/>
      <c r="P217" s="8" t="n"/>
    </row>
    <row r="218">
      <c r="A218" s="8" t="inlineStr">
        <is>
          <t>PGCV_0041_4521</t>
        </is>
      </c>
      <c r="B218" s="8" t="inlineStr">
        <is>
          <t>831B126161</t>
        </is>
      </c>
      <c r="C218" s="8" t="n"/>
      <c r="D218" s="7" t="n">
        <v>6</v>
      </c>
      <c r="E218" s="8" t="inlineStr">
        <is>
          <t>Region VI (Western Visayas)</t>
        </is>
      </c>
      <c r="F218" s="7" t="inlineStr">
        <is>
          <t>36</t>
        </is>
      </c>
      <c r="G218" s="27" t="n">
        <v>44867</v>
      </c>
      <c r="H218" s="7" t="n">
        <v>36</v>
      </c>
      <c r="I218" s="7" t="inlineStr">
        <is>
          <t>M</t>
        </is>
      </c>
      <c r="J218" s="8" t="inlineStr">
        <is>
          <t>Unknown Exposure</t>
        </is>
      </c>
      <c r="K218" s="28" t="n">
        <v>24.38</v>
      </c>
      <c r="L218" s="28" t="n">
        <v>28.71</v>
      </c>
      <c r="M218" s="28" t="n"/>
      <c r="N218" s="28" t="n"/>
      <c r="O218" s="8" t="n"/>
      <c r="P218" s="8" t="n"/>
    </row>
    <row r="219">
      <c r="A219" s="8" t="inlineStr">
        <is>
          <t>PGCV_0041_4529</t>
        </is>
      </c>
      <c r="B219" s="8" t="inlineStr">
        <is>
          <t>830B126002</t>
        </is>
      </c>
      <c r="C219" s="8" t="n"/>
      <c r="D219" s="7" t="n">
        <v>6</v>
      </c>
      <c r="E219" s="8" t="inlineStr">
        <is>
          <t>Region VI (Western Visayas)</t>
        </is>
      </c>
      <c r="F219" s="7" t="inlineStr">
        <is>
          <t>36</t>
        </is>
      </c>
      <c r="G219" s="27" t="n">
        <v>44866</v>
      </c>
      <c r="H219" s="7" t="n">
        <v>30</v>
      </c>
      <c r="I219" s="7" t="inlineStr">
        <is>
          <t>M</t>
        </is>
      </c>
      <c r="J219" s="8" t="inlineStr">
        <is>
          <t>Admitted</t>
        </is>
      </c>
      <c r="K219" s="28" t="n">
        <v>24.5</v>
      </c>
      <c r="L219" s="28" t="n">
        <v>28.47</v>
      </c>
      <c r="M219" s="28" t="n"/>
      <c r="N219" s="28" t="n"/>
      <c r="O219" s="8" t="n"/>
      <c r="P219" s="8" t="n"/>
    </row>
    <row r="220">
      <c r="A220" s="8" t="inlineStr">
        <is>
          <t>PGCV_0041_4540</t>
        </is>
      </c>
      <c r="B220" s="8" t="inlineStr">
        <is>
          <t>832B126266</t>
        </is>
      </c>
      <c r="C220" s="8" t="n"/>
      <c r="D220" s="7" t="n">
        <v>6</v>
      </c>
      <c r="E220" s="8" t="inlineStr">
        <is>
          <t>Region VI (Western Visayas)</t>
        </is>
      </c>
      <c r="F220" s="7" t="inlineStr">
        <is>
          <t>36</t>
        </is>
      </c>
      <c r="G220" s="27" t="n">
        <v>44869</v>
      </c>
      <c r="H220" s="7" t="n">
        <v>66</v>
      </c>
      <c r="I220" s="7" t="inlineStr">
        <is>
          <t>F</t>
        </is>
      </c>
      <c r="J220" s="8" t="inlineStr">
        <is>
          <t>Unknown Exposure</t>
        </is>
      </c>
      <c r="K220" s="28" t="n">
        <v>22.75</v>
      </c>
      <c r="L220" s="28" t="n">
        <v>30.38</v>
      </c>
      <c r="M220" s="28" t="n"/>
      <c r="N220" s="28" t="n"/>
      <c r="O220" s="8" t="n"/>
      <c r="P220" s="8" t="n"/>
    </row>
    <row r="221">
      <c r="A221" s="8" t="inlineStr">
        <is>
          <t>PGCV_0041_4544</t>
        </is>
      </c>
      <c r="B221" s="8" t="inlineStr">
        <is>
          <t>833B126420</t>
        </is>
      </c>
      <c r="C221" s="8" t="n"/>
      <c r="D221" s="7" t="n">
        <v>6</v>
      </c>
      <c r="E221" s="8" t="inlineStr">
        <is>
          <t>Region VI (Western Visayas)</t>
        </is>
      </c>
      <c r="F221" s="7" t="inlineStr">
        <is>
          <t>36</t>
        </is>
      </c>
      <c r="G221" s="27" t="n">
        <v>44870</v>
      </c>
      <c r="H221" s="7" t="n">
        <v>18</v>
      </c>
      <c r="I221" s="7" t="inlineStr">
        <is>
          <t>F</t>
        </is>
      </c>
      <c r="J221" s="8" t="inlineStr">
        <is>
          <t>Unknown Exposure</t>
        </is>
      </c>
      <c r="K221" s="28" t="n">
        <v>23.83</v>
      </c>
      <c r="L221" s="28" t="n"/>
      <c r="M221" s="28" t="n"/>
      <c r="N221" s="28" t="n"/>
      <c r="O221" s="8" t="n"/>
      <c r="P221" s="8" t="n"/>
    </row>
    <row r="222">
      <c r="A222" s="8" t="inlineStr">
        <is>
          <t>PGCV_0042_4555</t>
        </is>
      </c>
      <c r="B222" s="8" t="inlineStr">
        <is>
          <t>COVID-SNL-22-111861</t>
        </is>
      </c>
      <c r="C222" s="8" t="n"/>
      <c r="D222" s="7" t="n">
        <v>6</v>
      </c>
      <c r="E222" s="8" t="inlineStr">
        <is>
          <t>Region VI (Western Visayas)</t>
        </is>
      </c>
      <c r="F222" s="7" t="inlineStr">
        <is>
          <t>37</t>
        </is>
      </c>
      <c r="G222" s="27" t="n">
        <v>44870</v>
      </c>
      <c r="H222" s="7" t="n">
        <v>52</v>
      </c>
      <c r="I222" s="7" t="inlineStr">
        <is>
          <t>F</t>
        </is>
      </c>
      <c r="J222" s="8" t="inlineStr">
        <is>
          <t>Cluster</t>
        </is>
      </c>
      <c r="K222" s="28" t="n">
        <v>23.46</v>
      </c>
      <c r="L222" s="28" t="n"/>
      <c r="M222" s="28" t="n"/>
      <c r="N222" s="28" t="n"/>
      <c r="O222" s="8" t="n"/>
      <c r="P222" s="8" t="n"/>
    </row>
    <row r="223">
      <c r="A223" s="8" t="inlineStr">
        <is>
          <t>PGCV_0042_4586</t>
        </is>
      </c>
      <c r="B223" s="8" t="inlineStr">
        <is>
          <t>COVID-SNL-22-112462</t>
        </is>
      </c>
      <c r="C223" s="8" t="n"/>
      <c r="D223" s="7" t="n">
        <v>6</v>
      </c>
      <c r="E223" s="8" t="inlineStr">
        <is>
          <t>Region VI (Western Visayas)</t>
        </is>
      </c>
      <c r="F223" s="7" t="inlineStr">
        <is>
          <t>37</t>
        </is>
      </c>
      <c r="G223" s="27" t="n">
        <v>44872</v>
      </c>
      <c r="H223" s="7" t="n">
        <v>63</v>
      </c>
      <c r="I223" s="7" t="inlineStr">
        <is>
          <t>F</t>
        </is>
      </c>
      <c r="J223" s="8" t="inlineStr">
        <is>
          <t>Cluster</t>
        </is>
      </c>
      <c r="K223" s="28" t="n">
        <v>25.38</v>
      </c>
      <c r="L223" s="28" t="n">
        <v>23.9</v>
      </c>
      <c r="M223" s="28" t="n">
        <v>24.48</v>
      </c>
      <c r="N223" s="28" t="n"/>
      <c r="O223" s="8" t="n"/>
      <c r="P223" s="8" t="n"/>
    </row>
    <row r="224">
      <c r="A224" s="8" t="inlineStr">
        <is>
          <t>PGCV_0042_4617</t>
        </is>
      </c>
      <c r="B224" s="8" t="inlineStr">
        <is>
          <t>COVID-SNL-22-113313</t>
        </is>
      </c>
      <c r="C224" s="8" t="n"/>
      <c r="D224" s="7" t="n">
        <v>6</v>
      </c>
      <c r="E224" s="8" t="inlineStr">
        <is>
          <t>Region VI (Western Visayas)</t>
        </is>
      </c>
      <c r="F224" s="7" t="inlineStr">
        <is>
          <t>37</t>
        </is>
      </c>
      <c r="G224" s="27" t="n">
        <v>44874</v>
      </c>
      <c r="H224" s="7" t="n">
        <v>51</v>
      </c>
      <c r="I224" s="7" t="inlineStr">
        <is>
          <t>F</t>
        </is>
      </c>
      <c r="J224" s="8" t="inlineStr">
        <is>
          <t>Cluster</t>
        </is>
      </c>
      <c r="K224" s="28" t="n">
        <v>19.17</v>
      </c>
      <c r="L224" s="28" t="n">
        <v>16.18</v>
      </c>
      <c r="M224" s="28" t="n">
        <v>17.95</v>
      </c>
      <c r="N224" s="28" t="n"/>
      <c r="O224" s="8" t="n"/>
      <c r="P224" s="8" t="n"/>
    </row>
    <row r="225">
      <c r="A225" s="8" t="inlineStr">
        <is>
          <t>PGCV_0042_4619</t>
        </is>
      </c>
      <c r="B225" s="8" t="inlineStr">
        <is>
          <t>COVID-SNL-22-113321</t>
        </is>
      </c>
      <c r="C225" s="8" t="n"/>
      <c r="D225" s="7" t="n">
        <v>6</v>
      </c>
      <c r="E225" s="8" t="inlineStr">
        <is>
          <t>Region VI (Western Visayas)</t>
        </is>
      </c>
      <c r="F225" s="7" t="inlineStr">
        <is>
          <t>37</t>
        </is>
      </c>
      <c r="G225" s="27" t="n">
        <v>44874</v>
      </c>
      <c r="H225" s="7" t="n">
        <v>19</v>
      </c>
      <c r="I225" s="7" t="inlineStr">
        <is>
          <t>F</t>
        </is>
      </c>
      <c r="J225" s="8" t="inlineStr">
        <is>
          <t>Cluster</t>
        </is>
      </c>
      <c r="K225" s="28" t="n">
        <v>15.76</v>
      </c>
      <c r="L225" s="28" t="n">
        <v>14.37</v>
      </c>
      <c r="M225" s="28" t="n">
        <v>14.36</v>
      </c>
      <c r="N225" s="28" t="n"/>
      <c r="O225" s="8" t="n"/>
      <c r="P225" s="8" t="n"/>
    </row>
    <row r="226">
      <c r="A226" s="8" t="inlineStr">
        <is>
          <t>PGCV_0042_4625</t>
        </is>
      </c>
      <c r="B226" s="8" t="inlineStr">
        <is>
          <t>COVID-SNL-22-113518</t>
        </is>
      </c>
      <c r="C226" s="8" t="n"/>
      <c r="D226" s="7" t="n">
        <v>6</v>
      </c>
      <c r="E226" s="8" t="inlineStr">
        <is>
          <t>Region VI (Western Visayas)</t>
        </is>
      </c>
      <c r="F226" s="7" t="inlineStr">
        <is>
          <t>37</t>
        </is>
      </c>
      <c r="G226" s="27" t="n">
        <v>44875</v>
      </c>
      <c r="H226" s="7" t="n">
        <v>60</v>
      </c>
      <c r="I226" s="7" t="inlineStr">
        <is>
          <t>M</t>
        </is>
      </c>
      <c r="J226" s="8" t="inlineStr">
        <is>
          <t>Cluster</t>
        </is>
      </c>
      <c r="K226" s="28" t="n">
        <v>25.62</v>
      </c>
      <c r="L226" s="28" t="n">
        <v>21.74</v>
      </c>
      <c r="M226" s="28" t="n"/>
      <c r="N226" s="28" t="n"/>
      <c r="O226" s="8" t="n"/>
      <c r="P226" s="8" t="n"/>
    </row>
    <row r="227">
      <c r="A227" s="8" t="inlineStr">
        <is>
          <t>PGCV_0042_4649</t>
        </is>
      </c>
      <c r="B227" s="8" t="inlineStr">
        <is>
          <t>C46132</t>
        </is>
      </c>
      <c r="C227" s="8" t="n"/>
      <c r="D227" s="7" t="n">
        <v>6</v>
      </c>
      <c r="E227" s="8" t="inlineStr">
        <is>
          <t>Region VI (Western Visayas)</t>
        </is>
      </c>
      <c r="F227" s="7" t="inlineStr">
        <is>
          <t>37</t>
        </is>
      </c>
      <c r="G227" s="27" t="n">
        <v>44874</v>
      </c>
      <c r="H227" s="7" t="n">
        <v>21</v>
      </c>
      <c r="I227" s="7" t="inlineStr">
        <is>
          <t>M</t>
        </is>
      </c>
      <c r="J227" s="8" t="inlineStr">
        <is>
          <t>Admitted</t>
        </is>
      </c>
      <c r="K227" s="28" t="n">
        <v>26.09</v>
      </c>
      <c r="L227" s="28" t="n">
        <v>23.59</v>
      </c>
      <c r="M227" s="28" t="n"/>
      <c r="N227" s="28" t="n"/>
      <c r="O227" s="8" t="n"/>
      <c r="P227" s="8" t="n"/>
    </row>
    <row r="228">
      <c r="A228" s="8" t="inlineStr">
        <is>
          <t>PGCV_0042_4706</t>
        </is>
      </c>
      <c r="B228" s="8" t="inlineStr">
        <is>
          <t>837B126879</t>
        </is>
      </c>
      <c r="C228" s="8" t="n"/>
      <c r="D228" s="7" t="n">
        <v>6</v>
      </c>
      <c r="E228" s="8" t="inlineStr">
        <is>
          <t>Region VI (Western Visayas)</t>
        </is>
      </c>
      <c r="F228" s="7" t="inlineStr">
        <is>
          <t>37</t>
        </is>
      </c>
      <c r="G228" s="27" t="n">
        <v>44874</v>
      </c>
      <c r="H228" s="7" t="n">
        <v>33</v>
      </c>
      <c r="I228" s="7" t="inlineStr">
        <is>
          <t>M</t>
        </is>
      </c>
      <c r="J228" s="8" t="inlineStr">
        <is>
          <t>Unknown Exposure</t>
        </is>
      </c>
      <c r="K228" s="28" t="n">
        <v>20.99</v>
      </c>
      <c r="L228" s="28" t="n">
        <v>23.85</v>
      </c>
      <c r="M228" s="28" t="n"/>
      <c r="N228" s="28" t="n"/>
      <c r="O228" s="8" t="n"/>
      <c r="P228" s="8" t="n"/>
    </row>
    <row r="229">
      <c r="A229" s="8" t="inlineStr">
        <is>
          <t>PGCV_0043_4751</t>
        </is>
      </c>
      <c r="B229" s="8" t="inlineStr">
        <is>
          <t>COVID-SNL-22-115223</t>
        </is>
      </c>
      <c r="C229" s="8" t="n"/>
      <c r="D229" s="7" t="n">
        <v>6</v>
      </c>
      <c r="E229" s="8" t="inlineStr">
        <is>
          <t>Region VI (Western Visayas)</t>
        </is>
      </c>
      <c r="F229" s="7" t="inlineStr">
        <is>
          <t>38</t>
        </is>
      </c>
      <c r="G229" s="27" t="n">
        <v>44879</v>
      </c>
      <c r="H229" s="7" t="n">
        <v>36</v>
      </c>
      <c r="I229" s="7" t="inlineStr">
        <is>
          <t>F</t>
        </is>
      </c>
      <c r="J229" s="8" t="inlineStr">
        <is>
          <t>Cluster</t>
        </is>
      </c>
      <c r="K229" s="28" t="n">
        <v>29.59</v>
      </c>
      <c r="L229" s="28" t="n">
        <v>28.59</v>
      </c>
      <c r="M229" s="28" t="n">
        <v>29.72</v>
      </c>
      <c r="N229" s="28" t="n"/>
      <c r="O229" s="8" t="n"/>
      <c r="P229" s="8" t="n"/>
    </row>
    <row r="230">
      <c r="A230" s="8" t="inlineStr">
        <is>
          <t>PGCV_0043_4760</t>
        </is>
      </c>
      <c r="B230" s="8" t="inlineStr">
        <is>
          <t>COVID-SNL-22-115377</t>
        </is>
      </c>
      <c r="C230" s="8" t="n"/>
      <c r="D230" s="7" t="n">
        <v>6</v>
      </c>
      <c r="E230" s="8" t="inlineStr">
        <is>
          <t>Region VI (Western Visayas)</t>
        </is>
      </c>
      <c r="F230" s="7" t="inlineStr">
        <is>
          <t>38</t>
        </is>
      </c>
      <c r="G230" s="27" t="n">
        <v>44880</v>
      </c>
      <c r="H230" s="7" t="n">
        <v>28</v>
      </c>
      <c r="I230" s="7" t="inlineStr">
        <is>
          <t>F</t>
        </is>
      </c>
      <c r="J230" s="8" t="inlineStr">
        <is>
          <t>Cluster</t>
        </is>
      </c>
      <c r="K230" s="28" t="n">
        <v>29.25</v>
      </c>
      <c r="L230" s="28" t="n">
        <v>26.43</v>
      </c>
      <c r="M230" s="28" t="n">
        <v>28.7</v>
      </c>
      <c r="N230" s="28" t="n"/>
      <c r="O230" s="8" t="n"/>
      <c r="P230" s="8" t="n"/>
    </row>
    <row r="231">
      <c r="A231" s="8" t="inlineStr">
        <is>
          <t>PGCV_0043_4790</t>
        </is>
      </c>
      <c r="B231" s="8" t="inlineStr">
        <is>
          <t>843B127487</t>
        </is>
      </c>
      <c r="C231" s="8" t="n"/>
      <c r="D231" s="7" t="n">
        <v>6</v>
      </c>
      <c r="E231" s="8" t="inlineStr">
        <is>
          <t>Region VI (Western Visayas)</t>
        </is>
      </c>
      <c r="F231" s="7" t="inlineStr">
        <is>
          <t>38</t>
        </is>
      </c>
      <c r="G231" s="27" t="n">
        <v>44880</v>
      </c>
      <c r="H231" s="7" t="n">
        <v>47</v>
      </c>
      <c r="I231" s="7" t="inlineStr">
        <is>
          <t>F</t>
        </is>
      </c>
      <c r="J231" s="8" t="inlineStr">
        <is>
          <t>Admitted</t>
        </is>
      </c>
      <c r="K231" s="28" t="n">
        <v>24.71</v>
      </c>
      <c r="L231" s="28" t="n">
        <v>26.92</v>
      </c>
      <c r="M231" s="28" t="n"/>
      <c r="N231" s="28" t="n"/>
      <c r="O231" s="8" t="n"/>
      <c r="P231" s="8" t="n"/>
    </row>
    <row r="232">
      <c r="A232" s="8" t="inlineStr">
        <is>
          <t>PGCV_0045_4884</t>
        </is>
      </c>
      <c r="B232" s="8" t="inlineStr">
        <is>
          <t>847B127992</t>
        </is>
      </c>
      <c r="C232" s="8" t="n"/>
      <c r="D232" s="7" t="n">
        <v>6</v>
      </c>
      <c r="E232" s="8" t="inlineStr">
        <is>
          <t>Region VI (Western Visayas)</t>
        </is>
      </c>
      <c r="F232" s="7" t="inlineStr">
        <is>
          <t>40</t>
        </is>
      </c>
      <c r="G232" s="27" t="n">
        <v>44884</v>
      </c>
      <c r="H232" s="7" t="n">
        <v>59</v>
      </c>
      <c r="I232" s="7" t="inlineStr">
        <is>
          <t>F</t>
        </is>
      </c>
      <c r="J232" s="8" t="inlineStr">
        <is>
          <t>Cluster</t>
        </is>
      </c>
      <c r="K232" s="28" t="n">
        <v>22.35</v>
      </c>
      <c r="L232" s="28" t="n">
        <v>23.67</v>
      </c>
      <c r="M232" s="28" t="n"/>
      <c r="N232" s="28" t="n"/>
      <c r="O232" s="8" t="n"/>
      <c r="P232" s="8" t="n"/>
    </row>
    <row r="233">
      <c r="A233" s="8" t="inlineStr">
        <is>
          <t>PGCV_0045_4914</t>
        </is>
      </c>
      <c r="B233" s="8" t="inlineStr">
        <is>
          <t>COVID-SNL-22-118579</t>
        </is>
      </c>
      <c r="C233" s="8" t="n"/>
      <c r="D233" s="7" t="n">
        <v>6</v>
      </c>
      <c r="E233" s="8" t="inlineStr">
        <is>
          <t>Region VI (Western Visayas)</t>
        </is>
      </c>
      <c r="F233" s="7" t="inlineStr">
        <is>
          <t>40</t>
        </is>
      </c>
      <c r="G233" s="27" t="n">
        <v>44890</v>
      </c>
      <c r="H233" s="7" t="n">
        <v>81</v>
      </c>
      <c r="I233" s="7" t="inlineStr">
        <is>
          <t>M</t>
        </is>
      </c>
      <c r="J233" s="8" t="inlineStr">
        <is>
          <t>Admitted</t>
        </is>
      </c>
      <c r="K233" s="28" t="n">
        <v>30.43</v>
      </c>
      <c r="L233" s="28" t="n">
        <v>26.61</v>
      </c>
      <c r="M233" s="28" t="n">
        <v>29.46</v>
      </c>
      <c r="N233" s="28" t="n"/>
      <c r="O233" s="8" t="n"/>
      <c r="P233" s="8" t="n"/>
    </row>
    <row r="234">
      <c r="A234" s="8" t="inlineStr">
        <is>
          <t>PGCV_0046_4966</t>
        </is>
      </c>
      <c r="B234" s="8" t="inlineStr">
        <is>
          <t>COVID-SNL-22-121541</t>
        </is>
      </c>
      <c r="C234" s="8" t="n"/>
      <c r="D234" s="7" t="n">
        <v>6</v>
      </c>
      <c r="E234" s="8" t="inlineStr">
        <is>
          <t>Region VI (Western Visayas)</t>
        </is>
      </c>
      <c r="F234" s="7" t="inlineStr">
        <is>
          <t>41</t>
        </is>
      </c>
      <c r="G234" s="27" t="n">
        <v>44901</v>
      </c>
      <c r="H234" s="7" t="n">
        <v>36</v>
      </c>
      <c r="I234" s="7" t="inlineStr">
        <is>
          <t>F</t>
        </is>
      </c>
      <c r="J234" s="8" t="inlineStr">
        <is>
          <t>Admitted</t>
        </is>
      </c>
      <c r="K234" s="28" t="n">
        <v>25.09</v>
      </c>
      <c r="L234" s="28" t="n"/>
      <c r="M234" s="28" t="n"/>
      <c r="N234" s="28" t="n"/>
      <c r="O234" s="8" t="n"/>
      <c r="P234" s="8" t="n"/>
    </row>
    <row r="235">
      <c r="A235" s="8" t="inlineStr">
        <is>
          <t>PGCV_0050_5088</t>
        </is>
      </c>
      <c r="B235" s="8" t="inlineStr">
        <is>
          <t>COVID-SNL-23-1390</t>
        </is>
      </c>
      <c r="C235" s="8" t="inlineStr">
        <is>
          <t>WESTERN VISAYAS MEDICAL CENTER</t>
        </is>
      </c>
      <c r="D235" s="7" t="n">
        <v>6</v>
      </c>
      <c r="E235" s="8" t="inlineStr">
        <is>
          <t>Region VI (Western Visayas)</t>
        </is>
      </c>
      <c r="F235" s="7" t="inlineStr">
        <is>
          <t>45</t>
        </is>
      </c>
      <c r="G235" s="27" t="n">
        <v>44932</v>
      </c>
      <c r="H235" s="7" t="n">
        <v>60</v>
      </c>
      <c r="I235" s="7" t="inlineStr">
        <is>
          <t>F</t>
        </is>
      </c>
      <c r="J235" s="8" t="inlineStr">
        <is>
          <t>Cluster</t>
        </is>
      </c>
      <c r="K235" s="28" t="n">
        <v>21.75</v>
      </c>
      <c r="L235" s="28" t="n">
        <v>20.9</v>
      </c>
      <c r="M235" s="28" t="n">
        <v>21.09</v>
      </c>
      <c r="N235" s="28" t="n"/>
      <c r="O235" s="8" t="n"/>
      <c r="P235" s="8" t="n"/>
    </row>
    <row r="236">
      <c r="A236" s="8" t="inlineStr">
        <is>
          <t>PGCV_0050_5089</t>
        </is>
      </c>
      <c r="B236" s="8" t="inlineStr">
        <is>
          <t>COVID-SNL-23-1509</t>
        </is>
      </c>
      <c r="C236" s="8" t="inlineStr">
        <is>
          <t>REP. PEDRO G. TRONO MEMORIAL HOSPITAL</t>
        </is>
      </c>
      <c r="D236" s="7" t="n">
        <v>6</v>
      </c>
      <c r="E236" s="8" t="inlineStr">
        <is>
          <t>Region VI (Western Visayas)</t>
        </is>
      </c>
      <c r="F236" s="7" t="inlineStr">
        <is>
          <t>45</t>
        </is>
      </c>
      <c r="G236" s="27" t="n">
        <v>44932</v>
      </c>
      <c r="H236" s="7" t="n">
        <v>27</v>
      </c>
      <c r="I236" s="7" t="inlineStr">
        <is>
          <t>F</t>
        </is>
      </c>
      <c r="J236" s="8" t="inlineStr">
        <is>
          <t>Admitted</t>
        </is>
      </c>
      <c r="K236" s="28" t="n">
        <v>25.09</v>
      </c>
      <c r="L236" s="28" t="n">
        <v>24.12</v>
      </c>
      <c r="M236" s="28" t="n">
        <v>24.76</v>
      </c>
      <c r="N236" s="28" t="n"/>
      <c r="O236" s="8" t="n"/>
      <c r="P236" s="8" t="n"/>
    </row>
    <row r="237">
      <c r="A237" s="8" t="inlineStr">
        <is>
          <t>PGCV_0050_5095</t>
        </is>
      </c>
      <c r="B237" s="8" t="inlineStr">
        <is>
          <t>C48323</t>
        </is>
      </c>
      <c r="C237" s="8" t="inlineStr">
        <is>
          <t>TERESITA L. JALANDONI PROVINCIAL HOSPITAL MOLECULAR LABORATORY</t>
        </is>
      </c>
      <c r="D237" s="7" t="n">
        <v>6</v>
      </c>
      <c r="E237" s="8" t="inlineStr">
        <is>
          <t>Region VI (Western Visayas)</t>
        </is>
      </c>
      <c r="F237" s="7" t="inlineStr">
        <is>
          <t>45</t>
        </is>
      </c>
      <c r="G237" s="27" t="n"/>
      <c r="H237" s="7" t="n">
        <v>23</v>
      </c>
      <c r="I237" s="7" t="inlineStr">
        <is>
          <t>F</t>
        </is>
      </c>
      <c r="J237" s="8" t="inlineStr">
        <is>
          <t>Unknown Exposure</t>
        </is>
      </c>
      <c r="K237" s="28" t="n">
        <v>23.52</v>
      </c>
      <c r="L237" s="28" t="n">
        <v>20.03</v>
      </c>
      <c r="M237" s="28" t="n"/>
      <c r="N237" s="28" t="n"/>
      <c r="O237" s="8" t="n"/>
      <c r="P237" s="8" t="n"/>
    </row>
    <row r="238">
      <c r="A238" s="8" t="inlineStr">
        <is>
          <t>PGCV_0050_5098</t>
        </is>
      </c>
      <c r="B238" s="8" t="inlineStr">
        <is>
          <t>C50523</t>
        </is>
      </c>
      <c r="C238" s="8" t="inlineStr">
        <is>
          <t>TERESITA L. JALANDONI PROVINCIAL HOSPITAL MOLECULAR LABORATORY</t>
        </is>
      </c>
      <c r="D238" s="7" t="n">
        <v>6</v>
      </c>
      <c r="E238" s="8" t="inlineStr">
        <is>
          <t>Region VI (Western Visayas)</t>
        </is>
      </c>
      <c r="F238" s="7" t="inlineStr">
        <is>
          <t>45</t>
        </is>
      </c>
      <c r="G238" s="27" t="n">
        <v>44921</v>
      </c>
      <c r="H238" s="7" t="n">
        <v>53</v>
      </c>
      <c r="I238" s="7" t="inlineStr">
        <is>
          <t>M</t>
        </is>
      </c>
      <c r="J238" s="8" t="inlineStr">
        <is>
          <t>Admitted</t>
        </is>
      </c>
      <c r="K238" s="28" t="n">
        <v>30.88</v>
      </c>
      <c r="L238" s="28" t="n">
        <v>25.76</v>
      </c>
      <c r="M238" s="28" t="n"/>
      <c r="N238" s="28" t="n"/>
      <c r="O238" s="8" t="n"/>
      <c r="P238" s="8" t="n"/>
    </row>
    <row r="239">
      <c r="A239" s="8" t="inlineStr">
        <is>
          <t>PGCV_0051_5107</t>
        </is>
      </c>
      <c r="B239" s="8" t="inlineStr">
        <is>
          <t>COVID-SNL-23-1924</t>
        </is>
      </c>
      <c r="C239" s="8" t="inlineStr">
        <is>
          <t>WESTERN VISAYAS MEDICAL CENTER</t>
        </is>
      </c>
      <c r="D239" s="7" t="n">
        <v>6</v>
      </c>
      <c r="E239" s="8" t="inlineStr">
        <is>
          <t>Region VI (Western Visayas)</t>
        </is>
      </c>
      <c r="F239" s="7" t="n"/>
      <c r="G239" s="27" t="n">
        <v>44935</v>
      </c>
      <c r="H239" s="7" t="n">
        <v>57</v>
      </c>
      <c r="I239" s="7" t="inlineStr">
        <is>
          <t>F</t>
        </is>
      </c>
      <c r="J239" s="8" t="inlineStr">
        <is>
          <t>Admitted</t>
        </is>
      </c>
      <c r="K239" s="28" t="n">
        <v>26.48</v>
      </c>
      <c r="L239" s="28" t="n">
        <v>26.02</v>
      </c>
      <c r="M239" s="28" t="n">
        <v>29.67</v>
      </c>
      <c r="N239" s="28" t="n"/>
      <c r="O239" s="8" t="n"/>
      <c r="P239" s="8" t="n"/>
    </row>
    <row r="240">
      <c r="A240" s="8" t="inlineStr">
        <is>
          <t>PGCV_0051_5108</t>
        </is>
      </c>
      <c r="B240" s="8" t="inlineStr">
        <is>
          <t>COVID-SNL-23-2061</t>
        </is>
      </c>
      <c r="C240" s="8" t="inlineStr">
        <is>
          <t>ST. PAUL'S HOSPITAL OF ILOILO, INC.</t>
        </is>
      </c>
      <c r="D240" s="7" t="n">
        <v>6</v>
      </c>
      <c r="E240" s="8" t="inlineStr">
        <is>
          <t>Region VI (Western Visayas)</t>
        </is>
      </c>
      <c r="F240" s="7" t="n"/>
      <c r="G240" s="27" t="n">
        <v>44935</v>
      </c>
      <c r="H240" s="7" t="n">
        <v>5</v>
      </c>
      <c r="I240" s="7" t="inlineStr">
        <is>
          <t>M</t>
        </is>
      </c>
      <c r="J240" s="8" t="inlineStr">
        <is>
          <t>Cluster</t>
        </is>
      </c>
      <c r="K240" s="28" t="n">
        <v>18.4</v>
      </c>
      <c r="L240" s="28" t="n">
        <v>16.44</v>
      </c>
      <c r="M240" s="28" t="n">
        <v>17.17</v>
      </c>
      <c r="N240" s="28" t="n"/>
      <c r="O240" s="8" t="n"/>
      <c r="P240" s="8" t="n"/>
    </row>
    <row r="241">
      <c r="A241" s="12" t="inlineStr">
        <is>
          <t>PGCV_0051_5114</t>
        </is>
      </c>
      <c r="B241" s="12" t="inlineStr">
        <is>
          <t>893B132739</t>
        </is>
      </c>
      <c r="C241" s="12" t="inlineStr">
        <is>
          <t>CLMMRH-ML</t>
        </is>
      </c>
      <c r="D241" s="11" t="n">
        <v>6</v>
      </c>
      <c r="E241" s="12" t="inlineStr">
        <is>
          <t>Region VI (Western Visayas)</t>
        </is>
      </c>
      <c r="F241" s="11" t="n"/>
      <c r="G241" s="29" t="n">
        <v>37001</v>
      </c>
      <c r="H241" s="11" t="n">
        <v>62</v>
      </c>
      <c r="I241" s="11" t="inlineStr">
        <is>
          <t>F</t>
        </is>
      </c>
      <c r="J241" s="12" t="inlineStr">
        <is>
          <t>Unknown Exposure</t>
        </is>
      </c>
      <c r="K241" s="30" t="n"/>
      <c r="L241" s="30" t="n"/>
      <c r="M241" s="30" t="n"/>
      <c r="N241" s="30" t="n">
        <v>21.15</v>
      </c>
      <c r="O241" s="12" t="n"/>
      <c r="P241" s="12" t="inlineStr">
        <is>
          <t>collection date 2001-04-20 is outside the pandemic period</t>
        </is>
      </c>
    </row>
    <row r="242">
      <c r="A242" s="8" t="inlineStr">
        <is>
          <t>PGCV_0052_5112</t>
        </is>
      </c>
      <c r="B242" s="8" t="inlineStr">
        <is>
          <t>COVID-SNL-23-3001</t>
        </is>
      </c>
      <c r="C242" s="8" t="inlineStr">
        <is>
          <t>TUBUNGAN RURAL HEALTH UNIT</t>
        </is>
      </c>
      <c r="D242" s="7" t="n">
        <v>6</v>
      </c>
      <c r="E242" s="8" t="inlineStr">
        <is>
          <t>Region VI (Western Visayas)</t>
        </is>
      </c>
      <c r="F242" s="7" t="inlineStr">
        <is>
          <t>46/47</t>
        </is>
      </c>
      <c r="G242" s="27" t="n">
        <v>44939</v>
      </c>
      <c r="H242" s="7" t="n">
        <v>42</v>
      </c>
      <c r="I242" s="7" t="inlineStr">
        <is>
          <t>F</t>
        </is>
      </c>
      <c r="J242" s="8" t="inlineStr">
        <is>
          <t>Cluster</t>
        </is>
      </c>
      <c r="K242" s="28" t="n">
        <v>30</v>
      </c>
      <c r="L242" s="28" t="n">
        <v>28.05</v>
      </c>
      <c r="M242" s="28" t="n">
        <v>29.49</v>
      </c>
      <c r="N242" s="28" t="n"/>
      <c r="O242" s="8" t="n"/>
      <c r="P242" s="8" t="n"/>
    </row>
    <row r="243">
      <c r="A243" s="8" t="inlineStr">
        <is>
          <t>PGCV_0053_5128</t>
        </is>
      </c>
      <c r="B243" s="8" t="inlineStr">
        <is>
          <t>COVID-SNL-23-4953</t>
        </is>
      </c>
      <c r="C243" s="8" t="inlineStr">
        <is>
          <t>LEON RURAL HEALTH UNIT</t>
        </is>
      </c>
      <c r="D243" s="7" t="n">
        <v>6</v>
      </c>
      <c r="E243" s="8" t="inlineStr">
        <is>
          <t>Region VI (Western Visayas)</t>
        </is>
      </c>
      <c r="F243" s="7" t="inlineStr">
        <is>
          <t>48/49</t>
        </is>
      </c>
      <c r="G243" s="27" t="n">
        <v>44950</v>
      </c>
      <c r="H243" s="7" t="n">
        <v>26</v>
      </c>
      <c r="I243" s="7" t="inlineStr">
        <is>
          <t>F</t>
        </is>
      </c>
      <c r="J243" s="8" t="inlineStr">
        <is>
          <t>Cluster</t>
        </is>
      </c>
      <c r="K243" s="28" t="n"/>
      <c r="L243" s="28" t="n">
        <v>28.61</v>
      </c>
      <c r="M243" s="28" t="n">
        <v>30.82</v>
      </c>
      <c r="N243" s="28" t="n">
        <v>29.57</v>
      </c>
      <c r="O243" s="8" t="n"/>
      <c r="P243" s="8" t="n"/>
    </row>
    <row r="244">
      <c r="A244" s="8" t="inlineStr">
        <is>
          <t>PGCV_0053_5129</t>
        </is>
      </c>
      <c r="B244" s="8" t="inlineStr">
        <is>
          <t>COVID-SNL-23-5359</t>
        </is>
      </c>
      <c r="C244" s="8" t="inlineStr">
        <is>
          <t>SAN JOAQUIN MOTHER AND CHILD HOSPITAL</t>
        </is>
      </c>
      <c r="D244" s="7" t="n">
        <v>6</v>
      </c>
      <c r="E244" s="8" t="inlineStr">
        <is>
          <t>Region VI (Western Visayas)</t>
        </is>
      </c>
      <c r="F244" s="7" t="inlineStr">
        <is>
          <t>48/49</t>
        </is>
      </c>
      <c r="G244" s="27" t="n">
        <v>44952</v>
      </c>
      <c r="H244" s="7" t="n">
        <v>54</v>
      </c>
      <c r="I244" s="7" t="inlineStr">
        <is>
          <t>F</t>
        </is>
      </c>
      <c r="J244" s="8" t="inlineStr">
        <is>
          <t>Admitted</t>
        </is>
      </c>
      <c r="K244" s="28" t="n">
        <v>28.74</v>
      </c>
      <c r="L244" s="28" t="n">
        <v>26.71</v>
      </c>
      <c r="M244" s="28" t="n">
        <v>28.13</v>
      </c>
      <c r="N244" s="28" t="n"/>
      <c r="O244" s="8" t="n"/>
      <c r="P244" s="8" t="n"/>
    </row>
    <row r="245">
      <c r="A245" s="8" t="inlineStr">
        <is>
          <t>PGCV_0053_5132</t>
        </is>
      </c>
      <c r="B245" s="8" t="inlineStr">
        <is>
          <t>COVID-SNL-23-6062</t>
        </is>
      </c>
      <c r="C245" s="8" t="inlineStr">
        <is>
          <t>WESTERN VISAYAS MEDICAL CENTER</t>
        </is>
      </c>
      <c r="D245" s="7" t="n">
        <v>6</v>
      </c>
      <c r="E245" s="8" t="inlineStr">
        <is>
          <t>Region VI (Western Visayas)</t>
        </is>
      </c>
      <c r="F245" s="7" t="inlineStr">
        <is>
          <t>48/49</t>
        </is>
      </c>
      <c r="G245" s="27" t="n">
        <v>44956</v>
      </c>
      <c r="H245" s="7" t="n">
        <v>52</v>
      </c>
      <c r="I245" s="7" t="inlineStr">
        <is>
          <t>M</t>
        </is>
      </c>
      <c r="J245" s="8" t="inlineStr">
        <is>
          <t>Cluster</t>
        </is>
      </c>
      <c r="K245" s="28" t="n"/>
      <c r="L245" s="28" t="n">
        <v>28.42</v>
      </c>
      <c r="M245" s="28" t="n">
        <v>30.15</v>
      </c>
      <c r="N245" s="28" t="n">
        <v>28.74</v>
      </c>
      <c r="O245" s="8" t="n"/>
      <c r="P245" s="8" t="n"/>
    </row>
    <row r="246">
      <c r="A246" s="8" t="inlineStr">
        <is>
          <t>PGCV_0053_5133</t>
        </is>
      </c>
      <c r="B246" s="8" t="inlineStr">
        <is>
          <t>COVID-SNL-23-6063</t>
        </is>
      </c>
      <c r="C246" s="8" t="inlineStr">
        <is>
          <t>WESTERN VISAYAS MEDICAL CENTER</t>
        </is>
      </c>
      <c r="D246" s="7" t="n">
        <v>6</v>
      </c>
      <c r="E246" s="8" t="inlineStr">
        <is>
          <t>Region VI (Western Visayas)</t>
        </is>
      </c>
      <c r="F246" s="7" t="inlineStr">
        <is>
          <t>48/49</t>
        </is>
      </c>
      <c r="G246" s="27" t="n">
        <v>44956</v>
      </c>
      <c r="H246" s="7" t="n">
        <v>27</v>
      </c>
      <c r="I246" s="7" t="inlineStr">
        <is>
          <t>F</t>
        </is>
      </c>
      <c r="J246" s="8" t="inlineStr">
        <is>
          <t>Cluster</t>
        </is>
      </c>
      <c r="K246" s="28" t="n"/>
      <c r="L246" s="28" t="n">
        <v>29.58</v>
      </c>
      <c r="M246" s="28" t="n">
        <v>30.71</v>
      </c>
      <c r="N246" s="28" t="n">
        <v>29.22</v>
      </c>
      <c r="O246" s="8" t="n"/>
      <c r="P246" s="8" t="n"/>
    </row>
    <row r="247">
      <c r="A247" s="8" t="inlineStr">
        <is>
          <t>PGCV_0053_5141</t>
        </is>
      </c>
      <c r="B247" s="8" t="inlineStr">
        <is>
          <t>D2260</t>
        </is>
      </c>
      <c r="C247" s="8" t="inlineStr">
        <is>
          <t>TERESITA L. JALANDONI PROVINCIAL HOSPITAL MOLECULAR LABORATORY</t>
        </is>
      </c>
      <c r="D247" s="7" t="n">
        <v>6</v>
      </c>
      <c r="E247" s="8" t="inlineStr">
        <is>
          <t>Region VI (Western Visayas)</t>
        </is>
      </c>
      <c r="F247" s="7" t="inlineStr">
        <is>
          <t>48/49</t>
        </is>
      </c>
      <c r="G247" s="27" t="n">
        <v>44956</v>
      </c>
      <c r="H247" s="7" t="n">
        <v>58</v>
      </c>
      <c r="I247" s="7" t="inlineStr">
        <is>
          <t>M</t>
        </is>
      </c>
      <c r="J247" s="8" t="inlineStr">
        <is>
          <t>Admitted</t>
        </is>
      </c>
      <c r="K247" s="28" t="n">
        <v>30.7</v>
      </c>
      <c r="L247" s="28" t="n">
        <v>26.13</v>
      </c>
      <c r="M247" s="28" t="n"/>
      <c r="N247" s="28" t="n"/>
      <c r="O247" s="8" t="n"/>
      <c r="P247" s="8" t="n"/>
    </row>
    <row r="248">
      <c r="A248" s="8" t="inlineStr">
        <is>
          <t>PGCV_0056_5167</t>
        </is>
      </c>
      <c r="B248" s="8" t="inlineStr">
        <is>
          <t>COVID-SNL-23-11674</t>
        </is>
      </c>
      <c r="C248" s="8" t="inlineStr">
        <is>
          <t>PAVIA RURAL HEALTH UNIT</t>
        </is>
      </c>
      <c r="D248" s="7" t="n">
        <v>6</v>
      </c>
      <c r="E248" s="8" t="inlineStr">
        <is>
          <t>Region VI (Western Visayas)</t>
        </is>
      </c>
      <c r="F248" s="7" t="inlineStr">
        <is>
          <t>53/54/55</t>
        </is>
      </c>
      <c r="G248" s="27" t="n">
        <v>44991</v>
      </c>
      <c r="H248" s="7" t="n">
        <v>22</v>
      </c>
      <c r="I248" s="7" t="inlineStr">
        <is>
          <t>F</t>
        </is>
      </c>
      <c r="J248" s="8" t="inlineStr">
        <is>
          <t>Cluster</t>
        </is>
      </c>
      <c r="K248" s="28" t="n">
        <v>27.05</v>
      </c>
      <c r="L248" s="28" t="n">
        <v>28.85</v>
      </c>
      <c r="M248" s="28" t="n"/>
      <c r="N248" s="28" t="n"/>
      <c r="O248" s="8" t="n"/>
      <c r="P248" s="8" t="n"/>
    </row>
    <row r="249">
      <c r="A249" s="8" t="inlineStr">
        <is>
          <t>PGCV_0057_5201</t>
        </is>
      </c>
      <c r="B249" s="8" t="inlineStr">
        <is>
          <t>WVMC-SC2-23-003689</t>
        </is>
      </c>
      <c r="C249" s="8" t="inlineStr">
        <is>
          <t>REP. PEDRO G. TRONO MEMORIAL HOSPITAL</t>
        </is>
      </c>
      <c r="D249" s="7" t="n">
        <v>6</v>
      </c>
      <c r="E249" s="8" t="inlineStr">
        <is>
          <t>Region VI (Western Visayas)</t>
        </is>
      </c>
      <c r="F249" s="7" t="inlineStr">
        <is>
          <t>56/57/58</t>
        </is>
      </c>
      <c r="G249" s="27" t="n">
        <v>45019</v>
      </c>
      <c r="H249" s="7" t="n">
        <v>29</v>
      </c>
      <c r="I249" s="7" t="inlineStr">
        <is>
          <t>F</t>
        </is>
      </c>
      <c r="J249" s="8" t="inlineStr">
        <is>
          <t>Cluster</t>
        </is>
      </c>
      <c r="K249" s="28" t="n">
        <v>29.6</v>
      </c>
      <c r="L249" s="28" t="n">
        <v>29.61</v>
      </c>
      <c r="M249" s="28" t="n"/>
      <c r="N249" s="28" t="n"/>
      <c r="O249" s="8" t="n"/>
      <c r="P249" s="8" t="n"/>
    </row>
    <row r="250">
      <c r="A250" s="8" t="inlineStr">
        <is>
          <t>PGCV_0058_5237</t>
        </is>
      </c>
      <c r="B250" s="8" t="inlineStr">
        <is>
          <t>D4899</t>
        </is>
      </c>
      <c r="C250" s="8" t="inlineStr">
        <is>
          <t>TERESITA L. JALANDONI PROVINCIAL HOSPITAL MOLECULAR LABORATORY</t>
        </is>
      </c>
      <c r="D250" s="7" t="n">
        <v>6</v>
      </c>
      <c r="E250" s="8" t="inlineStr">
        <is>
          <t>Region VI (Western Visayas)</t>
        </is>
      </c>
      <c r="F250" s="7" t="inlineStr">
        <is>
          <t>59/60</t>
        </is>
      </c>
      <c r="G250" s="27" t="n">
        <v>45016</v>
      </c>
      <c r="H250" s="7" t="n">
        <v>71</v>
      </c>
      <c r="I250" s="7" t="inlineStr">
        <is>
          <t>F</t>
        </is>
      </c>
      <c r="J250" s="8" t="inlineStr">
        <is>
          <t>Unknown Exposure</t>
        </is>
      </c>
      <c r="K250" s="28" t="n"/>
      <c r="L250" s="28" t="n">
        <v>16.17</v>
      </c>
      <c r="M250" s="28" t="n"/>
      <c r="N250" s="28" t="n"/>
      <c r="O250" s="8" t="n"/>
      <c r="P250" s="8" t="n"/>
    </row>
    <row r="251">
      <c r="A251" s="8" t="inlineStr">
        <is>
          <t>PGCV_0058_5288</t>
        </is>
      </c>
      <c r="B251" s="8" t="inlineStr">
        <is>
          <t>996B142041</t>
        </is>
      </c>
      <c r="C251" s="8" t="inlineStr">
        <is>
          <t>CLMMRH-ML</t>
        </is>
      </c>
      <c r="D251" s="7" t="n">
        <v>6</v>
      </c>
      <c r="E251" s="8" t="inlineStr">
        <is>
          <t>Region VI (Western Visayas)</t>
        </is>
      </c>
      <c r="F251" s="7" t="inlineStr">
        <is>
          <t>59/60</t>
        </is>
      </c>
      <c r="G251" s="27" t="n">
        <v>45033</v>
      </c>
      <c r="H251" s="7" t="n">
        <v>25</v>
      </c>
      <c r="I251" s="7" t="inlineStr">
        <is>
          <t>M</t>
        </is>
      </c>
      <c r="J251" s="8" t="inlineStr">
        <is>
          <t>Cluster</t>
        </is>
      </c>
      <c r="K251" s="28" t="n">
        <v>26.31</v>
      </c>
      <c r="L251" s="28" t="n">
        <v>21.7</v>
      </c>
      <c r="M251" s="28" t="n"/>
      <c r="N251" s="28" t="n"/>
      <c r="O251" s="8" t="n"/>
      <c r="P251" s="8" t="n"/>
    </row>
    <row r="252">
      <c r="A252" s="8" t="inlineStr">
        <is>
          <t>PGCV_0060_5356</t>
        </is>
      </c>
      <c r="B252" s="8" t="inlineStr">
        <is>
          <t>WVMC-SC2-23-007496</t>
        </is>
      </c>
      <c r="C252" s="8" t="inlineStr">
        <is>
          <t>WESTERN VISAYAS MEDICAL CENTER</t>
        </is>
      </c>
      <c r="D252" s="7" t="n">
        <v>6</v>
      </c>
      <c r="E252" s="8" t="inlineStr">
        <is>
          <t>Region VI (Western Visayas)</t>
        </is>
      </c>
      <c r="F252" s="7" t="inlineStr">
        <is>
          <t>62</t>
        </is>
      </c>
      <c r="G252" s="27" t="n">
        <v>45046</v>
      </c>
      <c r="H252" s="7" t="n">
        <v>31</v>
      </c>
      <c r="I252" s="7" t="inlineStr">
        <is>
          <t>M</t>
        </is>
      </c>
      <c r="J252" s="8" t="inlineStr">
        <is>
          <t>Cluster</t>
        </is>
      </c>
      <c r="K252" s="28" t="n"/>
      <c r="L252" s="28" t="n">
        <v>22.16</v>
      </c>
      <c r="M252" s="28" t="n">
        <v>30.33</v>
      </c>
      <c r="N252" s="28" t="n">
        <v>22.32</v>
      </c>
      <c r="O252" s="8" t="n"/>
      <c r="P252" s="8" t="n"/>
    </row>
    <row r="253">
      <c r="A253" s="8" t="inlineStr">
        <is>
          <t>PGCV_0060_5393</t>
        </is>
      </c>
      <c r="B253" s="8" t="inlineStr">
        <is>
          <t>WVMC-SC2-23-008087</t>
        </is>
      </c>
      <c r="C253" s="8" t="inlineStr">
        <is>
          <t>SAN JOAQUIN RURAL HEALTH UNIT</t>
        </is>
      </c>
      <c r="D253" s="7" t="n">
        <v>6</v>
      </c>
      <c r="E253" s="8" t="inlineStr">
        <is>
          <t>Region VI (Western Visayas)</t>
        </is>
      </c>
      <c r="F253" s="7" t="inlineStr">
        <is>
          <t>62</t>
        </is>
      </c>
      <c r="G253" s="27" t="n">
        <v>45050</v>
      </c>
      <c r="H253" s="7" t="n">
        <v>9</v>
      </c>
      <c r="I253" s="7" t="inlineStr">
        <is>
          <t>M</t>
        </is>
      </c>
      <c r="J253" s="8" t="inlineStr">
        <is>
          <t>Cluster</t>
        </is>
      </c>
      <c r="K253" s="28" t="n"/>
      <c r="L253" s="28" t="n">
        <v>18.93</v>
      </c>
      <c r="M253" s="28" t="n">
        <v>22.11</v>
      </c>
      <c r="N253" s="28" t="n">
        <v>18.74</v>
      </c>
      <c r="O253" s="8" t="n"/>
      <c r="P253" s="8" t="n"/>
    </row>
    <row r="254">
      <c r="A254" s="8" t="inlineStr">
        <is>
          <t>PGCV_0061_5474</t>
        </is>
      </c>
      <c r="B254" s="8" t="inlineStr">
        <is>
          <t>WVMC-SC2-23-008951</t>
        </is>
      </c>
      <c r="C254" s="8" t="inlineStr">
        <is>
          <t>BAILAN DISTRICT HOSPITAL</t>
        </is>
      </c>
      <c r="D254" s="7" t="n">
        <v>6</v>
      </c>
      <c r="E254" s="8" t="inlineStr">
        <is>
          <t>Region VI (Western Visayas)</t>
        </is>
      </c>
      <c r="F254" s="7" t="inlineStr">
        <is>
          <t>63</t>
        </is>
      </c>
      <c r="G254" s="27" t="n">
        <v>45054</v>
      </c>
      <c r="H254" s="7" t="n">
        <v>65</v>
      </c>
      <c r="I254" s="7" t="inlineStr">
        <is>
          <t>F</t>
        </is>
      </c>
      <c r="J254" s="8" t="inlineStr">
        <is>
          <t>Admitted</t>
        </is>
      </c>
      <c r="K254" s="28" t="n">
        <v>20.53</v>
      </c>
      <c r="L254" s="28" t="n">
        <v>14.77</v>
      </c>
      <c r="M254" s="28" t="n"/>
      <c r="N254" s="28" t="n"/>
      <c r="O254" s="8" t="n"/>
      <c r="P254" s="8" t="n"/>
    </row>
    <row r="255">
      <c r="A255" s="8" t="inlineStr">
        <is>
          <t>PGCV_0061_5567</t>
        </is>
      </c>
      <c r="B255" s="8" t="inlineStr">
        <is>
          <t>1019B143324</t>
        </is>
      </c>
      <c r="C255" s="8" t="inlineStr">
        <is>
          <t>CLMMRH-ML</t>
        </is>
      </c>
      <c r="D255" s="7" t="n">
        <v>6</v>
      </c>
      <c r="E255" s="8" t="inlineStr">
        <is>
          <t>Region VI (Western Visayas)</t>
        </is>
      </c>
      <c r="F255" s="7" t="inlineStr">
        <is>
          <t>63</t>
        </is>
      </c>
      <c r="G255" s="27" t="n"/>
      <c r="H255" s="7" t="n">
        <v>30</v>
      </c>
      <c r="I255" s="7" t="inlineStr">
        <is>
          <t>F</t>
        </is>
      </c>
      <c r="J255" s="8" t="inlineStr">
        <is>
          <t>Unknown Exposure</t>
        </is>
      </c>
      <c r="K255" s="28" t="n"/>
      <c r="L255" s="28" t="n"/>
      <c r="M255" s="28" t="n"/>
      <c r="N255" s="28" t="n">
        <v>20.72</v>
      </c>
      <c r="O255" s="8" t="n"/>
      <c r="P255" s="8" t="n"/>
    </row>
    <row r="256">
      <c r="A256" s="8" t="inlineStr">
        <is>
          <t>PGCV_0061_5572</t>
        </is>
      </c>
      <c r="B256" s="8" t="inlineStr">
        <is>
          <t>1021B143459</t>
        </is>
      </c>
      <c r="C256" s="8" t="inlineStr">
        <is>
          <t>CLMMRH-ML</t>
        </is>
      </c>
      <c r="D256" s="7" t="n">
        <v>6</v>
      </c>
      <c r="E256" s="8" t="inlineStr">
        <is>
          <t>Region VI (Western Visayas)</t>
        </is>
      </c>
      <c r="F256" s="7" t="inlineStr">
        <is>
          <t>63</t>
        </is>
      </c>
      <c r="G256" s="27" t="n"/>
      <c r="H256" s="7" t="n">
        <v>29</v>
      </c>
      <c r="I256" s="7" t="inlineStr">
        <is>
          <t>M</t>
        </is>
      </c>
      <c r="J256" s="8" t="inlineStr">
        <is>
          <t>Cluster</t>
        </is>
      </c>
      <c r="K256" s="28" t="n"/>
      <c r="L256" s="28" t="n"/>
      <c r="M256" s="28" t="n"/>
      <c r="N256" s="28" t="n">
        <v>18.06</v>
      </c>
      <c r="O256" s="8" t="n"/>
      <c r="P256" s="8" t="n"/>
    </row>
    <row r="257">
      <c r="A257" s="8" t="inlineStr">
        <is>
          <t>PGCV_0061_5578</t>
        </is>
      </c>
      <c r="B257" s="8" t="inlineStr">
        <is>
          <t>1023B143563</t>
        </is>
      </c>
      <c r="C257" s="8" t="inlineStr">
        <is>
          <t>CLMMRH-ML</t>
        </is>
      </c>
      <c r="D257" s="7" t="n">
        <v>6</v>
      </c>
      <c r="E257" s="8" t="inlineStr">
        <is>
          <t>Region VI (Western Visayas)</t>
        </is>
      </c>
      <c r="F257" s="7" t="inlineStr">
        <is>
          <t>63</t>
        </is>
      </c>
      <c r="G257" s="27" t="n"/>
      <c r="H257" s="7" t="n">
        <v>53</v>
      </c>
      <c r="I257" s="7" t="inlineStr">
        <is>
          <t>M</t>
        </is>
      </c>
      <c r="J257" s="8" t="inlineStr">
        <is>
          <t>Admitted</t>
        </is>
      </c>
      <c r="K257" s="28" t="n"/>
      <c r="L257" s="28" t="n"/>
      <c r="M257" s="28" t="n"/>
      <c r="N257" s="28" t="n">
        <v>23.91</v>
      </c>
      <c r="O257" s="8" t="n"/>
      <c r="P257" s="8" t="n"/>
    </row>
    <row r="258">
      <c r="A258" s="8" t="inlineStr">
        <is>
          <t>PGCV_0062_5609</t>
        </is>
      </c>
      <c r="B258" s="8" t="inlineStr">
        <is>
          <t>WVMC-SC2-23-009914</t>
        </is>
      </c>
      <c r="C258" s="8" t="inlineStr">
        <is>
          <t>WESTERN VISAYAS SANITARIUM AND GENERAL HOSPITAL</t>
        </is>
      </c>
      <c r="D258" s="7" t="n">
        <v>6</v>
      </c>
      <c r="E258" s="8" t="inlineStr">
        <is>
          <t>Region VI (Western Visayas)</t>
        </is>
      </c>
      <c r="F258" s="7" t="inlineStr">
        <is>
          <t>64</t>
        </is>
      </c>
      <c r="G258" s="27" t="n">
        <v>45060</v>
      </c>
      <c r="H258" s="7" t="n">
        <v>34</v>
      </c>
      <c r="I258" s="7" t="inlineStr">
        <is>
          <t>F</t>
        </is>
      </c>
      <c r="J258" s="8" t="inlineStr">
        <is>
          <t>Admitted</t>
        </is>
      </c>
      <c r="K258" s="28" t="n">
        <v>29.08</v>
      </c>
      <c r="L258" s="28" t="n">
        <v>28.22</v>
      </c>
      <c r="M258" s="28" t="n"/>
      <c r="N258" s="28" t="n"/>
      <c r="O258" s="8" t="n"/>
      <c r="P258" s="8" t="n"/>
    </row>
    <row r="259">
      <c r="A259" s="8" t="inlineStr">
        <is>
          <t>PGCV_0062_5633</t>
        </is>
      </c>
      <c r="B259" s="8" t="inlineStr">
        <is>
          <t>WVMC-SC2-23-010140</t>
        </is>
      </c>
      <c r="C259" s="8" t="inlineStr">
        <is>
          <t>SAN ENRIQUE RURAL HEALTH UNIT</t>
        </is>
      </c>
      <c r="D259" s="7" t="n">
        <v>6</v>
      </c>
      <c r="E259" s="8" t="inlineStr">
        <is>
          <t>Region VI (Western Visayas)</t>
        </is>
      </c>
      <c r="F259" s="7" t="inlineStr">
        <is>
          <t>64</t>
        </is>
      </c>
      <c r="G259" s="27" t="n">
        <v>45061</v>
      </c>
      <c r="H259" s="7" t="n">
        <v>23</v>
      </c>
      <c r="I259" s="7" t="inlineStr">
        <is>
          <t>F</t>
        </is>
      </c>
      <c r="J259" s="8" t="inlineStr">
        <is>
          <t>Cluster</t>
        </is>
      </c>
      <c r="K259" s="28" t="n">
        <v>24.26</v>
      </c>
      <c r="L259" s="28" t="n">
        <v>29.28</v>
      </c>
      <c r="M259" s="28" t="n"/>
      <c r="N259" s="28" t="n"/>
      <c r="O259" s="8" t="n"/>
      <c r="P259" s="8" t="n"/>
    </row>
    <row r="260">
      <c r="A260" s="8" t="inlineStr">
        <is>
          <t>PGCV_0063_5809</t>
        </is>
      </c>
      <c r="B260" s="8" t="inlineStr">
        <is>
          <t>WVMC-SC2-23-012234</t>
        </is>
      </c>
      <c r="C260" s="8" t="inlineStr">
        <is>
          <t>BAROTAC NUEVO RURAL HEALTH UNIT</t>
        </is>
      </c>
      <c r="D260" s="7" t="n">
        <v>6</v>
      </c>
      <c r="E260" s="8" t="inlineStr">
        <is>
          <t>Region VI (Western Visayas)</t>
        </is>
      </c>
      <c r="F260" s="7" t="inlineStr">
        <is>
          <t>65</t>
        </is>
      </c>
      <c r="G260" s="27" t="n">
        <v>45071</v>
      </c>
      <c r="H260" s="7" t="n">
        <v>26</v>
      </c>
      <c r="I260" s="7" t="inlineStr">
        <is>
          <t>F</t>
        </is>
      </c>
      <c r="J260" s="8" t="inlineStr">
        <is>
          <t>Cluster</t>
        </is>
      </c>
      <c r="K260" s="28" t="n">
        <v>29.3</v>
      </c>
      <c r="L260" s="28" t="n">
        <v>26.44</v>
      </c>
      <c r="M260" s="28" t="n"/>
      <c r="N260" s="28" t="n"/>
      <c r="O260" s="8" t="n"/>
      <c r="P260" s="8" t="n"/>
    </row>
    <row r="261">
      <c r="A261" s="8" t="inlineStr">
        <is>
          <t>PGCV_0063_5815</t>
        </is>
      </c>
      <c r="B261" s="8" t="inlineStr">
        <is>
          <t>WVMC-SC2-23-012292</t>
        </is>
      </c>
      <c r="C261" s="8" t="inlineStr">
        <is>
          <t>WESTERN VISAYAS MEDICAL CENTER</t>
        </is>
      </c>
      <c r="D261" s="7" t="n">
        <v>6</v>
      </c>
      <c r="E261" s="8" t="inlineStr">
        <is>
          <t>Region VI (Western Visayas)</t>
        </is>
      </c>
      <c r="F261" s="7" t="inlineStr">
        <is>
          <t>65</t>
        </is>
      </c>
      <c r="G261" s="27" t="n">
        <v>45072</v>
      </c>
      <c r="H261" s="7" t="n">
        <v>59</v>
      </c>
      <c r="I261" s="7" t="inlineStr">
        <is>
          <t>F</t>
        </is>
      </c>
      <c r="J261" s="8" t="inlineStr">
        <is>
          <t>Cluster</t>
        </is>
      </c>
      <c r="K261" s="28" t="n">
        <v>27.11</v>
      </c>
      <c r="L261" s="28" t="n">
        <v>29.21</v>
      </c>
      <c r="M261" s="28" t="n"/>
      <c r="N261" s="28" t="n"/>
      <c r="O261" s="8" t="n"/>
      <c r="P261" s="8" t="n"/>
    </row>
    <row r="262">
      <c r="A262" s="8" t="inlineStr">
        <is>
          <t>PGCV_0063_5830</t>
        </is>
      </c>
      <c r="B262" s="8" t="inlineStr">
        <is>
          <t>WVMC-SC2-23-012505</t>
        </is>
      </c>
      <c r="C262" s="8" t="inlineStr">
        <is>
          <t>WESTERN VISAYAS MEDICAL CENTER</t>
        </is>
      </c>
      <c r="D262" s="7" t="n">
        <v>6</v>
      </c>
      <c r="E262" s="8" t="inlineStr">
        <is>
          <t>Region VI (Western Visayas)</t>
        </is>
      </c>
      <c r="F262" s="7" t="inlineStr">
        <is>
          <t>65</t>
        </is>
      </c>
      <c r="G262" s="27" t="n">
        <v>45073</v>
      </c>
      <c r="H262" s="7" t="n">
        <v>51</v>
      </c>
      <c r="I262" s="7" t="inlineStr">
        <is>
          <t>F</t>
        </is>
      </c>
      <c r="J262" s="8" t="inlineStr">
        <is>
          <t>Cluster</t>
        </is>
      </c>
      <c r="K262" s="28" t="n">
        <v>29.03</v>
      </c>
      <c r="L262" s="28" t="n">
        <v>24.67</v>
      </c>
      <c r="M262" s="28" t="n"/>
      <c r="N262" s="28" t="n"/>
      <c r="O262" s="8" t="n"/>
      <c r="P262" s="8" t="n"/>
    </row>
    <row r="263">
      <c r="A263" s="8" t="inlineStr">
        <is>
          <t>PGCV_0063_5865</t>
        </is>
      </c>
      <c r="B263" s="8" t="inlineStr">
        <is>
          <t>1034B144305</t>
        </is>
      </c>
      <c r="C263" s="8" t="inlineStr">
        <is>
          <t>CLMMRH-ML</t>
        </is>
      </c>
      <c r="D263" s="7" t="n">
        <v>6</v>
      </c>
      <c r="E263" s="8" t="inlineStr">
        <is>
          <t>Region VI (Western Visayas)</t>
        </is>
      </c>
      <c r="F263" s="7" t="inlineStr">
        <is>
          <t>65</t>
        </is>
      </c>
      <c r="G263" s="27" t="n">
        <v>45071</v>
      </c>
      <c r="H263" s="7" t="n">
        <v>26</v>
      </c>
      <c r="I263" s="7" t="inlineStr">
        <is>
          <t>M</t>
        </is>
      </c>
      <c r="J263" s="8" t="inlineStr">
        <is>
          <t>Cluster</t>
        </is>
      </c>
      <c r="K263" s="28" t="n">
        <v>24.26</v>
      </c>
      <c r="L263" s="28" t="n">
        <v>21.6</v>
      </c>
      <c r="M263" s="28" t="n"/>
      <c r="N263" s="28" t="n"/>
      <c r="O263" s="8" t="n"/>
      <c r="P263" s="8" t="n"/>
    </row>
    <row r="264">
      <c r="A264" s="8" t="inlineStr">
        <is>
          <t>PGCV_0064_5878</t>
        </is>
      </c>
      <c r="B264" s="8" t="inlineStr">
        <is>
          <t>WVMC-SC2-23-012697</t>
        </is>
      </c>
      <c r="C264" s="8" t="inlineStr">
        <is>
          <t>REP. PEDRO G. TRONO MEMORIAL HOSPITAL</t>
        </is>
      </c>
      <c r="D264" s="7" t="n">
        <v>6</v>
      </c>
      <c r="E264" s="8" t="inlineStr">
        <is>
          <t>Region VI (Western Visayas)</t>
        </is>
      </c>
      <c r="F264" s="7" t="inlineStr">
        <is>
          <t>66</t>
        </is>
      </c>
      <c r="G264" s="27" t="n">
        <v>45073</v>
      </c>
      <c r="H264" s="7" t="n">
        <v>83</v>
      </c>
      <c r="I264" s="7" t="inlineStr">
        <is>
          <t>F</t>
        </is>
      </c>
      <c r="J264" s="8" t="inlineStr">
        <is>
          <t>Admitted</t>
        </is>
      </c>
      <c r="K264" s="28" t="n">
        <v>26.29</v>
      </c>
      <c r="L264" s="28" t="n">
        <v>24.08</v>
      </c>
      <c r="M264" s="28" t="n"/>
      <c r="N264" s="28" t="n"/>
      <c r="O264" s="8" t="n"/>
      <c r="P264" s="8" t="n"/>
    </row>
    <row r="265">
      <c r="A265" s="8" t="inlineStr">
        <is>
          <t>PGCV_0067_6023</t>
        </is>
      </c>
      <c r="B265" s="8" t="inlineStr">
        <is>
          <t>WVMC-SC2-23-016660</t>
        </is>
      </c>
      <c r="C265" s="8" t="inlineStr">
        <is>
          <t>REP. PEDRO G. TRONO MEMORIAL HOSPITAL</t>
        </is>
      </c>
      <c r="D265" s="7" t="n">
        <v>6</v>
      </c>
      <c r="E265" s="8" t="inlineStr">
        <is>
          <t>Region VI (Western Visayas)</t>
        </is>
      </c>
      <c r="F265" s="7" t="inlineStr">
        <is>
          <t>69/70</t>
        </is>
      </c>
      <c r="G265" s="27" t="n">
        <v>45093</v>
      </c>
      <c r="H265" s="7" t="n">
        <v>88</v>
      </c>
      <c r="I265" s="7" t="inlineStr">
        <is>
          <t>F</t>
        </is>
      </c>
      <c r="J265" s="8" t="inlineStr">
        <is>
          <t>Admitted</t>
        </is>
      </c>
      <c r="K265" s="28" t="n">
        <v>30.43</v>
      </c>
      <c r="L265" s="28" t="n">
        <v>27.52</v>
      </c>
      <c r="M265" s="28" t="n"/>
      <c r="N265" s="28" t="n"/>
      <c r="O265" s="8" t="n"/>
      <c r="P265" s="8" t="n"/>
    </row>
    <row r="266">
      <c r="A266" s="8" t="inlineStr">
        <is>
          <t>PGCV_0067_6038</t>
        </is>
      </c>
      <c r="B266" s="8" t="inlineStr">
        <is>
          <t>WVMC-SC2-23-017033</t>
        </is>
      </c>
      <c r="C266" s="8" t="inlineStr">
        <is>
          <t>SAN ENRIQUE RURAL HEALTH UNIT</t>
        </is>
      </c>
      <c r="D266" s="7" t="n">
        <v>6</v>
      </c>
      <c r="E266" s="8" t="inlineStr">
        <is>
          <t>Region VI (Western Visayas)</t>
        </is>
      </c>
      <c r="F266" s="7" t="inlineStr">
        <is>
          <t>69/70</t>
        </is>
      </c>
      <c r="G266" s="27" t="n">
        <v>45096</v>
      </c>
      <c r="H266" s="7" t="n">
        <v>22</v>
      </c>
      <c r="I266" s="7" t="inlineStr">
        <is>
          <t>M</t>
        </is>
      </c>
      <c r="J266" s="8" t="inlineStr">
        <is>
          <t>Cluster</t>
        </is>
      </c>
      <c r="K266" s="28" t="n">
        <v>27.4</v>
      </c>
      <c r="L266" s="28" t="n">
        <v>24.17</v>
      </c>
      <c r="M266" s="28" t="n"/>
      <c r="N266" s="28" t="n"/>
      <c r="O266" s="8" t="n"/>
      <c r="P266" s="8" t="n"/>
    </row>
    <row r="267">
      <c r="A267" s="8" t="inlineStr">
        <is>
          <t>PGCV_0067_6041</t>
        </is>
      </c>
      <c r="B267" s="8" t="inlineStr">
        <is>
          <t>WVMC-SC2-23-017121</t>
        </is>
      </c>
      <c r="C267" s="8" t="inlineStr">
        <is>
          <t>DR. CATALINO GALLEGO NAVA PROVINCIAL HOSPITAL</t>
        </is>
      </c>
      <c r="D267" s="7" t="n">
        <v>6</v>
      </c>
      <c r="E267" s="8" t="inlineStr">
        <is>
          <t>Region VI (Western Visayas)</t>
        </is>
      </c>
      <c r="F267" s="7" t="inlineStr">
        <is>
          <t>69/70</t>
        </is>
      </c>
      <c r="G267" s="27" t="n">
        <v>45097</v>
      </c>
      <c r="H267" s="7" t="n">
        <v>76</v>
      </c>
      <c r="I267" s="7" t="inlineStr">
        <is>
          <t>M</t>
        </is>
      </c>
      <c r="J267" s="8" t="inlineStr">
        <is>
          <t>Admitted</t>
        </is>
      </c>
      <c r="K267" s="28" t="n">
        <v>25.74</v>
      </c>
      <c r="L267" s="28" t="n">
        <v>21.87</v>
      </c>
      <c r="M267" s="28" t="n"/>
      <c r="N267" s="28" t="n"/>
      <c r="O267" s="8" t="n"/>
      <c r="P267" s="8" t="n"/>
    </row>
    <row r="268">
      <c r="A268" s="8" t="inlineStr">
        <is>
          <t>PGCV_0067_6066</t>
        </is>
      </c>
      <c r="B268" s="8" t="inlineStr">
        <is>
          <t>WVMC-SC2-23-017569</t>
        </is>
      </c>
      <c r="C268" s="8" t="inlineStr">
        <is>
          <t>WESTERN VISAYAS MEDICAL CENTER</t>
        </is>
      </c>
      <c r="D268" s="7" t="n">
        <v>6</v>
      </c>
      <c r="E268" s="8" t="inlineStr">
        <is>
          <t>Region VI (Western Visayas)</t>
        </is>
      </c>
      <c r="F268" s="7" t="inlineStr">
        <is>
          <t>69/70</t>
        </is>
      </c>
      <c r="G268" s="27" t="n">
        <v>45099</v>
      </c>
      <c r="H268" s="7" t="n">
        <v>57</v>
      </c>
      <c r="I268" s="7" t="inlineStr">
        <is>
          <t>M</t>
        </is>
      </c>
      <c r="J268" s="8" t="inlineStr">
        <is>
          <t>Admitted</t>
        </is>
      </c>
      <c r="K268" s="28" t="n">
        <v>30.98</v>
      </c>
      <c r="L268" s="28" t="n">
        <v>27</v>
      </c>
      <c r="M268" s="28" t="n"/>
      <c r="N268" s="28" t="n"/>
      <c r="O268" s="8" t="n"/>
      <c r="P268" s="8" t="n"/>
    </row>
    <row r="269">
      <c r="A269" s="8" t="inlineStr">
        <is>
          <t>PGCV_0067_6075</t>
        </is>
      </c>
      <c r="B269" s="8" t="inlineStr">
        <is>
          <t>WVMC-SC2-23-017772</t>
        </is>
      </c>
      <c r="C269" s="8" t="inlineStr">
        <is>
          <t>WESTERN VISAYAS MEDICAL CENTER</t>
        </is>
      </c>
      <c r="D269" s="7" t="n">
        <v>6</v>
      </c>
      <c r="E269" s="8" t="inlineStr">
        <is>
          <t>Region VI (Western Visayas)</t>
        </is>
      </c>
      <c r="F269" s="7" t="inlineStr">
        <is>
          <t>69/70</t>
        </is>
      </c>
      <c r="G269" s="27" t="n">
        <v>45101</v>
      </c>
      <c r="H269" s="7" t="n">
        <v>44</v>
      </c>
      <c r="I269" s="7" t="inlineStr">
        <is>
          <t>M</t>
        </is>
      </c>
      <c r="J269" s="8" t="inlineStr">
        <is>
          <t>Admitted</t>
        </is>
      </c>
      <c r="K269" s="28" t="n">
        <v>25.73</v>
      </c>
      <c r="L269" s="28" t="n">
        <v>21.86</v>
      </c>
      <c r="M269" s="28" t="n"/>
      <c r="N269" s="28" t="n"/>
      <c r="O269" s="8" t="n"/>
      <c r="P269" s="8" t="n"/>
    </row>
    <row r="270">
      <c r="A270" s="8" t="inlineStr">
        <is>
          <t>PGCV_0067_6087</t>
        </is>
      </c>
      <c r="B270" s="8" t="inlineStr">
        <is>
          <t>WVMC-SC2-23-018329</t>
        </is>
      </c>
      <c r="C270" s="8" t="inlineStr">
        <is>
          <t>RAMON TABIANA MEMORIAL DISTRICT HOSPITAL</t>
        </is>
      </c>
      <c r="D270" s="7" t="n">
        <v>6</v>
      </c>
      <c r="E270" s="8" t="inlineStr">
        <is>
          <t>Region VI (Western Visayas)</t>
        </is>
      </c>
      <c r="F270" s="7" t="inlineStr">
        <is>
          <t>69/70</t>
        </is>
      </c>
      <c r="G270" s="27" t="n">
        <v>45103</v>
      </c>
      <c r="H270" s="7" t="n">
        <v>84</v>
      </c>
      <c r="I270" s="7" t="inlineStr">
        <is>
          <t>F</t>
        </is>
      </c>
      <c r="J270" s="8" t="inlineStr">
        <is>
          <t>Admitted</t>
        </is>
      </c>
      <c r="K270" s="28" t="n">
        <v>30.9</v>
      </c>
      <c r="L270" s="28" t="n">
        <v>29.23</v>
      </c>
      <c r="M270" s="28" t="n"/>
      <c r="N270" s="28" t="n"/>
      <c r="O270" s="8" t="n"/>
      <c r="P270" s="8" t="n"/>
    </row>
    <row r="271">
      <c r="A271" s="8" t="inlineStr">
        <is>
          <t>PGCV_0067_6089</t>
        </is>
      </c>
      <c r="B271" s="8" t="inlineStr">
        <is>
          <t>WVMC-SC2-23-018375</t>
        </is>
      </c>
      <c r="C271" s="8" t="inlineStr">
        <is>
          <t>WESTERN VISAYAS MEDICAL CENTER</t>
        </is>
      </c>
      <c r="D271" s="7" t="n">
        <v>6</v>
      </c>
      <c r="E271" s="8" t="inlineStr">
        <is>
          <t>Region VI (Western Visayas)</t>
        </is>
      </c>
      <c r="F271" s="7" t="inlineStr">
        <is>
          <t>69/70</t>
        </is>
      </c>
      <c r="G271" s="27" t="n">
        <v>45105</v>
      </c>
      <c r="H271" s="7" t="n">
        <v>52</v>
      </c>
      <c r="I271" s="7" t="inlineStr">
        <is>
          <t>M</t>
        </is>
      </c>
      <c r="J271" s="8" t="inlineStr">
        <is>
          <t>Admitted</t>
        </is>
      </c>
      <c r="K271" s="28" t="n">
        <v>29.8</v>
      </c>
      <c r="L271" s="28" t="n">
        <v>26.64</v>
      </c>
      <c r="M271" s="28" t="n"/>
      <c r="N271" s="28" t="n"/>
      <c r="O271" s="8" t="n"/>
      <c r="P271" s="8" t="n"/>
    </row>
    <row r="272">
      <c r="A272" s="8" t="inlineStr">
        <is>
          <t>PGCV_0067_6093</t>
        </is>
      </c>
      <c r="B272" s="8" t="inlineStr">
        <is>
          <t>WVMC-SC2-23-018449</t>
        </is>
      </c>
      <c r="C272" s="8" t="inlineStr">
        <is>
          <t>RAMON TABIANA MEMORIAL DISTRICT HOSPITAL</t>
        </is>
      </c>
      <c r="D272" s="7" t="n">
        <v>6</v>
      </c>
      <c r="E272" s="8" t="inlineStr">
        <is>
          <t>Region VI (Western Visayas)</t>
        </is>
      </c>
      <c r="F272" s="7" t="inlineStr">
        <is>
          <t>69/70</t>
        </is>
      </c>
      <c r="G272" s="27" t="n">
        <v>45103</v>
      </c>
      <c r="H272" s="7" t="n">
        <v>4</v>
      </c>
      <c r="I272" s="7" t="inlineStr">
        <is>
          <t>F</t>
        </is>
      </c>
      <c r="J272" s="8" t="inlineStr">
        <is>
          <t>Admitted</t>
        </is>
      </c>
      <c r="K272" s="28" t="n">
        <v>21.95</v>
      </c>
      <c r="L272" s="28" t="n">
        <v>17.06</v>
      </c>
      <c r="M272" s="28" t="n"/>
      <c r="N272" s="28" t="n"/>
      <c r="O272" s="8" t="n"/>
      <c r="P272" s="8" t="n"/>
    </row>
    <row r="273">
      <c r="A273" s="8" t="inlineStr">
        <is>
          <t>PGCV_0067_6099</t>
        </is>
      </c>
      <c r="B273" s="8" t="inlineStr">
        <is>
          <t>WVMC-SC2-23-018642</t>
        </is>
      </c>
      <c r="C273" s="8" t="inlineStr">
        <is>
          <t>WESTERN VISAYAS MEDICAL CENTER</t>
        </is>
      </c>
      <c r="D273" s="7" t="n">
        <v>6</v>
      </c>
      <c r="E273" s="8" t="inlineStr">
        <is>
          <t>Region VI (Western Visayas)</t>
        </is>
      </c>
      <c r="F273" s="7" t="inlineStr">
        <is>
          <t>69/70</t>
        </is>
      </c>
      <c r="G273" s="27" t="n">
        <v>45106</v>
      </c>
      <c r="H273" s="7" t="n">
        <v>56</v>
      </c>
      <c r="I273" s="7" t="inlineStr">
        <is>
          <t>F</t>
        </is>
      </c>
      <c r="J273" s="8" t="inlineStr">
        <is>
          <t>Cluster</t>
        </is>
      </c>
      <c r="K273" s="28" t="n">
        <v>30.7</v>
      </c>
      <c r="L273" s="28" t="n">
        <v>29.68</v>
      </c>
      <c r="M273" s="28" t="n"/>
      <c r="N273" s="28" t="n"/>
      <c r="O273" s="8" t="n"/>
      <c r="P273" s="8" t="n"/>
    </row>
    <row r="274">
      <c r="A274" s="8" t="inlineStr">
        <is>
          <t>PGCV_0067_6105</t>
        </is>
      </c>
      <c r="B274" s="8" t="inlineStr">
        <is>
          <t>WVMC-SC2-23-018827</t>
        </is>
      </c>
      <c r="C274" s="8" t="inlineStr">
        <is>
          <t>RAMON TABIANA MEMORIAL DISTRICT HOSPITAL</t>
        </is>
      </c>
      <c r="D274" s="7" t="n">
        <v>6</v>
      </c>
      <c r="E274" s="8" t="inlineStr">
        <is>
          <t>Region VI (Western Visayas)</t>
        </is>
      </c>
      <c r="F274" s="7" t="inlineStr">
        <is>
          <t>69/70</t>
        </is>
      </c>
      <c r="G274" s="27" t="n">
        <v>45107</v>
      </c>
      <c r="H274" s="7" t="n">
        <v>54</v>
      </c>
      <c r="I274" s="7" t="inlineStr">
        <is>
          <t>M</t>
        </is>
      </c>
      <c r="J274" s="8" t="inlineStr">
        <is>
          <t>Admitted</t>
        </is>
      </c>
      <c r="K274" s="28" t="n">
        <v>30.74</v>
      </c>
      <c r="L274" s="28" t="n">
        <v>26.26</v>
      </c>
      <c r="M274" s="28" t="n"/>
      <c r="N274" s="28" t="n"/>
      <c r="O274" s="8" t="n"/>
      <c r="P274" s="8" t="n"/>
    </row>
    <row r="275">
      <c r="A275" s="8" t="inlineStr">
        <is>
          <t>PGCV_0068_6113</t>
        </is>
      </c>
      <c r="B275" s="8" t="inlineStr">
        <is>
          <t>WVMC-SC2-23-018974</t>
        </is>
      </c>
      <c r="C275" s="8" t="inlineStr">
        <is>
          <t>WESTERN VISAYAS MEDICAL CENTER</t>
        </is>
      </c>
      <c r="D275" s="7" t="n">
        <v>6</v>
      </c>
      <c r="E275" s="8" t="inlineStr">
        <is>
          <t>Region VI (Western Visayas)</t>
        </is>
      </c>
      <c r="F275" s="7" t="inlineStr">
        <is>
          <t>71/72</t>
        </is>
      </c>
      <c r="G275" s="27" t="n">
        <v>45108</v>
      </c>
      <c r="H275" s="7" t="n">
        <v>58</v>
      </c>
      <c r="I275" s="7" t="inlineStr">
        <is>
          <t>M</t>
        </is>
      </c>
      <c r="J275" s="8" t="inlineStr">
        <is>
          <t>Admitted</t>
        </is>
      </c>
      <c r="K275" s="28" t="n">
        <v>27.61</v>
      </c>
      <c r="L275" s="28" t="n">
        <v>25.67</v>
      </c>
      <c r="M275" s="28" t="n"/>
      <c r="N275" s="28" t="n"/>
      <c r="O275" s="8" t="n"/>
      <c r="P275" s="8" t="n"/>
    </row>
    <row r="276">
      <c r="A276" s="8" t="inlineStr">
        <is>
          <t>PGCV_0068_6117</t>
        </is>
      </c>
      <c r="B276" s="8" t="inlineStr">
        <is>
          <t>WVMC-SC2-23-019068</t>
        </is>
      </c>
      <c r="C276" s="8" t="inlineStr">
        <is>
          <t>WESTERN VISAYAS MEDICAL CENTER</t>
        </is>
      </c>
      <c r="D276" s="7" t="n">
        <v>6</v>
      </c>
      <c r="E276" s="8" t="inlineStr">
        <is>
          <t>Region VI (Western Visayas)</t>
        </is>
      </c>
      <c r="F276" s="7" t="inlineStr">
        <is>
          <t>71/72</t>
        </is>
      </c>
      <c r="G276" s="27" t="n">
        <v>45110</v>
      </c>
      <c r="H276" s="7" t="n">
        <v>19</v>
      </c>
      <c r="I276" s="7" t="inlineStr">
        <is>
          <t>F</t>
        </is>
      </c>
      <c r="J276" s="8" t="inlineStr">
        <is>
          <t>Admitted</t>
        </is>
      </c>
      <c r="K276" s="28" t="n">
        <v>28.99</v>
      </c>
      <c r="L276" s="28" t="n">
        <v>28.6</v>
      </c>
      <c r="M276" s="28" t="n"/>
      <c r="N276" s="28" t="n"/>
      <c r="O276" s="8" t="n"/>
      <c r="P276" s="8" t="n"/>
    </row>
    <row r="277">
      <c r="A277" s="8" t="inlineStr">
        <is>
          <t>PGCV_0068_6130</t>
        </is>
      </c>
      <c r="B277" s="8" t="inlineStr">
        <is>
          <t>WVMC-SC2-23-020049</t>
        </is>
      </c>
      <c r="C277" s="8" t="inlineStr">
        <is>
          <t>ANGEL SALAZAR MEMORIAL GENERAL HOSPITAL</t>
        </is>
      </c>
      <c r="D277" s="7" t="n">
        <v>6</v>
      </c>
      <c r="E277" s="8" t="inlineStr">
        <is>
          <t>Region VI (Western Visayas)</t>
        </is>
      </c>
      <c r="F277" s="7" t="inlineStr">
        <is>
          <t>71/72</t>
        </is>
      </c>
      <c r="G277" s="27" t="n">
        <v>45116</v>
      </c>
      <c r="H277" s="7" t="n">
        <v>57</v>
      </c>
      <c r="I277" s="7" t="inlineStr">
        <is>
          <t>M</t>
        </is>
      </c>
      <c r="J277" s="8" t="inlineStr">
        <is>
          <t>Admitted</t>
        </is>
      </c>
      <c r="K277" s="28" t="n">
        <v>28.22</v>
      </c>
      <c r="L277" s="28" t="n">
        <v>26.51</v>
      </c>
      <c r="M277" s="28" t="n"/>
      <c r="N277" s="28" t="n"/>
      <c r="O277" s="8" t="n"/>
      <c r="P277" s="8" t="n"/>
    </row>
    <row r="278">
      <c r="A278" s="8" t="inlineStr">
        <is>
          <t>PGCV_0068_6137</t>
        </is>
      </c>
      <c r="B278" s="8" t="inlineStr">
        <is>
          <t>WVMC-SC2-23-020511</t>
        </is>
      </c>
      <c r="C278" s="8" t="inlineStr">
        <is>
          <t>REP. PEDRO G. TRONO MEMORIAL HOSPITAL</t>
        </is>
      </c>
      <c r="D278" s="7" t="n">
        <v>6</v>
      </c>
      <c r="E278" s="8" t="inlineStr">
        <is>
          <t>Region VI (Western Visayas)</t>
        </is>
      </c>
      <c r="F278" s="7" t="inlineStr">
        <is>
          <t>71/72</t>
        </is>
      </c>
      <c r="G278" s="27" t="n">
        <v>45119</v>
      </c>
      <c r="H278" s="7" t="n">
        <v>65</v>
      </c>
      <c r="I278" s="7" t="inlineStr">
        <is>
          <t>M</t>
        </is>
      </c>
      <c r="J278" s="8" t="inlineStr">
        <is>
          <t>Admitted</t>
        </is>
      </c>
      <c r="K278" s="28" t="n">
        <v>30.07</v>
      </c>
      <c r="L278" s="28" t="n">
        <v>25.71</v>
      </c>
      <c r="M278" s="28" t="n"/>
      <c r="N278" s="28" t="n"/>
      <c r="O278" s="8" t="n"/>
      <c r="P278" s="8" t="n"/>
    </row>
    <row r="279">
      <c r="A279" s="8" t="inlineStr">
        <is>
          <t>PGCV_0068_6145</t>
        </is>
      </c>
      <c r="B279" s="8" t="inlineStr">
        <is>
          <t>WVMC-SC2-23-020672</t>
        </is>
      </c>
      <c r="C279" s="8" t="inlineStr">
        <is>
          <t>ANGEL SALAZAR MEMORIAL GENERAL HOSPITAL</t>
        </is>
      </c>
      <c r="D279" s="7" t="n">
        <v>6</v>
      </c>
      <c r="E279" s="8" t="inlineStr">
        <is>
          <t>Region VI (Western Visayas)</t>
        </is>
      </c>
      <c r="F279" s="7" t="inlineStr">
        <is>
          <t>71/72</t>
        </is>
      </c>
      <c r="G279" s="27" t="n">
        <v>45108</v>
      </c>
      <c r="H279" s="7" t="n">
        <v>63</v>
      </c>
      <c r="I279" s="7" t="inlineStr">
        <is>
          <t>F</t>
        </is>
      </c>
      <c r="J279" s="8" t="inlineStr">
        <is>
          <t>Admitted</t>
        </is>
      </c>
      <c r="K279" s="28" t="n">
        <v>25.94</v>
      </c>
      <c r="L279" s="28" t="n">
        <v>30.37</v>
      </c>
      <c r="M279" s="28" t="n"/>
      <c r="N279" s="28" t="n"/>
      <c r="O279" s="8" t="n"/>
      <c r="P279" s="8" t="n"/>
    </row>
    <row r="280">
      <c r="A280" s="8" t="inlineStr">
        <is>
          <t>PGCV_0068_6147</t>
        </is>
      </c>
      <c r="B280" s="8" t="inlineStr">
        <is>
          <t>WVMC-SC2-23-020724</t>
        </is>
      </c>
      <c r="C280" s="8" t="inlineStr">
        <is>
          <t>RAMON TABIANA MEMORIAL DISTRICT HOSPITAL</t>
        </is>
      </c>
      <c r="D280" s="7" t="n">
        <v>6</v>
      </c>
      <c r="E280" s="8" t="inlineStr">
        <is>
          <t>Region VI (Western Visayas)</t>
        </is>
      </c>
      <c r="F280" s="7" t="inlineStr">
        <is>
          <t>71/72</t>
        </is>
      </c>
      <c r="G280" s="27" t="n">
        <v>45120</v>
      </c>
      <c r="H280" s="7" t="n">
        <v>61</v>
      </c>
      <c r="I280" s="7" t="inlineStr">
        <is>
          <t>M</t>
        </is>
      </c>
      <c r="J280" s="8" t="inlineStr">
        <is>
          <t>Admitted</t>
        </is>
      </c>
      <c r="K280" s="28" t="n">
        <v>15.32</v>
      </c>
      <c r="L280" s="28" t="n">
        <v>20.76</v>
      </c>
      <c r="M280" s="28" t="n"/>
      <c r="N280" s="28" t="n"/>
      <c r="O280" s="8" t="n"/>
      <c r="P280" s="8" t="n"/>
    </row>
    <row r="281">
      <c r="A281" s="8" t="inlineStr">
        <is>
          <t>PGCV_0072_6212</t>
        </is>
      </c>
      <c r="B281" s="8" t="inlineStr">
        <is>
          <t>WVMC-SC2-23-029332</t>
        </is>
      </c>
      <c r="C281" s="8" t="inlineStr">
        <is>
          <t>WESTERN VISAYAS SANITARIUM</t>
        </is>
      </c>
      <c r="D281" s="7" t="n">
        <v>6</v>
      </c>
      <c r="E281" s="8" t="inlineStr">
        <is>
          <t>Region VI (Western Visayas)</t>
        </is>
      </c>
      <c r="F281" s="7" t="n"/>
      <c r="G281" s="27" t="n">
        <v>45196</v>
      </c>
      <c r="H281" s="7" t="n">
        <v>29</v>
      </c>
      <c r="I281" s="7" t="inlineStr">
        <is>
          <t>F</t>
        </is>
      </c>
      <c r="J281" s="8" t="inlineStr">
        <is>
          <t>Admitted</t>
        </is>
      </c>
      <c r="K281" s="28" t="n">
        <v>27.05</v>
      </c>
      <c r="L281" s="28" t="n">
        <v>28.05</v>
      </c>
      <c r="M281" s="28" t="n"/>
      <c r="N281" s="28" t="n"/>
      <c r="O281" s="8" t="n"/>
      <c r="P281" s="8" t="n"/>
    </row>
    <row r="282">
      <c r="A282" s="8" t="inlineStr">
        <is>
          <t>PGCV_0074_6271</t>
        </is>
      </c>
      <c r="B282" s="8" t="inlineStr">
        <is>
          <t>WVMC-SC2-23-033689</t>
        </is>
      </c>
      <c r="C282" s="8" t="inlineStr">
        <is>
          <t>WESTERN VISAYAS MEDICAL CENTER</t>
        </is>
      </c>
      <c r="D282" s="7" t="n">
        <v>6</v>
      </c>
      <c r="E282" s="8" t="inlineStr">
        <is>
          <t>Region VI (Western Visayas)</t>
        </is>
      </c>
      <c r="F282" s="7" t="n"/>
      <c r="G282" s="27" t="n">
        <v>45254</v>
      </c>
      <c r="H282" s="7" t="n">
        <v>0</v>
      </c>
      <c r="I282" s="7" t="inlineStr">
        <is>
          <t>M</t>
        </is>
      </c>
      <c r="J282" s="8" t="inlineStr">
        <is>
          <t>Admitted</t>
        </is>
      </c>
      <c r="K282" s="28" t="n"/>
      <c r="L282" s="28" t="n"/>
      <c r="M282" s="28" t="n"/>
      <c r="N282" s="28" t="n">
        <v>30.41</v>
      </c>
      <c r="O282" s="8" t="n"/>
      <c r="P282" s="8" t="n"/>
    </row>
    <row r="283">
      <c r="A283" s="8" t="inlineStr">
        <is>
          <t>PGCV_0074_6275</t>
        </is>
      </c>
      <c r="B283" s="8" t="inlineStr">
        <is>
          <t>WVMC-SC2-23-033761</t>
        </is>
      </c>
      <c r="C283" s="8" t="inlineStr">
        <is>
          <t>REP. PEDRO G. TRONO MEMORIAL HOSPITAL</t>
        </is>
      </c>
      <c r="D283" s="7" t="n">
        <v>6</v>
      </c>
      <c r="E283" s="8" t="inlineStr">
        <is>
          <t>Region VI (Western Visayas)</t>
        </is>
      </c>
      <c r="F283" s="7" t="n"/>
      <c r="G283" s="27" t="n">
        <v>45255</v>
      </c>
      <c r="H283" s="7" t="n">
        <v>69</v>
      </c>
      <c r="I283" s="7" t="inlineStr">
        <is>
          <t>F</t>
        </is>
      </c>
      <c r="J283" s="8" t="inlineStr">
        <is>
          <t>Admitted</t>
        </is>
      </c>
      <c r="K283" s="28" t="n"/>
      <c r="L283" s="28" t="n"/>
      <c r="M283" s="28" t="n"/>
      <c r="N283" s="28" t="n">
        <v>19.01</v>
      </c>
      <c r="O283" s="8" t="n"/>
      <c r="P283" s="8" t="n"/>
    </row>
    <row r="284">
      <c r="A284" s="8" t="inlineStr">
        <is>
          <t>PGCV_0074_6278</t>
        </is>
      </c>
      <c r="B284" s="8" t="inlineStr">
        <is>
          <t>WVMC-SC2-23-033771</t>
        </is>
      </c>
      <c r="C284" s="8" t="inlineStr">
        <is>
          <t>SAN JOAQUIN MOTHER AND CHILD HOSPITAL</t>
        </is>
      </c>
      <c r="D284" s="7" t="n">
        <v>6</v>
      </c>
      <c r="E284" s="8" t="inlineStr">
        <is>
          <t>Region VI (Western Visayas)</t>
        </is>
      </c>
      <c r="F284" s="7" t="n"/>
      <c r="G284" s="27" t="n">
        <v>45256</v>
      </c>
      <c r="H284" s="7" t="n">
        <v>17</v>
      </c>
      <c r="I284" s="7" t="inlineStr">
        <is>
          <t>F</t>
        </is>
      </c>
      <c r="J284" s="8" t="inlineStr">
        <is>
          <t>Admitted</t>
        </is>
      </c>
      <c r="K284" s="28" t="n"/>
      <c r="L284" s="28" t="n"/>
      <c r="M284" s="28" t="n"/>
      <c r="N284" s="28" t="n">
        <v>30.49</v>
      </c>
      <c r="O284" s="8" t="n"/>
      <c r="P284" s="8" t="n"/>
    </row>
    <row r="285">
      <c r="A285" s="8" t="inlineStr">
        <is>
          <t>PGCV_0074_6286</t>
        </is>
      </c>
      <c r="B285" s="8" t="inlineStr">
        <is>
          <t>WVMC-SC2-23-033954</t>
        </is>
      </c>
      <c r="C285" s="8" t="inlineStr">
        <is>
          <t>REP. PEDRO G. TRONO MEMORIAL HOSPITAL</t>
        </is>
      </c>
      <c r="D285" s="7" t="n">
        <v>6</v>
      </c>
      <c r="E285" s="8" t="inlineStr">
        <is>
          <t>Region VI (Western Visayas)</t>
        </is>
      </c>
      <c r="F285" s="7" t="n"/>
      <c r="G285" s="27" t="n">
        <v>45259</v>
      </c>
      <c r="H285" s="7" t="n">
        <v>0</v>
      </c>
      <c r="I285" s="7" t="inlineStr">
        <is>
          <t>F</t>
        </is>
      </c>
      <c r="J285" s="8" t="inlineStr">
        <is>
          <t>Admitted</t>
        </is>
      </c>
      <c r="K285" s="28" t="n"/>
      <c r="L285" s="28" t="n"/>
      <c r="M285" s="28" t="n"/>
      <c r="N285" s="28" t="n">
        <v>29.13</v>
      </c>
      <c r="O285" s="8" t="n"/>
      <c r="P285" s="8" t="n"/>
    </row>
    <row r="286">
      <c r="A286" s="8" t="inlineStr">
        <is>
          <t>PGCV_0074_6289</t>
        </is>
      </c>
      <c r="B286" s="8" t="inlineStr">
        <is>
          <t>WVMC-SC2-23-033988</t>
        </is>
      </c>
      <c r="C286" s="8" t="inlineStr">
        <is>
          <t>WESTERN VISAYAS MEDICAL CENTER</t>
        </is>
      </c>
      <c r="D286" s="7" t="n">
        <v>6</v>
      </c>
      <c r="E286" s="8" t="inlineStr">
        <is>
          <t>Region VI (Western Visayas)</t>
        </is>
      </c>
      <c r="F286" s="7" t="n"/>
      <c r="G286" s="27" t="n">
        <v>45260</v>
      </c>
      <c r="H286" s="7" t="n">
        <v>33</v>
      </c>
      <c r="I286" s="7" t="inlineStr">
        <is>
          <t>F</t>
        </is>
      </c>
      <c r="J286" s="8" t="inlineStr">
        <is>
          <t>Cluster</t>
        </is>
      </c>
      <c r="K286" s="28" t="n"/>
      <c r="L286" s="28" t="n"/>
      <c r="M286" s="28" t="n"/>
      <c r="N286" s="28" t="n">
        <v>20.79</v>
      </c>
      <c r="O286" s="8" t="n"/>
      <c r="P286" s="8" t="n"/>
    </row>
    <row r="287">
      <c r="A287" s="8" t="inlineStr">
        <is>
          <t>PGCV_0074_6303</t>
        </is>
      </c>
      <c r="B287" s="8" t="inlineStr">
        <is>
          <t>WVMC-SC2-23-034202</t>
        </is>
      </c>
      <c r="C287" s="8" t="inlineStr">
        <is>
          <t>WESTERN VISAYAS MEDICAL CENTER</t>
        </is>
      </c>
      <c r="D287" s="7" t="n">
        <v>6</v>
      </c>
      <c r="E287" s="8" t="inlineStr">
        <is>
          <t>Region VI (Western Visayas)</t>
        </is>
      </c>
      <c r="F287" s="7" t="n"/>
      <c r="G287" s="27" t="n">
        <v>45263</v>
      </c>
      <c r="H287" s="7" t="n">
        <v>0</v>
      </c>
      <c r="I287" s="7" t="inlineStr">
        <is>
          <t>M</t>
        </is>
      </c>
      <c r="J287" s="8" t="inlineStr">
        <is>
          <t>Admitted</t>
        </is>
      </c>
      <c r="K287" s="28" t="n"/>
      <c r="L287" s="28" t="n"/>
      <c r="M287" s="28" t="n"/>
      <c r="N287" s="28" t="n">
        <v>28.48</v>
      </c>
      <c r="O287" s="8" t="n"/>
      <c r="P287" s="8" t="n"/>
    </row>
    <row r="288">
      <c r="A288" s="8" t="inlineStr">
        <is>
          <t>PGCV_0074_6310</t>
        </is>
      </c>
      <c r="B288" s="8" t="inlineStr">
        <is>
          <t>1203B150957</t>
        </is>
      </c>
      <c r="C288" s="8" t="inlineStr">
        <is>
          <t>CLMMRH-ML</t>
        </is>
      </c>
      <c r="D288" s="7" t="n">
        <v>6</v>
      </c>
      <c r="E288" s="8" t="inlineStr">
        <is>
          <t>Region VI (Western Visayas)</t>
        </is>
      </c>
      <c r="F288" s="7" t="n"/>
      <c r="G288" s="27" t="n">
        <v>45240</v>
      </c>
      <c r="H288" s="7" t="n">
        <v>48</v>
      </c>
      <c r="I288" s="7" t="inlineStr">
        <is>
          <t>F</t>
        </is>
      </c>
      <c r="J288" s="8" t="inlineStr">
        <is>
          <t>Unknown Exposure</t>
        </is>
      </c>
      <c r="K288" s="28" t="n">
        <v>27.6</v>
      </c>
      <c r="L288" s="28" t="n">
        <v>24.6</v>
      </c>
      <c r="M288" s="28" t="n"/>
      <c r="N288" s="28" t="n"/>
      <c r="O288" s="8" t="n"/>
      <c r="P288" s="8" t="n"/>
    </row>
    <row r="289">
      <c r="A289" s="8" t="inlineStr">
        <is>
          <t>PGCV_0074_6323</t>
        </is>
      </c>
      <c r="B289" s="8" t="inlineStr">
        <is>
          <t>1216B151257</t>
        </is>
      </c>
      <c r="C289" s="8" t="inlineStr">
        <is>
          <t>CLMMRH-ML</t>
        </is>
      </c>
      <c r="D289" s="7" t="n">
        <v>6</v>
      </c>
      <c r="E289" s="8" t="inlineStr">
        <is>
          <t>Region VI (Western Visayas)</t>
        </is>
      </c>
      <c r="F289" s="7" t="n"/>
      <c r="G289" s="27" t="n">
        <v>45254</v>
      </c>
      <c r="H289" s="7" t="n">
        <v>21</v>
      </c>
      <c r="I289" s="7" t="inlineStr">
        <is>
          <t>F</t>
        </is>
      </c>
      <c r="J289" s="8" t="inlineStr">
        <is>
          <t>Unknown Exposure</t>
        </is>
      </c>
      <c r="K289" s="28" t="n">
        <v>24.34</v>
      </c>
      <c r="L289" s="28" t="n">
        <v>22.26</v>
      </c>
      <c r="M289" s="28" t="n"/>
      <c r="N289" s="28" t="n"/>
      <c r="O289" s="8" t="n"/>
      <c r="P289" s="8" t="n"/>
    </row>
    <row r="290">
      <c r="A290" s="8" t="inlineStr">
        <is>
          <t>PGCV_0074_6330</t>
        </is>
      </c>
      <c r="B290" s="8" t="inlineStr">
        <is>
          <t>1222B151369</t>
        </is>
      </c>
      <c r="C290" s="8" t="inlineStr">
        <is>
          <t>CLMMRH-ML</t>
        </is>
      </c>
      <c r="D290" s="7" t="n">
        <v>6</v>
      </c>
      <c r="E290" s="8" t="inlineStr">
        <is>
          <t>Region VI (Western Visayas)</t>
        </is>
      </c>
      <c r="F290" s="7" t="n"/>
      <c r="G290" s="27" t="n">
        <v>45259</v>
      </c>
      <c r="H290" s="7" t="n">
        <v>21</v>
      </c>
      <c r="I290" s="7" t="inlineStr">
        <is>
          <t>F</t>
        </is>
      </c>
      <c r="J290" s="8" t="inlineStr">
        <is>
          <t>Unknown Exposure</t>
        </is>
      </c>
      <c r="K290" s="28" t="n">
        <v>25.32</v>
      </c>
      <c r="L290" s="28" t="n">
        <v>23.43</v>
      </c>
      <c r="M290" s="28" t="n"/>
      <c r="N290" s="28" t="n"/>
      <c r="O290" s="8" t="n"/>
      <c r="P290" s="8" t="n"/>
    </row>
    <row r="291">
      <c r="A291" s="8" t="inlineStr">
        <is>
          <t>PGCV_0075_6355</t>
        </is>
      </c>
      <c r="B291" s="8" t="inlineStr">
        <is>
          <t>WVMC-SC2-23-034374</t>
        </is>
      </c>
      <c r="C291" s="8" t="inlineStr">
        <is>
          <t>WESTERN VISAYAS MEDICAL CENTER</t>
        </is>
      </c>
      <c r="D291" s="7" t="n">
        <v>6</v>
      </c>
      <c r="E291" s="8" t="inlineStr">
        <is>
          <t>Region VI (Western Visayas)</t>
        </is>
      </c>
      <c r="F291" s="7" t="n"/>
      <c r="G291" s="27" t="n">
        <v>45265</v>
      </c>
      <c r="H291" s="7" t="n">
        <v>42</v>
      </c>
      <c r="I291" s="7" t="inlineStr">
        <is>
          <t>F</t>
        </is>
      </c>
      <c r="J291" s="8" t="inlineStr">
        <is>
          <t>Admitted</t>
        </is>
      </c>
      <c r="K291" s="28" t="n"/>
      <c r="L291" s="28" t="n"/>
      <c r="M291" s="28" t="n"/>
      <c r="N291" s="28" t="n">
        <v>27.17</v>
      </c>
      <c r="O291" s="8" t="n"/>
      <c r="P291" s="8" t="n"/>
    </row>
    <row r="292">
      <c r="A292" s="8" t="inlineStr">
        <is>
          <t>PGCV_0075_6360</t>
        </is>
      </c>
      <c r="B292" s="8" t="inlineStr">
        <is>
          <t>WVMC-SC2-23-034441</t>
        </is>
      </c>
      <c r="C292" s="8" t="inlineStr">
        <is>
          <t>WESTERN VISAYAS MEDICAL CENTER</t>
        </is>
      </c>
      <c r="D292" s="7" t="n">
        <v>6</v>
      </c>
      <c r="E292" s="8" t="inlineStr">
        <is>
          <t>Region VI (Western Visayas)</t>
        </is>
      </c>
      <c r="F292" s="7" t="n"/>
      <c r="G292" s="27" t="n">
        <v>45266</v>
      </c>
      <c r="H292" s="7" t="n">
        <v>29</v>
      </c>
      <c r="I292" s="7" t="inlineStr">
        <is>
          <t>F</t>
        </is>
      </c>
      <c r="J292" s="8" t="inlineStr">
        <is>
          <t>Cluster</t>
        </is>
      </c>
      <c r="K292" s="28" t="n"/>
      <c r="L292" s="28" t="n"/>
      <c r="M292" s="28" t="n"/>
      <c r="N292" s="28" t="n">
        <v>25.43</v>
      </c>
      <c r="O292" s="8" t="n"/>
      <c r="P292" s="8" t="n"/>
    </row>
    <row r="293">
      <c r="A293" s="8" t="inlineStr">
        <is>
          <t>PGCV_0075_6363</t>
        </is>
      </c>
      <c r="B293" s="8" t="inlineStr">
        <is>
          <t>WVMC-SC2-23-034502</t>
        </is>
      </c>
      <c r="C293" s="8" t="inlineStr">
        <is>
          <t>ILOILO MISSION HOSPITAL</t>
        </is>
      </c>
      <c r="D293" s="7" t="n">
        <v>6</v>
      </c>
      <c r="E293" s="8" t="inlineStr">
        <is>
          <t>Region VI (Western Visayas)</t>
        </is>
      </c>
      <c r="F293" s="7" t="n"/>
      <c r="G293" s="27" t="n">
        <v>45267</v>
      </c>
      <c r="H293" s="7" t="n">
        <v>82</v>
      </c>
      <c r="I293" s="7" t="inlineStr">
        <is>
          <t>M</t>
        </is>
      </c>
      <c r="J293" s="8" t="inlineStr">
        <is>
          <t>Admitted</t>
        </is>
      </c>
      <c r="K293" s="28" t="n"/>
      <c r="L293" s="28" t="n"/>
      <c r="M293" s="28" t="n"/>
      <c r="N293" s="28" t="n">
        <v>25.92</v>
      </c>
      <c r="O293" s="8" t="n"/>
      <c r="P293" s="8" t="n"/>
    </row>
    <row r="294">
      <c r="A294" s="8" t="inlineStr">
        <is>
          <t>PGCV_0075_6371</t>
        </is>
      </c>
      <c r="B294" s="8" t="inlineStr">
        <is>
          <t>WVMC-SC2-23-034587</t>
        </is>
      </c>
      <c r="C294" s="8" t="inlineStr">
        <is>
          <t>WESTERN VISAYAS MEDICAL CENTER</t>
        </is>
      </c>
      <c r="D294" s="7" t="n">
        <v>6</v>
      </c>
      <c r="E294" s="8" t="inlineStr">
        <is>
          <t>Region VI (Western Visayas)</t>
        </is>
      </c>
      <c r="F294" s="7" t="n"/>
      <c r="G294" s="27" t="n">
        <v>45269</v>
      </c>
      <c r="H294" s="7" t="n">
        <v>63</v>
      </c>
      <c r="I294" s="7" t="inlineStr">
        <is>
          <t>F</t>
        </is>
      </c>
      <c r="J294" s="8" t="inlineStr">
        <is>
          <t>Cluster</t>
        </is>
      </c>
      <c r="K294" s="28" t="n"/>
      <c r="L294" s="28" t="n"/>
      <c r="M294" s="28" t="n"/>
      <c r="N294" s="28" t="n">
        <v>30.63</v>
      </c>
      <c r="O294" s="8" t="n"/>
      <c r="P294" s="8" t="n"/>
    </row>
    <row r="295">
      <c r="A295" s="8" t="inlineStr">
        <is>
          <t>PGCV_0075_6383</t>
        </is>
      </c>
      <c r="B295" s="8" t="inlineStr">
        <is>
          <t>WVMC-SC2-23-034697</t>
        </is>
      </c>
      <c r="C295" s="8" t="inlineStr">
        <is>
          <t>WESTERN VISAYAS MEDICAL CENTER</t>
        </is>
      </c>
      <c r="D295" s="7" t="n">
        <v>6</v>
      </c>
      <c r="E295" s="8" t="inlineStr">
        <is>
          <t>Region VI (Western Visayas)</t>
        </is>
      </c>
      <c r="F295" s="7" t="n"/>
      <c r="G295" s="27" t="n">
        <v>45271</v>
      </c>
      <c r="H295" s="7" t="n">
        <v>55</v>
      </c>
      <c r="I295" s="7" t="inlineStr">
        <is>
          <t>F</t>
        </is>
      </c>
      <c r="J295" s="8" t="inlineStr">
        <is>
          <t>Cluster</t>
        </is>
      </c>
      <c r="K295" s="28" t="n"/>
      <c r="L295" s="28" t="n"/>
      <c r="M295" s="28" t="n"/>
      <c r="N295" s="28" t="n">
        <v>28.59</v>
      </c>
      <c r="O295" s="8" t="n"/>
      <c r="P295" s="8" t="n"/>
    </row>
    <row r="296">
      <c r="A296" s="8" t="inlineStr">
        <is>
          <t>PGCV_0075_6384</t>
        </is>
      </c>
      <c r="B296" s="8" t="inlineStr">
        <is>
          <t>WVMC-SC2-23-034710</t>
        </is>
      </c>
      <c r="C296" s="8" t="inlineStr">
        <is>
          <t>SAN JOAQUIN MOTHER AND CHILD HOSPITAL</t>
        </is>
      </c>
      <c r="D296" s="7" t="n">
        <v>6</v>
      </c>
      <c r="E296" s="8" t="inlineStr">
        <is>
          <t>Region VI (Western Visayas)</t>
        </is>
      </c>
      <c r="F296" s="7" t="n"/>
      <c r="G296" s="27" t="n">
        <v>45271</v>
      </c>
      <c r="H296" s="7" t="n">
        <v>39</v>
      </c>
      <c r="I296" s="7" t="inlineStr">
        <is>
          <t>F</t>
        </is>
      </c>
      <c r="J296" s="8" t="inlineStr">
        <is>
          <t>Cluster</t>
        </is>
      </c>
      <c r="K296" s="28" t="n"/>
      <c r="L296" s="28" t="n"/>
      <c r="M296" s="28" t="n"/>
      <c r="N296" s="28" t="n">
        <v>30.02</v>
      </c>
      <c r="O296" s="8" t="n"/>
      <c r="P296" s="8" t="n"/>
    </row>
    <row r="297">
      <c r="A297" s="8" t="inlineStr">
        <is>
          <t>PGCV_0075_6385</t>
        </is>
      </c>
      <c r="B297" s="8" t="inlineStr">
        <is>
          <t>WVMC-SC2-23-034713</t>
        </is>
      </c>
      <c r="C297" s="8" t="inlineStr">
        <is>
          <t>WESTERN VISAYAS MEDICAL CENTER</t>
        </is>
      </c>
      <c r="D297" s="7" t="n">
        <v>6</v>
      </c>
      <c r="E297" s="8" t="inlineStr">
        <is>
          <t>Region VI (Western Visayas)</t>
        </is>
      </c>
      <c r="F297" s="7" t="n"/>
      <c r="G297" s="27" t="n">
        <v>45271</v>
      </c>
      <c r="H297" s="7" t="n">
        <v>41</v>
      </c>
      <c r="I297" s="7" t="inlineStr">
        <is>
          <t>F</t>
        </is>
      </c>
      <c r="J297" s="8" t="inlineStr">
        <is>
          <t>Cluster</t>
        </is>
      </c>
      <c r="K297" s="28" t="n"/>
      <c r="L297" s="28" t="n"/>
      <c r="M297" s="28" t="n"/>
      <c r="N297" s="28" t="n">
        <v>27.43</v>
      </c>
      <c r="O297" s="8" t="n"/>
      <c r="P297" s="8" t="n"/>
    </row>
    <row r="298">
      <c r="A298" s="8" t="inlineStr">
        <is>
          <t>PGCV_0075_6392</t>
        </is>
      </c>
      <c r="B298" s="8" t="inlineStr">
        <is>
          <t>WVMC-SC2-23-034723</t>
        </is>
      </c>
      <c r="C298" s="8" t="inlineStr">
        <is>
          <t>DR. CATALINO GALLEGO NAVA PROVINCIAL HOSPITAL</t>
        </is>
      </c>
      <c r="D298" s="7" t="n">
        <v>6</v>
      </c>
      <c r="E298" s="8" t="inlineStr">
        <is>
          <t>Region VI (Western Visayas)</t>
        </is>
      </c>
      <c r="F298" s="7" t="n"/>
      <c r="G298" s="27" t="n">
        <v>45271</v>
      </c>
      <c r="H298" s="7" t="n">
        <v>70</v>
      </c>
      <c r="I298" s="7" t="inlineStr">
        <is>
          <t>F</t>
        </is>
      </c>
      <c r="J298" s="8" t="inlineStr">
        <is>
          <t>Admitted</t>
        </is>
      </c>
      <c r="K298" s="28" t="n"/>
      <c r="L298" s="28" t="n"/>
      <c r="M298" s="28" t="n"/>
      <c r="N298" s="28" t="n">
        <v>28.62</v>
      </c>
      <c r="O298" s="8" t="n"/>
      <c r="P298" s="8" t="n"/>
    </row>
    <row r="299">
      <c r="A299" s="8" t="inlineStr">
        <is>
          <t>PGCV_0075_6406</t>
        </is>
      </c>
      <c r="B299" s="8" t="inlineStr">
        <is>
          <t>WVMC-SC2-23-034865</t>
        </is>
      </c>
      <c r="C299" s="8" t="inlineStr">
        <is>
          <t>WESTERN VISAYAS SANITARIUM</t>
        </is>
      </c>
      <c r="D299" s="7" t="n">
        <v>6</v>
      </c>
      <c r="E299" s="8" t="inlineStr">
        <is>
          <t>Region VI (Western Visayas)</t>
        </is>
      </c>
      <c r="F299" s="7" t="n"/>
      <c r="G299" s="27" t="n">
        <v>45272</v>
      </c>
      <c r="H299" s="7" t="n">
        <v>0</v>
      </c>
      <c r="I299" s="7" t="inlineStr">
        <is>
          <t>M</t>
        </is>
      </c>
      <c r="J299" s="8" t="inlineStr">
        <is>
          <t>Admitted</t>
        </is>
      </c>
      <c r="K299" s="28" t="n"/>
      <c r="L299" s="28" t="n"/>
      <c r="M299" s="28" t="n"/>
      <c r="N299" s="28" t="n">
        <v>25.77</v>
      </c>
      <c r="O299" s="8" t="n"/>
      <c r="P299" s="8" t="n"/>
    </row>
    <row r="300">
      <c r="A300" s="8" t="inlineStr">
        <is>
          <t>PGCV_0075_6407</t>
        </is>
      </c>
      <c r="B300" s="8" t="inlineStr">
        <is>
          <t>WVMC-SC2-23-034868</t>
        </is>
      </c>
      <c r="C300" s="8" t="inlineStr">
        <is>
          <t>WESTERN VISAYAS MEDICAL CENTER</t>
        </is>
      </c>
      <c r="D300" s="7" t="n">
        <v>6</v>
      </c>
      <c r="E300" s="8" t="inlineStr">
        <is>
          <t>Region VI (Western Visayas)</t>
        </is>
      </c>
      <c r="F300" s="7" t="n"/>
      <c r="G300" s="27" t="n">
        <v>45273</v>
      </c>
      <c r="H300" s="7" t="n">
        <v>33</v>
      </c>
      <c r="I300" s="7" t="inlineStr">
        <is>
          <t>F</t>
        </is>
      </c>
      <c r="J300" s="8" t="inlineStr">
        <is>
          <t>Cluster</t>
        </is>
      </c>
      <c r="K300" s="28" t="n"/>
      <c r="L300" s="28" t="n"/>
      <c r="M300" s="28" t="n"/>
      <c r="N300" s="28" t="n">
        <v>29.44</v>
      </c>
      <c r="O300" s="8" t="n"/>
      <c r="P300" s="8" t="n"/>
    </row>
    <row r="301">
      <c r="A301" s="8" t="inlineStr">
        <is>
          <t>PGCV_0075_6412</t>
        </is>
      </c>
      <c r="B301" s="8" t="inlineStr">
        <is>
          <t>WVMC-SC2-23-034902</t>
        </is>
      </c>
      <c r="C301" s="8" t="inlineStr">
        <is>
          <t>WESTERN VISAYAS MEDICAL CENTER</t>
        </is>
      </c>
      <c r="D301" s="7" t="n">
        <v>6</v>
      </c>
      <c r="E301" s="8" t="inlineStr">
        <is>
          <t>Region VI (Western Visayas)</t>
        </is>
      </c>
      <c r="F301" s="7" t="n"/>
      <c r="G301" s="27" t="n">
        <v>45273</v>
      </c>
      <c r="H301" s="7" t="n">
        <v>87</v>
      </c>
      <c r="I301" s="7" t="inlineStr">
        <is>
          <t>F</t>
        </is>
      </c>
      <c r="J301" s="8" t="inlineStr">
        <is>
          <t>Admitted</t>
        </is>
      </c>
      <c r="K301" s="28" t="n"/>
      <c r="L301" s="28" t="n"/>
      <c r="M301" s="28" t="n"/>
      <c r="N301" s="28" t="n">
        <v>29.2</v>
      </c>
      <c r="O301" s="8" t="n"/>
      <c r="P301" s="8" t="n"/>
    </row>
    <row r="302">
      <c r="A302" s="8" t="inlineStr">
        <is>
          <t>PGCV_0075_6413</t>
        </is>
      </c>
      <c r="B302" s="8" t="inlineStr">
        <is>
          <t>WVMC-SC2-23-034914</t>
        </is>
      </c>
      <c r="C302" s="8" t="inlineStr">
        <is>
          <t>WESTERN VISAYAS MEDICAL CENTER</t>
        </is>
      </c>
      <c r="D302" s="7" t="n">
        <v>6</v>
      </c>
      <c r="E302" s="8" t="inlineStr">
        <is>
          <t>Region VI (Western Visayas)</t>
        </is>
      </c>
      <c r="F302" s="7" t="n"/>
      <c r="G302" s="27" t="n">
        <v>45274</v>
      </c>
      <c r="H302" s="7" t="n">
        <v>30</v>
      </c>
      <c r="I302" s="7" t="inlineStr">
        <is>
          <t>F</t>
        </is>
      </c>
      <c r="J302" s="8" t="inlineStr">
        <is>
          <t>Admitted</t>
        </is>
      </c>
      <c r="K302" s="28" t="n"/>
      <c r="L302" s="28" t="n"/>
      <c r="M302" s="28" t="n"/>
      <c r="N302" s="28" t="n">
        <v>29.36</v>
      </c>
      <c r="O302" s="8" t="n"/>
      <c r="P302" s="8" t="n"/>
    </row>
    <row r="303">
      <c r="A303" s="8" t="inlineStr">
        <is>
          <t>PGCV_0075_6415</t>
        </is>
      </c>
      <c r="B303" s="8" t="inlineStr">
        <is>
          <t>WVMC-SC2-23-034918</t>
        </is>
      </c>
      <c r="C303" s="8" t="inlineStr">
        <is>
          <t>WESTERN VISAYAS MEDICAL CENTER</t>
        </is>
      </c>
      <c r="D303" s="7" t="n">
        <v>6</v>
      </c>
      <c r="E303" s="8" t="inlineStr">
        <is>
          <t>Region VI (Western Visayas)</t>
        </is>
      </c>
      <c r="F303" s="7" t="n"/>
      <c r="G303" s="27" t="n">
        <v>45274</v>
      </c>
      <c r="H303" s="7" t="n">
        <v>46</v>
      </c>
      <c r="I303" s="7" t="inlineStr">
        <is>
          <t>F</t>
        </is>
      </c>
      <c r="J303" s="8" t="inlineStr">
        <is>
          <t>Admitted</t>
        </is>
      </c>
      <c r="K303" s="28" t="n"/>
      <c r="L303" s="28" t="n"/>
      <c r="M303" s="28" t="n"/>
      <c r="N303" s="28" t="n">
        <v>27.48</v>
      </c>
      <c r="O303" s="8" t="n"/>
      <c r="P303" s="8" t="n"/>
    </row>
    <row r="304">
      <c r="A304" s="8" t="inlineStr">
        <is>
          <t>PGCV_0075_6442</t>
        </is>
      </c>
      <c r="B304" s="8" t="inlineStr">
        <is>
          <t>WVMC-SC2-23-035037</t>
        </is>
      </c>
      <c r="C304" s="8" t="inlineStr">
        <is>
          <t>WESTERN VISAYAS MEDICAL CENTER</t>
        </is>
      </c>
      <c r="D304" s="7" t="n">
        <v>6</v>
      </c>
      <c r="E304" s="8" t="inlineStr">
        <is>
          <t>Region VI (Western Visayas)</t>
        </is>
      </c>
      <c r="F304" s="7" t="n"/>
      <c r="G304" s="27" t="n">
        <v>45276</v>
      </c>
      <c r="H304" s="7" t="n">
        <v>1</v>
      </c>
      <c r="I304" s="7" t="inlineStr">
        <is>
          <t>M</t>
        </is>
      </c>
      <c r="J304" s="8" t="inlineStr">
        <is>
          <t>Cluster</t>
        </is>
      </c>
      <c r="K304" s="28" t="n"/>
      <c r="L304" s="28" t="n"/>
      <c r="M304" s="28" t="n"/>
      <c r="N304" s="28" t="n">
        <v>29.55</v>
      </c>
      <c r="O304" s="8" t="n"/>
      <c r="P304" s="8" t="n"/>
    </row>
    <row r="305">
      <c r="A305" s="8" t="inlineStr">
        <is>
          <t>PGCV_0075_6466</t>
        </is>
      </c>
      <c r="B305" s="8" t="inlineStr">
        <is>
          <t>WVMC-SC2-23-035136</t>
        </is>
      </c>
      <c r="C305" s="8" t="inlineStr">
        <is>
          <t>WESTERN VISAYAS MEDICAL CENTER</t>
        </is>
      </c>
      <c r="D305" s="7" t="n">
        <v>6</v>
      </c>
      <c r="E305" s="8" t="inlineStr">
        <is>
          <t>Region VI (Western Visayas)</t>
        </is>
      </c>
      <c r="F305" s="7" t="n"/>
      <c r="G305" s="27" t="n">
        <v>45277</v>
      </c>
      <c r="H305" s="7" t="n">
        <v>77</v>
      </c>
      <c r="I305" s="7" t="inlineStr">
        <is>
          <t>M</t>
        </is>
      </c>
      <c r="J305" s="8" t="inlineStr">
        <is>
          <t>Cluster</t>
        </is>
      </c>
      <c r="K305" s="28" t="n"/>
      <c r="L305" s="28" t="n"/>
      <c r="M305" s="28" t="n"/>
      <c r="N305" s="28" t="n">
        <v>30.44</v>
      </c>
      <c r="O305" s="8" t="n"/>
      <c r="P305" s="8" t="n"/>
    </row>
    <row r="306">
      <c r="A306" s="8" t="inlineStr">
        <is>
          <t>PGCV_0075_6467</t>
        </is>
      </c>
      <c r="B306" s="8" t="inlineStr">
        <is>
          <t>WVMC-SC2-23-035142</t>
        </is>
      </c>
      <c r="C306" s="8" t="inlineStr">
        <is>
          <t>DR. CATALINO GALLEGO NAVA PROVINCIAL HOSPITAL</t>
        </is>
      </c>
      <c r="D306" s="7" t="n">
        <v>6</v>
      </c>
      <c r="E306" s="8" t="inlineStr">
        <is>
          <t>Region VI (Western Visayas)</t>
        </is>
      </c>
      <c r="F306" s="7" t="n"/>
      <c r="G306" s="27" t="n">
        <v>45276</v>
      </c>
      <c r="H306" s="7" t="n">
        <v>69</v>
      </c>
      <c r="I306" s="7" t="inlineStr">
        <is>
          <t>F</t>
        </is>
      </c>
      <c r="J306" s="8" t="inlineStr">
        <is>
          <t>Cluster</t>
        </is>
      </c>
      <c r="K306" s="28" t="n"/>
      <c r="L306" s="28" t="n"/>
      <c r="M306" s="28" t="n"/>
      <c r="N306" s="28" t="n">
        <v>29.8</v>
      </c>
      <c r="O306" s="8" t="n"/>
      <c r="P306" s="8" t="n"/>
    </row>
    <row r="307">
      <c r="A307" s="8" t="inlineStr">
        <is>
          <t>PGCV_0075_6468</t>
        </is>
      </c>
      <c r="B307" s="8" t="inlineStr">
        <is>
          <t>WVMC-SC2-23-035143</t>
        </is>
      </c>
      <c r="C307" s="8" t="inlineStr">
        <is>
          <t>ILOILO MISSION HOSPITAL</t>
        </is>
      </c>
      <c r="D307" s="7" t="n">
        <v>6</v>
      </c>
      <c r="E307" s="8" t="inlineStr">
        <is>
          <t>Region VI (Western Visayas)</t>
        </is>
      </c>
      <c r="F307" s="7" t="n"/>
      <c r="G307" s="27" t="n">
        <v>45277</v>
      </c>
      <c r="H307" s="7" t="n">
        <v>48</v>
      </c>
      <c r="I307" s="7" t="inlineStr">
        <is>
          <t>M</t>
        </is>
      </c>
      <c r="J307" s="8" t="inlineStr">
        <is>
          <t>Admitted</t>
        </is>
      </c>
      <c r="K307" s="28" t="n"/>
      <c r="L307" s="28" t="n"/>
      <c r="M307" s="28" t="n"/>
      <c r="N307" s="28" t="n">
        <v>29.01</v>
      </c>
      <c r="O307" s="8" t="n"/>
      <c r="P307" s="8" t="n"/>
    </row>
    <row r="308">
      <c r="A308" s="8" t="inlineStr">
        <is>
          <t>PGCV_0075_6469</t>
        </is>
      </c>
      <c r="B308" s="8" t="inlineStr">
        <is>
          <t>WVMC-SC2-23-035151</t>
        </is>
      </c>
      <c r="C308" s="8" t="inlineStr">
        <is>
          <t>RAMON TABIANA MEMORIAL DISTRICT HOSPITAL</t>
        </is>
      </c>
      <c r="D308" s="7" t="n">
        <v>6</v>
      </c>
      <c r="E308" s="8" t="inlineStr">
        <is>
          <t>Region VI (Western Visayas)</t>
        </is>
      </c>
      <c r="F308" s="7" t="n"/>
      <c r="G308" s="27" t="n">
        <v>45276</v>
      </c>
      <c r="H308" s="7" t="n">
        <v>76</v>
      </c>
      <c r="I308" s="7" t="inlineStr">
        <is>
          <t>F</t>
        </is>
      </c>
      <c r="J308" s="8" t="inlineStr">
        <is>
          <t>Admitted</t>
        </is>
      </c>
      <c r="K308" s="28" t="n"/>
      <c r="L308" s="28" t="n"/>
      <c r="M308" s="28" t="n"/>
      <c r="N308" s="28" t="n">
        <v>15.39</v>
      </c>
      <c r="O308" s="8" t="n"/>
      <c r="P308" s="8" t="n"/>
    </row>
    <row r="309">
      <c r="A309" s="8" t="inlineStr">
        <is>
          <t>PGCV_0075_6474</t>
        </is>
      </c>
      <c r="B309" s="8" t="inlineStr">
        <is>
          <t>WVMC-SC2-23-035223</t>
        </is>
      </c>
      <c r="C309" s="8" t="inlineStr">
        <is>
          <t>WESTERN VISAYAS MEDICAL CENTER</t>
        </is>
      </c>
      <c r="D309" s="7" t="n">
        <v>6</v>
      </c>
      <c r="E309" s="8" t="inlineStr">
        <is>
          <t>Region VI (Western Visayas)</t>
        </is>
      </c>
      <c r="F309" s="7" t="n"/>
      <c r="G309" s="27" t="n">
        <v>45279</v>
      </c>
      <c r="H309" s="7" t="n">
        <v>48</v>
      </c>
      <c r="I309" s="7" t="inlineStr">
        <is>
          <t>M</t>
        </is>
      </c>
      <c r="J309" s="8" t="inlineStr">
        <is>
          <t>Admitted</t>
        </is>
      </c>
      <c r="K309" s="28" t="n"/>
      <c r="L309" s="28" t="n"/>
      <c r="M309" s="28" t="n"/>
      <c r="N309" s="28" t="n">
        <v>28.67</v>
      </c>
      <c r="O309" s="8" t="n"/>
      <c r="P309" s="8" t="n"/>
    </row>
    <row r="310">
      <c r="A310" s="8" t="inlineStr">
        <is>
          <t>PGCV_0075_6475</t>
        </is>
      </c>
      <c r="B310" s="8" t="inlineStr">
        <is>
          <t>WVMC-SC2-23-035233</t>
        </is>
      </c>
      <c r="C310" s="8" t="inlineStr">
        <is>
          <t>LEON RURAL HEALTH UNIT</t>
        </is>
      </c>
      <c r="D310" s="7" t="n">
        <v>6</v>
      </c>
      <c r="E310" s="8" t="inlineStr">
        <is>
          <t>Region VI (Western Visayas)</t>
        </is>
      </c>
      <c r="F310" s="7" t="n"/>
      <c r="G310" s="27" t="n">
        <v>45279</v>
      </c>
      <c r="H310" s="7" t="n">
        <v>70</v>
      </c>
      <c r="I310" s="7" t="inlineStr">
        <is>
          <t>M</t>
        </is>
      </c>
      <c r="J310" s="8" t="inlineStr">
        <is>
          <t>Cluster</t>
        </is>
      </c>
      <c r="K310" s="28" t="n"/>
      <c r="L310" s="28" t="n"/>
      <c r="M310" s="28" t="n"/>
      <c r="N310" s="28" t="n">
        <v>29.82</v>
      </c>
      <c r="O310" s="8" t="n"/>
      <c r="P310" s="8" t="n"/>
    </row>
    <row r="311">
      <c r="A311" s="8" t="inlineStr">
        <is>
          <t>PGCV_0075_6494</t>
        </is>
      </c>
      <c r="B311" s="8" t="inlineStr">
        <is>
          <t>WVMC-SC2-23-035373</t>
        </is>
      </c>
      <c r="C311" s="8" t="inlineStr">
        <is>
          <t>WESTERN VISAYAS MEDICAL CENTER</t>
        </is>
      </c>
      <c r="D311" s="7" t="n">
        <v>6</v>
      </c>
      <c r="E311" s="8" t="inlineStr">
        <is>
          <t>Region VI (Western Visayas)</t>
        </is>
      </c>
      <c r="F311" s="7" t="n"/>
      <c r="G311" s="27" t="n">
        <v>45280</v>
      </c>
      <c r="H311" s="7" t="n">
        <v>50</v>
      </c>
      <c r="I311" s="7" t="inlineStr">
        <is>
          <t>M</t>
        </is>
      </c>
      <c r="J311" s="8" t="inlineStr">
        <is>
          <t>Cluster</t>
        </is>
      </c>
      <c r="K311" s="28" t="n"/>
      <c r="L311" s="28" t="n"/>
      <c r="M311" s="28" t="n"/>
      <c r="N311" s="28" t="n">
        <v>23.81</v>
      </c>
      <c r="O311" s="8" t="n"/>
      <c r="P311" s="8" t="n"/>
    </row>
    <row r="312">
      <c r="A312" s="8" t="inlineStr">
        <is>
          <t>PGCV_0075_6501</t>
        </is>
      </c>
      <c r="B312" s="8" t="inlineStr">
        <is>
          <t>WVMC-SC2-23-035443</t>
        </is>
      </c>
      <c r="C312" s="8" t="inlineStr">
        <is>
          <t>CAPIZ DOCTOR'S HOSPITAL INC</t>
        </is>
      </c>
      <c r="D312" s="7" t="n">
        <v>6</v>
      </c>
      <c r="E312" s="8" t="inlineStr">
        <is>
          <t>Region VI (Western Visayas)</t>
        </is>
      </c>
      <c r="F312" s="7" t="n"/>
      <c r="G312" s="27" t="n">
        <v>45280</v>
      </c>
      <c r="H312" s="7" t="n">
        <v>55</v>
      </c>
      <c r="I312" s="7" t="inlineStr">
        <is>
          <t>M</t>
        </is>
      </c>
      <c r="J312" s="8" t="inlineStr">
        <is>
          <t>Cluster</t>
        </is>
      </c>
      <c r="K312" s="28" t="n"/>
      <c r="L312" s="28" t="n"/>
      <c r="M312" s="28" t="n"/>
      <c r="N312" s="28" t="n">
        <v>18.93</v>
      </c>
      <c r="O312" s="8" t="n"/>
      <c r="P312" s="8" t="n"/>
    </row>
    <row r="313">
      <c r="A313" s="8" t="inlineStr">
        <is>
          <t>PGCV_0075_6502</t>
        </is>
      </c>
      <c r="B313" s="8" t="inlineStr">
        <is>
          <t>WVMC-SC2-23-035445</t>
        </is>
      </c>
      <c r="C313" s="8" t="inlineStr">
        <is>
          <t>CAPIZ PHO</t>
        </is>
      </c>
      <c r="D313" s="7" t="n">
        <v>6</v>
      </c>
      <c r="E313" s="8" t="inlineStr">
        <is>
          <t>Region VI (Western Visayas)</t>
        </is>
      </c>
      <c r="F313" s="7" t="n"/>
      <c r="G313" s="27" t="n">
        <v>45280</v>
      </c>
      <c r="H313" s="7" t="n">
        <v>56</v>
      </c>
      <c r="I313" s="7" t="inlineStr">
        <is>
          <t>F</t>
        </is>
      </c>
      <c r="J313" s="8" t="inlineStr">
        <is>
          <t>Cluster</t>
        </is>
      </c>
      <c r="K313" s="28" t="n"/>
      <c r="L313" s="28" t="n"/>
      <c r="M313" s="28" t="n"/>
      <c r="N313" s="28" t="n">
        <v>19.51</v>
      </c>
      <c r="O313" s="8" t="n"/>
      <c r="P313" s="8" t="n"/>
    </row>
    <row r="314">
      <c r="A314" s="8" t="inlineStr">
        <is>
          <t>PGCV_0075_6504</t>
        </is>
      </c>
      <c r="B314" s="8" t="inlineStr">
        <is>
          <t>WVMC-SC2-23-035447</t>
        </is>
      </c>
      <c r="C314" s="8" t="inlineStr">
        <is>
          <t>BAILAN DISTRICT HOSPITAL</t>
        </is>
      </c>
      <c r="D314" s="7" t="n">
        <v>6</v>
      </c>
      <c r="E314" s="8" t="inlineStr">
        <is>
          <t>Region VI (Western Visayas)</t>
        </is>
      </c>
      <c r="F314" s="7" t="n"/>
      <c r="G314" s="27" t="n">
        <v>45280</v>
      </c>
      <c r="H314" s="7" t="n">
        <v>68</v>
      </c>
      <c r="I314" s="7" t="inlineStr">
        <is>
          <t>M</t>
        </is>
      </c>
      <c r="J314" s="8" t="inlineStr">
        <is>
          <t>Admitted</t>
        </is>
      </c>
      <c r="K314" s="28" t="n"/>
      <c r="L314" s="28" t="n"/>
      <c r="M314" s="28" t="n"/>
      <c r="N314" s="28" t="n">
        <v>29.62</v>
      </c>
      <c r="O314" s="8" t="n"/>
      <c r="P314" s="8" t="n"/>
    </row>
    <row r="315">
      <c r="A315" s="8" t="inlineStr">
        <is>
          <t>PGCV_0075_6505</t>
        </is>
      </c>
      <c r="B315" s="8" t="inlineStr">
        <is>
          <t>WVMC-SC2-23-035448</t>
        </is>
      </c>
      <c r="C315" s="8" t="inlineStr">
        <is>
          <t>CAPIZ EMMANUEL HOSPITAL, INC.</t>
        </is>
      </c>
      <c r="D315" s="7" t="n">
        <v>6</v>
      </c>
      <c r="E315" s="8" t="inlineStr">
        <is>
          <t>Region VI (Western Visayas)</t>
        </is>
      </c>
      <c r="F315" s="7" t="n"/>
      <c r="G315" s="27" t="n">
        <v>45280</v>
      </c>
      <c r="H315" s="7" t="n">
        <v>61</v>
      </c>
      <c r="I315" s="7" t="inlineStr">
        <is>
          <t>M</t>
        </is>
      </c>
      <c r="J315" s="8" t="inlineStr">
        <is>
          <t>Admitted</t>
        </is>
      </c>
      <c r="K315" s="28" t="n"/>
      <c r="L315" s="28" t="n"/>
      <c r="M315" s="28" t="n"/>
      <c r="N315" s="28" t="n">
        <v>22.81</v>
      </c>
      <c r="O315" s="8" t="n"/>
      <c r="P315" s="8" t="n"/>
    </row>
    <row r="316">
      <c r="A316" s="8" t="inlineStr">
        <is>
          <t>PGCV_0075_6506</t>
        </is>
      </c>
      <c r="B316" s="8" t="inlineStr">
        <is>
          <t>WVMC-SC2-23-035449</t>
        </is>
      </c>
      <c r="C316" s="8" t="inlineStr">
        <is>
          <t>ROXAS MEMORIAL PROVINCIAL HOSPITAL</t>
        </is>
      </c>
      <c r="D316" s="7" t="n">
        <v>6</v>
      </c>
      <c r="E316" s="8" t="inlineStr">
        <is>
          <t>Region VI (Western Visayas)</t>
        </is>
      </c>
      <c r="F316" s="7" t="n"/>
      <c r="G316" s="27" t="n">
        <v>45280</v>
      </c>
      <c r="H316" s="7" t="n">
        <v>81</v>
      </c>
      <c r="I316" s="7" t="inlineStr">
        <is>
          <t>M</t>
        </is>
      </c>
      <c r="J316" s="8" t="inlineStr">
        <is>
          <t>Admitted</t>
        </is>
      </c>
      <c r="K316" s="28" t="n"/>
      <c r="L316" s="28" t="n"/>
      <c r="M316" s="28" t="n"/>
      <c r="N316" s="28" t="n">
        <v>19.8</v>
      </c>
      <c r="O316" s="8" t="n"/>
      <c r="P316" s="8" t="n"/>
    </row>
    <row r="317">
      <c r="A317" s="8" t="inlineStr">
        <is>
          <t>PGCV_0075_6517</t>
        </is>
      </c>
      <c r="B317" s="8" t="inlineStr">
        <is>
          <t>WVMC-SC2-23-035474</t>
        </is>
      </c>
      <c r="C317" s="8" t="inlineStr">
        <is>
          <t>WESTERN VISAYAS MEDICAL CENTER</t>
        </is>
      </c>
      <c r="D317" s="7" t="n">
        <v>6</v>
      </c>
      <c r="E317" s="8" t="inlineStr">
        <is>
          <t>Region VI (Western Visayas)</t>
        </is>
      </c>
      <c r="F317" s="7" t="n"/>
      <c r="G317" s="27" t="n">
        <v>45281</v>
      </c>
      <c r="H317" s="7" t="n">
        <v>55</v>
      </c>
      <c r="I317" s="7" t="inlineStr">
        <is>
          <t>M</t>
        </is>
      </c>
      <c r="J317" s="8" t="inlineStr">
        <is>
          <t>Admitted</t>
        </is>
      </c>
      <c r="K317" s="28" t="n"/>
      <c r="L317" s="28" t="n"/>
      <c r="M317" s="28" t="n"/>
      <c r="N317" s="28" t="n">
        <v>19.78</v>
      </c>
      <c r="O317" s="8" t="n"/>
      <c r="P317" s="8" t="n"/>
    </row>
    <row r="318">
      <c r="A318" s="8" t="inlineStr">
        <is>
          <t>PGCV_0075_6523</t>
        </is>
      </c>
      <c r="B318" s="8" t="inlineStr">
        <is>
          <t>WVMC-SC2-23-035490</t>
        </is>
      </c>
      <c r="C318" s="8" t="inlineStr">
        <is>
          <t>RAMON TABIANA MEMORIAL DISTRICT HOSPITAL</t>
        </is>
      </c>
      <c r="D318" s="7" t="n">
        <v>6</v>
      </c>
      <c r="E318" s="8" t="inlineStr">
        <is>
          <t>Region VI (Western Visayas)</t>
        </is>
      </c>
      <c r="F318" s="7" t="n"/>
      <c r="G318" s="27" t="n">
        <v>45281</v>
      </c>
      <c r="H318" s="7" t="n">
        <v>89</v>
      </c>
      <c r="I318" s="7" t="inlineStr">
        <is>
          <t>F</t>
        </is>
      </c>
      <c r="J318" s="8" t="inlineStr">
        <is>
          <t>Admitted</t>
        </is>
      </c>
      <c r="K318" s="28" t="n"/>
      <c r="L318" s="28" t="n"/>
      <c r="M318" s="28" t="n"/>
      <c r="N318" s="28" t="n">
        <v>17.05</v>
      </c>
      <c r="O318" s="8" t="n"/>
      <c r="P318" s="8" t="n"/>
    </row>
    <row r="319">
      <c r="A319" s="8" t="inlineStr">
        <is>
          <t>PGCV_0075_6524</t>
        </is>
      </c>
      <c r="B319" s="8" t="inlineStr">
        <is>
          <t>WVMC-SC2-23-035513</t>
        </is>
      </c>
      <c r="C319" s="8" t="inlineStr">
        <is>
          <t>WESTERN VISAYAS MEDICAL CENTER</t>
        </is>
      </c>
      <c r="D319" s="7" t="n">
        <v>6</v>
      </c>
      <c r="E319" s="8" t="inlineStr">
        <is>
          <t>Region VI (Western Visayas)</t>
        </is>
      </c>
      <c r="F319" s="7" t="n"/>
      <c r="G319" s="27" t="n">
        <v>45282</v>
      </c>
      <c r="H319" s="7" t="n">
        <v>28</v>
      </c>
      <c r="I319" s="7" t="inlineStr">
        <is>
          <t>F</t>
        </is>
      </c>
      <c r="J319" s="8" t="inlineStr">
        <is>
          <t>Admitted</t>
        </is>
      </c>
      <c r="K319" s="28" t="n"/>
      <c r="L319" s="28" t="n"/>
      <c r="M319" s="28" t="n"/>
      <c r="N319" s="28" t="n">
        <v>20.48</v>
      </c>
      <c r="O319" s="8" t="n"/>
      <c r="P319" s="8" t="n"/>
    </row>
    <row r="320">
      <c r="A320" s="8" t="inlineStr">
        <is>
          <t>PGCV_0075_6537</t>
        </is>
      </c>
      <c r="B320" s="8" t="inlineStr">
        <is>
          <t>WVMC-SC2-23-035598</t>
        </is>
      </c>
      <c r="C320" s="8" t="inlineStr">
        <is>
          <t>WESTERN VISAYAS MEDICAL CENTER</t>
        </is>
      </c>
      <c r="D320" s="7" t="n">
        <v>6</v>
      </c>
      <c r="E320" s="8" t="inlineStr">
        <is>
          <t>Region VI (Western Visayas)</t>
        </is>
      </c>
      <c r="F320" s="7" t="n"/>
      <c r="G320" s="27" t="n">
        <v>45282</v>
      </c>
      <c r="H320" s="7" t="n">
        <v>66</v>
      </c>
      <c r="I320" s="7" t="inlineStr">
        <is>
          <t>M</t>
        </is>
      </c>
      <c r="J320" s="8" t="inlineStr">
        <is>
          <t>Admitted</t>
        </is>
      </c>
      <c r="K320" s="28" t="n"/>
      <c r="L320" s="28" t="n"/>
      <c r="M320" s="28" t="n"/>
      <c r="N320" s="28" t="n">
        <v>17.34</v>
      </c>
      <c r="O320" s="8" t="n"/>
      <c r="P320" s="8" t="n"/>
    </row>
    <row r="321">
      <c r="A321" s="8" t="inlineStr">
        <is>
          <t>PGCV_0075_6558</t>
        </is>
      </c>
      <c r="B321" s="8" t="inlineStr">
        <is>
          <t>WVMC-SC2-23-035711</t>
        </is>
      </c>
      <c r="C321" s="8" t="inlineStr">
        <is>
          <t>WESTERN VISAYAS MEDICAL CENTER</t>
        </is>
      </c>
      <c r="D321" s="7" t="n">
        <v>6</v>
      </c>
      <c r="E321" s="8" t="inlineStr">
        <is>
          <t>Region VI (Western Visayas)</t>
        </is>
      </c>
      <c r="F321" s="7" t="n"/>
      <c r="G321" s="27" t="n">
        <v>45284</v>
      </c>
      <c r="H321" s="7" t="n">
        <v>56</v>
      </c>
      <c r="I321" s="7" t="inlineStr">
        <is>
          <t>F</t>
        </is>
      </c>
      <c r="J321" s="8" t="inlineStr">
        <is>
          <t>Cluster</t>
        </is>
      </c>
      <c r="K321" s="28" t="n"/>
      <c r="L321" s="28" t="n"/>
      <c r="M321" s="28" t="n"/>
      <c r="N321" s="28" t="n">
        <v>22.76</v>
      </c>
      <c r="O321" s="8" t="n"/>
      <c r="P321" s="8" t="n"/>
    </row>
    <row r="322">
      <c r="A322" s="8" t="inlineStr">
        <is>
          <t>PGCV_0075_6576</t>
        </is>
      </c>
      <c r="B322" s="8" t="inlineStr">
        <is>
          <t>WVMC-SC2-23-035850</t>
        </is>
      </c>
      <c r="C322" s="8" t="inlineStr">
        <is>
          <t>ILOILO MISSION HOSPITAL</t>
        </is>
      </c>
      <c r="D322" s="7" t="n">
        <v>6</v>
      </c>
      <c r="E322" s="8" t="inlineStr">
        <is>
          <t>Region VI (Western Visayas)</t>
        </is>
      </c>
      <c r="F322" s="7" t="n"/>
      <c r="G322" s="27" t="n">
        <v>45286</v>
      </c>
      <c r="H322" s="7" t="n">
        <v>37</v>
      </c>
      <c r="I322" s="7" t="inlineStr">
        <is>
          <t>M</t>
        </is>
      </c>
      <c r="J322" s="8" t="inlineStr">
        <is>
          <t>Cluster</t>
        </is>
      </c>
      <c r="K322" s="28" t="n"/>
      <c r="L322" s="28" t="n"/>
      <c r="M322" s="28" t="n"/>
      <c r="N322" s="28" t="n">
        <v>15.18</v>
      </c>
      <c r="O322" s="8" t="n"/>
      <c r="P322" s="8" t="n"/>
    </row>
    <row r="323">
      <c r="A323" s="8" t="inlineStr">
        <is>
          <t>PGCV_0075_6580</t>
        </is>
      </c>
      <c r="B323" s="8" t="inlineStr">
        <is>
          <t>WVMC-SC2-23-035876</t>
        </is>
      </c>
      <c r="C323" s="8" t="inlineStr">
        <is>
          <t>WESTERN VISAYAS MEDICAL CENTER</t>
        </is>
      </c>
      <c r="D323" s="7" t="n">
        <v>6</v>
      </c>
      <c r="E323" s="8" t="inlineStr">
        <is>
          <t>Region VI (Western Visayas)</t>
        </is>
      </c>
      <c r="F323" s="7" t="n"/>
      <c r="G323" s="27" t="n">
        <v>45287</v>
      </c>
      <c r="H323" s="7" t="n">
        <v>80</v>
      </c>
      <c r="I323" s="7" t="inlineStr">
        <is>
          <t>F</t>
        </is>
      </c>
      <c r="J323" s="8" t="inlineStr">
        <is>
          <t>Cluster</t>
        </is>
      </c>
      <c r="K323" s="28" t="n"/>
      <c r="L323" s="28" t="n"/>
      <c r="M323" s="28" t="n"/>
      <c r="N323" s="28" t="n">
        <v>25.11</v>
      </c>
      <c r="O323" s="8" t="n"/>
      <c r="P323" s="8" t="n"/>
    </row>
    <row r="324">
      <c r="A324" s="8" t="inlineStr">
        <is>
          <t>PGCV_0075_6582</t>
        </is>
      </c>
      <c r="B324" s="8" t="inlineStr">
        <is>
          <t>WVMC-SC2-23-035891</t>
        </is>
      </c>
      <c r="C324" s="8" t="inlineStr">
        <is>
          <t>WESTERN VISAYAS MEDICAL CENTER</t>
        </is>
      </c>
      <c r="D324" s="7" t="n">
        <v>6</v>
      </c>
      <c r="E324" s="8" t="inlineStr">
        <is>
          <t>Region VI (Western Visayas)</t>
        </is>
      </c>
      <c r="F324" s="7" t="n"/>
      <c r="G324" s="27" t="n">
        <v>45287</v>
      </c>
      <c r="H324" s="7" t="n">
        <v>59</v>
      </c>
      <c r="I324" s="7" t="inlineStr">
        <is>
          <t>M</t>
        </is>
      </c>
      <c r="J324" s="8" t="inlineStr">
        <is>
          <t>Cluster</t>
        </is>
      </c>
      <c r="K324" s="28" t="n"/>
      <c r="L324" s="28" t="n"/>
      <c r="M324" s="28" t="n"/>
      <c r="N324" s="28" t="n">
        <v>27.99</v>
      </c>
      <c r="O324" s="8" t="n"/>
      <c r="P324" s="8" t="n"/>
    </row>
    <row r="325">
      <c r="A325" s="8" t="inlineStr">
        <is>
          <t>PGCV_0075_6590</t>
        </is>
      </c>
      <c r="B325" s="8" t="inlineStr">
        <is>
          <t>WVMC-SC2-23-035955</t>
        </is>
      </c>
      <c r="C325" s="8" t="inlineStr">
        <is>
          <t>WESTERN VISAYAS MEDICAL CENTER</t>
        </is>
      </c>
      <c r="D325" s="7" t="n">
        <v>6</v>
      </c>
      <c r="E325" s="8" t="inlineStr">
        <is>
          <t>Region VI (Western Visayas)</t>
        </is>
      </c>
      <c r="F325" s="7" t="n"/>
      <c r="G325" s="27" t="n">
        <v>45288</v>
      </c>
      <c r="H325" s="7" t="n">
        <v>57</v>
      </c>
      <c r="I325" s="7" t="inlineStr">
        <is>
          <t>M</t>
        </is>
      </c>
      <c r="J325" s="8" t="inlineStr">
        <is>
          <t>Admitted</t>
        </is>
      </c>
      <c r="K325" s="28" t="n"/>
      <c r="L325" s="28" t="n"/>
      <c r="M325" s="28" t="n"/>
      <c r="N325" s="28" t="n">
        <v>30.91</v>
      </c>
      <c r="O325" s="8" t="n"/>
      <c r="P325" s="8" t="n"/>
    </row>
    <row r="326">
      <c r="A326" s="8" t="inlineStr">
        <is>
          <t>PGCV_0075_6596</t>
        </is>
      </c>
      <c r="B326" s="8" t="inlineStr">
        <is>
          <t>WVMC-SC2-23-035966</t>
        </is>
      </c>
      <c r="C326" s="8" t="inlineStr">
        <is>
          <t>BAILAN DISTRICT HOSPITAL</t>
        </is>
      </c>
      <c r="D326" s="7" t="n">
        <v>6</v>
      </c>
      <c r="E326" s="8" t="inlineStr">
        <is>
          <t>Region VI (Western Visayas)</t>
        </is>
      </c>
      <c r="F326" s="7" t="n"/>
      <c r="G326" s="27" t="n">
        <v>45287</v>
      </c>
      <c r="H326" s="7" t="n">
        <v>67</v>
      </c>
      <c r="I326" s="7" t="inlineStr">
        <is>
          <t>M</t>
        </is>
      </c>
      <c r="J326" s="8" t="inlineStr">
        <is>
          <t>Admitted</t>
        </is>
      </c>
      <c r="K326" s="28" t="n"/>
      <c r="L326" s="28" t="n"/>
      <c r="M326" s="28" t="n"/>
      <c r="N326" s="28" t="n">
        <v>28.71</v>
      </c>
      <c r="O326" s="8" t="n"/>
      <c r="P326" s="8" t="n"/>
    </row>
    <row r="327">
      <c r="A327" s="8" t="inlineStr">
        <is>
          <t>PGCV_0076_6631</t>
        </is>
      </c>
      <c r="B327" s="8" t="inlineStr">
        <is>
          <t>WVMC-SC2-23-035978</t>
        </is>
      </c>
      <c r="C327" s="8" t="inlineStr">
        <is>
          <t>WESTERN VISAYAS MEDICAL CENTER</t>
        </is>
      </c>
      <c r="D327" s="7" t="n">
        <v>6</v>
      </c>
      <c r="E327" s="8" t="inlineStr">
        <is>
          <t>Region VI (Western Visayas)</t>
        </is>
      </c>
      <c r="F327" s="7" t="n"/>
      <c r="G327" s="27" t="n">
        <v>45288</v>
      </c>
      <c r="H327" s="7" t="n">
        <v>28</v>
      </c>
      <c r="I327" s="7" t="inlineStr">
        <is>
          <t>F</t>
        </is>
      </c>
      <c r="J327" s="8" t="inlineStr">
        <is>
          <t>Cluster</t>
        </is>
      </c>
      <c r="K327" s="28" t="n"/>
      <c r="L327" s="28" t="n"/>
      <c r="M327" s="28" t="n"/>
      <c r="N327" s="28" t="n">
        <v>24.1</v>
      </c>
      <c r="O327" s="8" t="n"/>
      <c r="P327" s="8" t="n"/>
    </row>
    <row r="328">
      <c r="A328" s="8" t="inlineStr">
        <is>
          <t>PGCV_0076_6634</t>
        </is>
      </c>
      <c r="B328" s="8" t="inlineStr">
        <is>
          <t>WVMC-SC2-23-035990</t>
        </is>
      </c>
      <c r="C328" s="8" t="inlineStr">
        <is>
          <t>WESTERN VISAYAS MEDICAL CENTER</t>
        </is>
      </c>
      <c r="D328" s="7" t="n">
        <v>6</v>
      </c>
      <c r="E328" s="8" t="inlineStr">
        <is>
          <t>Region VI (Western Visayas)</t>
        </is>
      </c>
      <c r="F328" s="7" t="n"/>
      <c r="G328" s="27" t="n">
        <v>45288</v>
      </c>
      <c r="H328" s="7" t="n">
        <v>60</v>
      </c>
      <c r="I328" s="7" t="inlineStr">
        <is>
          <t>M</t>
        </is>
      </c>
      <c r="J328" s="8" t="inlineStr">
        <is>
          <t>Admitted</t>
        </is>
      </c>
      <c r="K328" s="28" t="n"/>
      <c r="L328" s="28" t="n"/>
      <c r="M328" s="28" t="n"/>
      <c r="N328" s="28" t="n">
        <v>28.94</v>
      </c>
      <c r="O328" s="8" t="n"/>
      <c r="P328" s="8" t="n"/>
    </row>
    <row r="329">
      <c r="A329" s="8" t="inlineStr">
        <is>
          <t>PGCV_0076_6641</t>
        </is>
      </c>
      <c r="B329" s="8" t="inlineStr">
        <is>
          <t>WVMC-SC2-23-036034</t>
        </is>
      </c>
      <c r="C329" s="8" t="inlineStr">
        <is>
          <t>WESTERN VISAYAS MEDICAL CENTER</t>
        </is>
      </c>
      <c r="D329" s="7" t="n">
        <v>6</v>
      </c>
      <c r="E329" s="8" t="inlineStr">
        <is>
          <t>Region VI (Western Visayas)</t>
        </is>
      </c>
      <c r="F329" s="7" t="n"/>
      <c r="G329" s="27" t="n">
        <v>45288</v>
      </c>
      <c r="H329" s="7" t="n">
        <v>50</v>
      </c>
      <c r="I329" s="7" t="inlineStr">
        <is>
          <t>F</t>
        </is>
      </c>
      <c r="J329" s="8" t="inlineStr">
        <is>
          <t>Admitted</t>
        </is>
      </c>
      <c r="K329" s="28" t="n"/>
      <c r="L329" s="28" t="n"/>
      <c r="M329" s="28" t="n"/>
      <c r="N329" s="28" t="n">
        <v>30.76</v>
      </c>
      <c r="O329" s="8" t="n"/>
      <c r="P329" s="8" t="n"/>
    </row>
    <row r="330">
      <c r="A330" s="8" t="inlineStr">
        <is>
          <t>PGCV_0076_6666</t>
        </is>
      </c>
      <c r="B330" s="8" t="inlineStr">
        <is>
          <t>WVMC-SC2-24-000006</t>
        </is>
      </c>
      <c r="C330" s="8" t="inlineStr">
        <is>
          <t>WESTERN VISAYAS MEDICAL CENTER</t>
        </is>
      </c>
      <c r="D330" s="7" t="n">
        <v>6</v>
      </c>
      <c r="E330" s="8" t="inlineStr">
        <is>
          <t>Region VI (Western Visayas)</t>
        </is>
      </c>
      <c r="F330" s="7" t="n"/>
      <c r="G330" s="27" t="n">
        <v>45292</v>
      </c>
      <c r="H330" s="7" t="n">
        <v>0</v>
      </c>
      <c r="I330" s="7" t="inlineStr">
        <is>
          <t>F</t>
        </is>
      </c>
      <c r="J330" s="8" t="inlineStr">
        <is>
          <t>Admitted</t>
        </is>
      </c>
      <c r="K330" s="28" t="n"/>
      <c r="L330" s="28" t="n"/>
      <c r="M330" s="28" t="n"/>
      <c r="N330" s="28" t="n">
        <v>29.89</v>
      </c>
      <c r="O330" s="8" t="n"/>
      <c r="P330" s="8" t="n"/>
    </row>
    <row r="331">
      <c r="A331" s="8" t="inlineStr">
        <is>
          <t>PGCV_0076_6672</t>
        </is>
      </c>
      <c r="B331" s="8" t="inlineStr">
        <is>
          <t>WVMC-SC2-24-000054</t>
        </is>
      </c>
      <c r="C331" s="8" t="inlineStr">
        <is>
          <t>WESTERN VISAYAS MEDICAL CENTER</t>
        </is>
      </c>
      <c r="D331" s="7" t="n">
        <v>6</v>
      </c>
      <c r="E331" s="8" t="inlineStr">
        <is>
          <t>Region VI (Western Visayas)</t>
        </is>
      </c>
      <c r="F331" s="7" t="n"/>
      <c r="G331" s="27" t="n">
        <v>45293</v>
      </c>
      <c r="H331" s="7" t="n">
        <v>37</v>
      </c>
      <c r="I331" s="7" t="inlineStr">
        <is>
          <t>F</t>
        </is>
      </c>
      <c r="J331" s="8" t="inlineStr">
        <is>
          <t>Cluster</t>
        </is>
      </c>
      <c r="K331" s="28" t="n"/>
      <c r="L331" s="28" t="n"/>
      <c r="M331" s="28" t="n"/>
      <c r="N331" s="28" t="n">
        <v>17.07</v>
      </c>
      <c r="O331" s="8" t="n"/>
      <c r="P331" s="8" t="n"/>
    </row>
    <row r="332">
      <c r="A332" s="8" t="inlineStr">
        <is>
          <t>PGCV_0076_6679</t>
        </is>
      </c>
      <c r="B332" s="8" t="inlineStr">
        <is>
          <t>WVMC-SC2-24-000095</t>
        </is>
      </c>
      <c r="C332" s="8" t="inlineStr">
        <is>
          <t>ILOILO MISSION HOSPITAL</t>
        </is>
      </c>
      <c r="D332" s="7" t="n">
        <v>6</v>
      </c>
      <c r="E332" s="8" t="inlineStr">
        <is>
          <t>Region VI (Western Visayas)</t>
        </is>
      </c>
      <c r="F332" s="7" t="n"/>
      <c r="G332" s="27" t="n">
        <v>45293</v>
      </c>
      <c r="H332" s="7" t="n">
        <v>84</v>
      </c>
      <c r="I332" s="7" t="inlineStr">
        <is>
          <t>F</t>
        </is>
      </c>
      <c r="J332" s="8" t="inlineStr">
        <is>
          <t>Admitted</t>
        </is>
      </c>
      <c r="K332" s="28" t="n"/>
      <c r="L332" s="28" t="n"/>
      <c r="M332" s="28" t="n"/>
      <c r="N332" s="28" t="n">
        <v>20.29</v>
      </c>
      <c r="O332" s="8" t="n"/>
      <c r="P332" s="8" t="n"/>
    </row>
    <row r="333">
      <c r="A333" s="8" t="inlineStr">
        <is>
          <t>PGCV_0076_6680</t>
        </is>
      </c>
      <c r="B333" s="8" t="inlineStr">
        <is>
          <t>WVMC-SC2-24-000096</t>
        </is>
      </c>
      <c r="C333" s="8" t="inlineStr">
        <is>
          <t>ILOILO MISSION HOSPITAL</t>
        </is>
      </c>
      <c r="D333" s="7" t="n">
        <v>6</v>
      </c>
      <c r="E333" s="8" t="inlineStr">
        <is>
          <t>Region VI (Western Visayas)</t>
        </is>
      </c>
      <c r="F333" s="7" t="n"/>
      <c r="G333" s="27" t="n">
        <v>45293</v>
      </c>
      <c r="H333" s="7" t="n">
        <v>41</v>
      </c>
      <c r="I333" s="7" t="inlineStr">
        <is>
          <t>F</t>
        </is>
      </c>
      <c r="J333" s="8" t="inlineStr">
        <is>
          <t>Admitted</t>
        </is>
      </c>
      <c r="K333" s="28" t="n"/>
      <c r="L333" s="28" t="n"/>
      <c r="M333" s="28" t="n"/>
      <c r="N333" s="28" t="n">
        <v>30.76</v>
      </c>
      <c r="O333" s="8" t="n"/>
      <c r="P333" s="8" t="n"/>
    </row>
    <row r="334">
      <c r="A334" s="8" t="inlineStr">
        <is>
          <t>PGCV_0076_6681</t>
        </is>
      </c>
      <c r="B334" s="8" t="inlineStr">
        <is>
          <t>WVMC-SC2-24-000097</t>
        </is>
      </c>
      <c r="C334" s="8" t="inlineStr">
        <is>
          <t>ILOILO MISSION HOSPITAL</t>
        </is>
      </c>
      <c r="D334" s="7" t="n">
        <v>6</v>
      </c>
      <c r="E334" s="8" t="inlineStr">
        <is>
          <t>Region VI (Western Visayas)</t>
        </is>
      </c>
      <c r="F334" s="7" t="n"/>
      <c r="G334" s="27" t="n">
        <v>45293</v>
      </c>
      <c r="H334" s="7" t="n">
        <v>81</v>
      </c>
      <c r="I334" s="7" t="inlineStr">
        <is>
          <t>M</t>
        </is>
      </c>
      <c r="J334" s="8" t="inlineStr">
        <is>
          <t>Admitted</t>
        </is>
      </c>
      <c r="K334" s="28" t="n"/>
      <c r="L334" s="28" t="n"/>
      <c r="M334" s="28" t="n"/>
      <c r="N334" s="28" t="n">
        <v>19.71</v>
      </c>
      <c r="O334" s="8" t="n"/>
      <c r="P334" s="8" t="n"/>
    </row>
    <row r="335">
      <c r="A335" s="8" t="inlineStr">
        <is>
          <t>PGCV_0076_6682</t>
        </is>
      </c>
      <c r="B335" s="8" t="inlineStr">
        <is>
          <t>WVMC-SC2-24-000099</t>
        </is>
      </c>
      <c r="C335" s="8" t="inlineStr">
        <is>
          <t>RAMON TABIANA MEMORIAL DISTRICT HOSPITAL</t>
        </is>
      </c>
      <c r="D335" s="7" t="n">
        <v>6</v>
      </c>
      <c r="E335" s="8" t="inlineStr">
        <is>
          <t>Region VI (Western Visayas)</t>
        </is>
      </c>
      <c r="F335" s="7" t="n"/>
      <c r="G335" s="27" t="n">
        <v>45292</v>
      </c>
      <c r="H335" s="7" t="n">
        <v>21</v>
      </c>
      <c r="I335" s="7" t="inlineStr">
        <is>
          <t>M</t>
        </is>
      </c>
      <c r="J335" s="8" t="inlineStr">
        <is>
          <t>Admitted</t>
        </is>
      </c>
      <c r="K335" s="28" t="n"/>
      <c r="L335" s="28" t="n"/>
      <c r="M335" s="28" t="n"/>
      <c r="N335" s="28" t="n">
        <v>21.73</v>
      </c>
      <c r="O335" s="8" t="n"/>
      <c r="P335" s="8" t="n"/>
    </row>
    <row r="336">
      <c r="A336" s="8" t="inlineStr">
        <is>
          <t>PGCV_0076_6733</t>
        </is>
      </c>
      <c r="B336" s="8" t="inlineStr">
        <is>
          <t>MLAB187238</t>
        </is>
      </c>
      <c r="C336" s="8" t="inlineStr">
        <is>
          <t>METRO ILOILO HOSPITAL AND MEDICAL CENTER</t>
        </is>
      </c>
      <c r="D336" s="7" t="n">
        <v>6</v>
      </c>
      <c r="E336" s="8" t="inlineStr">
        <is>
          <t>Region VI (Western Visayas)</t>
        </is>
      </c>
      <c r="F336" s="7" t="n"/>
      <c r="G336" s="27" t="n">
        <v>45293</v>
      </c>
      <c r="H336" s="7" t="n">
        <v>66</v>
      </c>
      <c r="I336" s="7" t="inlineStr">
        <is>
          <t>F</t>
        </is>
      </c>
      <c r="J336" s="8" t="inlineStr">
        <is>
          <t>Unknown Exposure</t>
        </is>
      </c>
      <c r="K336" s="28" t="n"/>
      <c r="L336" s="28" t="n">
        <v>18.21</v>
      </c>
      <c r="M336" s="28" t="n">
        <v>21.77</v>
      </c>
      <c r="N336" s="28" t="n">
        <v>17.53</v>
      </c>
      <c r="O336" s="8" t="n"/>
      <c r="P336" s="8" t="n"/>
    </row>
    <row r="337">
      <c r="A337" s="8" t="inlineStr">
        <is>
          <t>PGCV_0076_6734</t>
        </is>
      </c>
      <c r="B337" s="8" t="inlineStr">
        <is>
          <t>MLAB187239</t>
        </is>
      </c>
      <c r="C337" s="8" t="inlineStr">
        <is>
          <t>METRO ILOILO HOSPITAL AND MEDICAL CENTER</t>
        </is>
      </c>
      <c r="D337" s="7" t="n">
        <v>6</v>
      </c>
      <c r="E337" s="8" t="inlineStr">
        <is>
          <t>Region VI (Western Visayas)</t>
        </is>
      </c>
      <c r="F337" s="7" t="n"/>
      <c r="G337" s="27" t="n">
        <v>45294</v>
      </c>
      <c r="H337" s="7" t="n">
        <v>0</v>
      </c>
      <c r="I337" s="7" t="inlineStr">
        <is>
          <t>M</t>
        </is>
      </c>
      <c r="J337" s="8" t="inlineStr">
        <is>
          <t>Unknown Exposure</t>
        </is>
      </c>
      <c r="K337" s="28" t="n"/>
      <c r="L337" s="28" t="n">
        <v>18.59</v>
      </c>
      <c r="M337" s="28" t="n">
        <v>22.07</v>
      </c>
      <c r="N337" s="28" t="n">
        <v>18.09</v>
      </c>
      <c r="O337" s="8" t="n"/>
      <c r="P337" s="8" t="n"/>
    </row>
    <row r="338">
      <c r="A338" s="8" t="inlineStr">
        <is>
          <t>PGCV_0076_6735</t>
        </is>
      </c>
      <c r="B338" s="8" t="inlineStr">
        <is>
          <t>MLAB187249</t>
        </is>
      </c>
      <c r="C338" s="8" t="inlineStr">
        <is>
          <t>METRO ILOILO HOSPITAL AND MEDICAL CENTER</t>
        </is>
      </c>
      <c r="D338" s="7" t="n">
        <v>6</v>
      </c>
      <c r="E338" s="8" t="inlineStr">
        <is>
          <t>Region VI (Western Visayas)</t>
        </is>
      </c>
      <c r="F338" s="7" t="n"/>
      <c r="G338" s="27" t="n">
        <v>45295</v>
      </c>
      <c r="H338" s="7" t="n">
        <v>78</v>
      </c>
      <c r="I338" s="7" t="inlineStr">
        <is>
          <t>F</t>
        </is>
      </c>
      <c r="J338" s="8" t="inlineStr">
        <is>
          <t>Unknown Exposure</t>
        </is>
      </c>
      <c r="K338" s="28" t="n"/>
      <c r="L338" s="28" t="n">
        <v>15.4</v>
      </c>
      <c r="M338" s="28" t="n">
        <v>18.43</v>
      </c>
      <c r="N338" s="28" t="n">
        <v>14.59</v>
      </c>
      <c r="O338" s="8" t="n"/>
      <c r="P338" s="8" t="n"/>
    </row>
    <row r="339">
      <c r="A339" s="8" t="inlineStr">
        <is>
          <t>PGCV_0076_6736</t>
        </is>
      </c>
      <c r="B339" s="8" t="inlineStr">
        <is>
          <t>MLAB187251</t>
        </is>
      </c>
      <c r="C339" s="8" t="inlineStr">
        <is>
          <t>METRO ILOILO HOSPITAL AND MEDICAL CENTER</t>
        </is>
      </c>
      <c r="D339" s="7" t="n">
        <v>6</v>
      </c>
      <c r="E339" s="8" t="inlineStr">
        <is>
          <t>Region VI (Western Visayas)</t>
        </is>
      </c>
      <c r="F339" s="7" t="n"/>
      <c r="G339" s="27" t="n">
        <v>45295</v>
      </c>
      <c r="H339" s="7" t="n">
        <v>75</v>
      </c>
      <c r="I339" s="7" t="inlineStr">
        <is>
          <t>F</t>
        </is>
      </c>
      <c r="J339" s="8" t="inlineStr">
        <is>
          <t>Unknown Exposure</t>
        </is>
      </c>
      <c r="K339" s="28" t="n"/>
      <c r="L339" s="28" t="n">
        <v>18.85</v>
      </c>
      <c r="M339" s="28" t="n">
        <v>21.53</v>
      </c>
      <c r="N339" s="28" t="n">
        <v>17.15</v>
      </c>
      <c r="O339" s="8" t="n"/>
      <c r="P339" s="8" t="n"/>
    </row>
    <row r="340">
      <c r="A340" s="8" t="inlineStr">
        <is>
          <t>PGCV_0076_6743</t>
        </is>
      </c>
      <c r="B340" s="8" t="inlineStr">
        <is>
          <t>1244B151814</t>
        </is>
      </c>
      <c r="C340" s="8" t="inlineStr">
        <is>
          <t>CLMMRH-ML</t>
        </is>
      </c>
      <c r="D340" s="7" t="n">
        <v>6</v>
      </c>
      <c r="E340" s="8" t="inlineStr">
        <is>
          <t>Region VI (Western Visayas)</t>
        </is>
      </c>
      <c r="F340" s="7" t="n"/>
      <c r="G340" s="27" t="n">
        <v>45281</v>
      </c>
      <c r="H340" s="7" t="n">
        <v>27</v>
      </c>
      <c r="I340" s="7" t="inlineStr">
        <is>
          <t>F</t>
        </is>
      </c>
      <c r="J340" s="8" t="inlineStr">
        <is>
          <t>Unknown Exposure</t>
        </is>
      </c>
      <c r="K340" s="28" t="n">
        <v>24.2</v>
      </c>
      <c r="L340" s="28" t="n">
        <v>19.83</v>
      </c>
      <c r="M340" s="28" t="n"/>
      <c r="N340" s="28" t="n"/>
      <c r="O340" s="8" t="n"/>
      <c r="P340" s="8" t="n"/>
    </row>
    <row r="341">
      <c r="A341" s="8" t="inlineStr">
        <is>
          <t>PGCV_0077_6772</t>
        </is>
      </c>
      <c r="B341" s="8" t="inlineStr">
        <is>
          <t>WVMC-SC2-24-001512</t>
        </is>
      </c>
      <c r="C341" s="8" t="inlineStr">
        <is>
          <t>WESTERN VISAYAS MEDICAL CENTER</t>
        </is>
      </c>
      <c r="D341" s="7" t="n">
        <v>6</v>
      </c>
      <c r="E341" s="8" t="inlineStr">
        <is>
          <t>Region VI (Western Visayas)</t>
        </is>
      </c>
      <c r="F341" s="7" t="n"/>
      <c r="G341" s="27" t="n">
        <v>45311</v>
      </c>
      <c r="H341" s="7" t="n">
        <v>67</v>
      </c>
      <c r="I341" s="7" t="inlineStr">
        <is>
          <t>F</t>
        </is>
      </c>
      <c r="J341" s="8" t="inlineStr">
        <is>
          <t>Cluster</t>
        </is>
      </c>
      <c r="K341" s="28" t="n"/>
      <c r="L341" s="28" t="n"/>
      <c r="M341" s="28" t="n"/>
      <c r="N341" s="28" t="n">
        <v>27.99</v>
      </c>
      <c r="O341" s="8" t="n"/>
      <c r="P341" s="8" t="n"/>
    </row>
    <row r="342">
      <c r="A342" s="8" t="inlineStr">
        <is>
          <t>PGCV_0077_6773</t>
        </is>
      </c>
      <c r="B342" s="8" t="inlineStr">
        <is>
          <t>WVMC-SC2-24-001599</t>
        </is>
      </c>
      <c r="C342" s="8" t="inlineStr">
        <is>
          <t>ILOILO MISSION HOSPITAL</t>
        </is>
      </c>
      <c r="D342" s="7" t="n">
        <v>6</v>
      </c>
      <c r="E342" s="8" t="inlineStr">
        <is>
          <t>Region VI (Western Visayas)</t>
        </is>
      </c>
      <c r="F342" s="7" t="n"/>
      <c r="G342" s="27" t="n">
        <v>45313</v>
      </c>
      <c r="H342" s="7" t="n">
        <v>54</v>
      </c>
      <c r="I342" s="7" t="inlineStr">
        <is>
          <t>F</t>
        </is>
      </c>
      <c r="J342" s="8" t="inlineStr">
        <is>
          <t>Cluster</t>
        </is>
      </c>
      <c r="K342" s="28" t="n"/>
      <c r="L342" s="28" t="n"/>
      <c r="M342" s="28" t="n"/>
      <c r="N342" s="28" t="n">
        <v>18.98</v>
      </c>
      <c r="O342" s="8" t="n"/>
      <c r="P342" s="8" t="n"/>
    </row>
    <row r="343">
      <c r="A343" s="8" t="inlineStr">
        <is>
          <t>PGCV_0077_6774</t>
        </is>
      </c>
      <c r="B343" s="8" t="inlineStr">
        <is>
          <t>WVMC-SC2-24-001668</t>
        </is>
      </c>
      <c r="C343" s="8" t="inlineStr">
        <is>
          <t>REP. PEDRO G. TRONO MEMORIAL HOSPITAL</t>
        </is>
      </c>
      <c r="D343" s="7" t="n">
        <v>6</v>
      </c>
      <c r="E343" s="8" t="inlineStr">
        <is>
          <t>Region VI (Western Visayas)</t>
        </is>
      </c>
      <c r="F343" s="7" t="n"/>
      <c r="G343" s="27" t="n">
        <v>45314</v>
      </c>
      <c r="H343" s="7" t="n">
        <v>84</v>
      </c>
      <c r="I343" s="7" t="inlineStr">
        <is>
          <t>M</t>
        </is>
      </c>
      <c r="J343" s="8" t="inlineStr">
        <is>
          <t>Admitted</t>
        </is>
      </c>
      <c r="K343" s="28" t="n"/>
      <c r="L343" s="28" t="n"/>
      <c r="M343" s="28" t="n"/>
      <c r="N343" s="28" t="n">
        <v>22.92</v>
      </c>
      <c r="O343" s="8" t="n"/>
      <c r="P343" s="8" t="n"/>
    </row>
    <row r="344">
      <c r="A344" s="8" t="inlineStr">
        <is>
          <t>PGCV_0077_6775</t>
        </is>
      </c>
      <c r="B344" s="8" t="inlineStr">
        <is>
          <t>WVMC-SC2-24-001670</t>
        </is>
      </c>
      <c r="C344" s="8" t="inlineStr">
        <is>
          <t>REP. PEDRO G. TRONO MEMORIAL HOSPITAL</t>
        </is>
      </c>
      <c r="D344" s="7" t="n">
        <v>6</v>
      </c>
      <c r="E344" s="8" t="inlineStr">
        <is>
          <t>Region VI (Western Visayas)</t>
        </is>
      </c>
      <c r="F344" s="7" t="n"/>
      <c r="G344" s="27" t="n">
        <v>45314</v>
      </c>
      <c r="H344" s="7" t="n">
        <v>82</v>
      </c>
      <c r="I344" s="7" t="inlineStr">
        <is>
          <t>F</t>
        </is>
      </c>
      <c r="J344" s="8" t="inlineStr">
        <is>
          <t>Admitted</t>
        </is>
      </c>
      <c r="K344" s="28" t="n"/>
      <c r="L344" s="28" t="n"/>
      <c r="M344" s="28" t="n"/>
      <c r="N344" s="28" t="n">
        <v>16.04</v>
      </c>
      <c r="O344" s="8" t="n"/>
      <c r="P344" s="8" t="n"/>
    </row>
    <row r="345">
      <c r="A345" s="8" t="inlineStr">
        <is>
          <t>PGCV_0077_6782</t>
        </is>
      </c>
      <c r="B345" s="8" t="inlineStr">
        <is>
          <t>WVMC-SC2-24-001977</t>
        </is>
      </c>
      <c r="C345" s="8" t="inlineStr">
        <is>
          <t>ANGEL SALAZAR MEMORIAL GENERAL HOSPITAL</t>
        </is>
      </c>
      <c r="D345" s="7" t="n">
        <v>6</v>
      </c>
      <c r="E345" s="8" t="inlineStr">
        <is>
          <t>Region VI (Western Visayas)</t>
        </is>
      </c>
      <c r="F345" s="7" t="n"/>
      <c r="G345" s="27" t="n">
        <v>45319</v>
      </c>
      <c r="H345" s="7" t="n">
        <v>0</v>
      </c>
      <c r="I345" s="7" t="inlineStr">
        <is>
          <t>M</t>
        </is>
      </c>
      <c r="J345" s="8" t="inlineStr">
        <is>
          <t>Admitted</t>
        </is>
      </c>
      <c r="K345" s="28" t="n"/>
      <c r="L345" s="28" t="n"/>
      <c r="M345" s="28" t="n"/>
      <c r="N345" s="28" t="n">
        <v>24.59</v>
      </c>
      <c r="O345" s="8" t="n"/>
      <c r="P345" s="8" t="n"/>
    </row>
    <row r="346">
      <c r="A346" s="8" t="inlineStr">
        <is>
          <t>PGCV_0077_6798</t>
        </is>
      </c>
      <c r="B346" s="8" t="inlineStr">
        <is>
          <t>1269B152330</t>
        </is>
      </c>
      <c r="C346" s="8" t="inlineStr">
        <is>
          <t>CLMMRH-ML</t>
        </is>
      </c>
      <c r="D346" s="7" t="n">
        <v>6</v>
      </c>
      <c r="E346" s="8" t="inlineStr">
        <is>
          <t>Region VI (Western Visayas)</t>
        </is>
      </c>
      <c r="F346" s="7" t="n"/>
      <c r="G346" s="27" t="n">
        <v>45306</v>
      </c>
      <c r="H346" s="7" t="n">
        <v>36</v>
      </c>
      <c r="I346" s="7" t="inlineStr">
        <is>
          <t>M</t>
        </is>
      </c>
      <c r="J346" s="8" t="inlineStr">
        <is>
          <t>Unknown Exposure</t>
        </is>
      </c>
      <c r="K346" s="28" t="n">
        <v>22.21</v>
      </c>
      <c r="L346" s="28" t="n">
        <v>18.44</v>
      </c>
      <c r="M346" s="28" t="n"/>
      <c r="N346" s="28" t="n"/>
      <c r="O346" s="8" t="n"/>
      <c r="P346" s="8" t="n"/>
    </row>
    <row r="347">
      <c r="A347" s="8" t="inlineStr">
        <is>
          <t>PGCV_0080_6824</t>
        </is>
      </c>
      <c r="B347" s="8" t="inlineStr">
        <is>
          <t>WVMC-SC2-24-007153</t>
        </is>
      </c>
      <c r="C347" s="8" t="inlineStr">
        <is>
          <t>WESTERN VISAYAS MEDICAL CENTER</t>
        </is>
      </c>
      <c r="D347" s="7" t="n">
        <v>6</v>
      </c>
      <c r="E347" s="8" t="inlineStr">
        <is>
          <t>Region VI (Western Visayas)</t>
        </is>
      </c>
      <c r="F347" s="7" t="n"/>
      <c r="G347" s="27" t="n">
        <v>45430</v>
      </c>
      <c r="H347" s="7" t="n">
        <v>36</v>
      </c>
      <c r="I347" s="7" t="inlineStr">
        <is>
          <t>F</t>
        </is>
      </c>
      <c r="J347" s="8" t="inlineStr">
        <is>
          <t>Cluster</t>
        </is>
      </c>
      <c r="K347" s="28" t="n"/>
      <c r="L347" s="28" t="n"/>
      <c r="M347" s="28" t="n">
        <v>30.54</v>
      </c>
      <c r="N347" s="28" t="n"/>
      <c r="O347" s="8" t="n"/>
      <c r="P347" s="8" t="n"/>
    </row>
    <row r="348">
      <c r="A348" s="8" t="inlineStr">
        <is>
          <t>PGCV_0081_6835</t>
        </is>
      </c>
      <c r="B348" s="8" t="inlineStr">
        <is>
          <t>WVMC-SC2-24-007188</t>
        </is>
      </c>
      <c r="C348" s="8" t="inlineStr">
        <is>
          <t>RAMON TABIANA MEMORIAL DISTRICT HOSPITAL</t>
        </is>
      </c>
      <c r="D348" s="7" t="n">
        <v>6</v>
      </c>
      <c r="E348" s="8" t="inlineStr">
        <is>
          <t>Region VI (Western Visayas)</t>
        </is>
      </c>
      <c r="F348" s="7" t="n"/>
      <c r="G348" s="27" t="n">
        <v>45430</v>
      </c>
      <c r="H348" s="7" t="n">
        <v>64</v>
      </c>
      <c r="I348" s="7" t="inlineStr">
        <is>
          <t>F</t>
        </is>
      </c>
      <c r="J348" s="8" t="inlineStr">
        <is>
          <t>Admitted</t>
        </is>
      </c>
      <c r="K348" s="28" t="n"/>
      <c r="L348" s="28" t="n"/>
      <c r="M348" s="28" t="n"/>
      <c r="N348" s="28" t="n">
        <v>28.31</v>
      </c>
      <c r="O348" s="8" t="n"/>
      <c r="P348" s="8" t="n"/>
    </row>
    <row r="349">
      <c r="A349" s="8" t="inlineStr">
        <is>
          <t>PGCV_0081_6855</t>
        </is>
      </c>
      <c r="B349" s="8" t="inlineStr">
        <is>
          <t>WVMC-SC2-24-007353</t>
        </is>
      </c>
      <c r="C349" s="8" t="inlineStr">
        <is>
          <t>WESTERN VISAYAS MEDICAL CENTER</t>
        </is>
      </c>
      <c r="D349" s="7" t="n">
        <v>6</v>
      </c>
      <c r="E349" s="8" t="inlineStr">
        <is>
          <t>Region VI (Western Visayas)</t>
        </is>
      </c>
      <c r="F349" s="7" t="n"/>
      <c r="G349" s="27" t="n">
        <v>45438</v>
      </c>
      <c r="H349" s="7" t="n">
        <v>0</v>
      </c>
      <c r="I349" s="7" t="inlineStr">
        <is>
          <t>M</t>
        </is>
      </c>
      <c r="J349" s="8" t="inlineStr">
        <is>
          <t>Admitted</t>
        </is>
      </c>
      <c r="K349" s="28" t="n"/>
      <c r="L349" s="28" t="n"/>
      <c r="M349" s="28" t="n"/>
      <c r="N349" s="28" t="n">
        <v>23.02</v>
      </c>
      <c r="O349" s="8" t="n"/>
      <c r="P349" s="8" t="n"/>
    </row>
    <row r="350">
      <c r="A350" s="8" t="inlineStr">
        <is>
          <t>PGCV_0081_6858</t>
        </is>
      </c>
      <c r="B350" s="8" t="inlineStr">
        <is>
          <t>WVMC-SC2-24-007391</t>
        </is>
      </c>
      <c r="C350" s="8" t="inlineStr">
        <is>
          <t>WESTERN VISAYAS MEDICAL CENTER</t>
        </is>
      </c>
      <c r="D350" s="7" t="n">
        <v>6</v>
      </c>
      <c r="E350" s="8" t="inlineStr">
        <is>
          <t>Region VI (Western Visayas)</t>
        </is>
      </c>
      <c r="F350" s="7" t="n"/>
      <c r="G350" s="27" t="n">
        <v>45439</v>
      </c>
      <c r="H350" s="7" t="n">
        <v>33</v>
      </c>
      <c r="I350" s="7" t="inlineStr">
        <is>
          <t>F</t>
        </is>
      </c>
      <c r="J350" s="8" t="inlineStr">
        <is>
          <t>Cluster</t>
        </is>
      </c>
      <c r="K350" s="28" t="n"/>
      <c r="L350" s="28" t="n"/>
      <c r="M350" s="28" t="n"/>
      <c r="N350" s="28" t="n">
        <v>28.49</v>
      </c>
      <c r="O350" s="8" t="n"/>
      <c r="P350" s="8" t="n"/>
    </row>
    <row r="351">
      <c r="A351" s="8" t="inlineStr">
        <is>
          <t>PGCV_0081_6859</t>
        </is>
      </c>
      <c r="B351" s="8" t="inlineStr">
        <is>
          <t>WVMC-SC2-24-007429</t>
        </is>
      </c>
      <c r="C351" s="8" t="inlineStr">
        <is>
          <t>WESTERN VISAYAS MEDICAL CENTER</t>
        </is>
      </c>
      <c r="D351" s="7" t="n">
        <v>6</v>
      </c>
      <c r="E351" s="8" t="inlineStr">
        <is>
          <t>Region VI (Western Visayas)</t>
        </is>
      </c>
      <c r="F351" s="7" t="n"/>
      <c r="G351" s="27" t="n">
        <v>45441</v>
      </c>
      <c r="H351" s="7" t="n">
        <v>48</v>
      </c>
      <c r="I351" s="7" t="inlineStr">
        <is>
          <t>M</t>
        </is>
      </c>
      <c r="J351" s="8" t="inlineStr">
        <is>
          <t>Admitted</t>
        </is>
      </c>
      <c r="K351" s="28" t="n"/>
      <c r="L351" s="28" t="n"/>
      <c r="M351" s="28" t="n"/>
      <c r="N351" s="28" t="n">
        <v>22.79</v>
      </c>
      <c r="O351" s="8" t="n"/>
      <c r="P351" s="8" t="n"/>
    </row>
    <row r="352">
      <c r="A352" s="8" t="inlineStr">
        <is>
          <t>PGCV_0081_6860</t>
        </is>
      </c>
      <c r="B352" s="8" t="inlineStr">
        <is>
          <t>WVMC-SC2-24-007431</t>
        </is>
      </c>
      <c r="C352" s="8" t="inlineStr">
        <is>
          <t>REP. PEDRO G. TRONO MEMORIAL HOSPITAL</t>
        </is>
      </c>
      <c r="D352" s="7" t="n">
        <v>6</v>
      </c>
      <c r="E352" s="8" t="inlineStr">
        <is>
          <t>Region VI (Western Visayas)</t>
        </is>
      </c>
      <c r="F352" s="7" t="n"/>
      <c r="G352" s="27" t="n">
        <v>45441</v>
      </c>
      <c r="H352" s="7" t="n">
        <v>25</v>
      </c>
      <c r="I352" s="7" t="inlineStr">
        <is>
          <t>F</t>
        </is>
      </c>
      <c r="J352" s="8" t="inlineStr">
        <is>
          <t>Admitted</t>
        </is>
      </c>
      <c r="K352" s="28" t="n"/>
      <c r="L352" s="28" t="n"/>
      <c r="M352" s="28" t="n"/>
      <c r="N352" s="28" t="n">
        <v>21.18</v>
      </c>
      <c r="O352" s="8" t="n"/>
      <c r="P352" s="8" t="n"/>
    </row>
    <row r="353">
      <c r="A353" s="8" t="inlineStr">
        <is>
          <t>PGCV_0081_6861</t>
        </is>
      </c>
      <c r="B353" s="8" t="inlineStr">
        <is>
          <t>WVMC-SC2-24-007441</t>
        </is>
      </c>
      <c r="C353" s="8" t="inlineStr">
        <is>
          <t>WESTERN VISAYAS MEDICAL CENTER</t>
        </is>
      </c>
      <c r="D353" s="7" t="n">
        <v>6</v>
      </c>
      <c r="E353" s="8" t="inlineStr">
        <is>
          <t>Region VI (Western Visayas)</t>
        </is>
      </c>
      <c r="F353" s="7" t="n"/>
      <c r="G353" s="27" t="n">
        <v>45441</v>
      </c>
      <c r="H353" s="7" t="n">
        <v>29</v>
      </c>
      <c r="I353" s="7" t="inlineStr">
        <is>
          <t>F</t>
        </is>
      </c>
      <c r="J353" s="8" t="inlineStr">
        <is>
          <t>Cluster</t>
        </is>
      </c>
      <c r="K353" s="28" t="n"/>
      <c r="L353" s="28" t="n"/>
      <c r="M353" s="28" t="n"/>
      <c r="N353" s="28" t="n">
        <v>20.7</v>
      </c>
      <c r="O353" s="8" t="n"/>
      <c r="P353" s="8" t="n"/>
    </row>
    <row r="354">
      <c r="A354" s="8" t="inlineStr">
        <is>
          <t>PGCV_0081_6864</t>
        </is>
      </c>
      <c r="B354" s="8" t="inlineStr">
        <is>
          <t>WVMC-SC2-24-007463</t>
        </is>
      </c>
      <c r="C354" s="8" t="inlineStr">
        <is>
          <t>ROXAS MEMORIAL PROVINCIAL HOSPITAL</t>
        </is>
      </c>
      <c r="D354" s="7" t="n">
        <v>6</v>
      </c>
      <c r="E354" s="8" t="inlineStr">
        <is>
          <t>Region VI (Western Visayas)</t>
        </is>
      </c>
      <c r="F354" s="7" t="n"/>
      <c r="G354" s="27" t="n">
        <v>45440</v>
      </c>
      <c r="H354" s="7" t="n">
        <v>69</v>
      </c>
      <c r="I354" s="7" t="inlineStr">
        <is>
          <t>M</t>
        </is>
      </c>
      <c r="J354" s="8" t="inlineStr">
        <is>
          <t>Admitted</t>
        </is>
      </c>
      <c r="K354" s="28" t="n"/>
      <c r="L354" s="28" t="n"/>
      <c r="M354" s="28" t="n"/>
      <c r="N354" s="28" t="n">
        <v>23.42</v>
      </c>
      <c r="O354" s="8" t="n"/>
      <c r="P354" s="8" t="n"/>
    </row>
    <row r="355">
      <c r="A355" s="8" t="inlineStr">
        <is>
          <t>PGCV_0081_6869</t>
        </is>
      </c>
      <c r="B355" s="8" t="inlineStr">
        <is>
          <t>WVMC-SC2-24-007484</t>
        </is>
      </c>
      <c r="C355" s="8" t="inlineStr">
        <is>
          <t>WESTERN VISAYAS MEDICAL CENTER</t>
        </is>
      </c>
      <c r="D355" s="7" t="n">
        <v>6</v>
      </c>
      <c r="E355" s="8" t="inlineStr">
        <is>
          <t>Region VI (Western Visayas)</t>
        </is>
      </c>
      <c r="F355" s="7" t="n"/>
      <c r="G355" s="27" t="n">
        <v>45442</v>
      </c>
      <c r="H355" s="7" t="n">
        <v>32</v>
      </c>
      <c r="I355" s="7" t="inlineStr">
        <is>
          <t>F</t>
        </is>
      </c>
      <c r="J355" s="8" t="inlineStr">
        <is>
          <t>Admitted</t>
        </is>
      </c>
      <c r="K355" s="28" t="n"/>
      <c r="L355" s="28" t="n"/>
      <c r="M355" s="28" t="n"/>
      <c r="N355" s="28" t="n">
        <v>24</v>
      </c>
      <c r="O355" s="8" t="n"/>
      <c r="P355" s="8" t="n"/>
    </row>
    <row r="356">
      <c r="A356" s="8" t="inlineStr">
        <is>
          <t>PGCV_0081_6870</t>
        </is>
      </c>
      <c r="B356" s="8" t="inlineStr">
        <is>
          <t>WVMC-SC2-24-007485</t>
        </is>
      </c>
      <c r="C356" s="8" t="inlineStr">
        <is>
          <t>WESTERN VISAYAS MEDICAL CENTER</t>
        </is>
      </c>
      <c r="D356" s="7" t="n">
        <v>6</v>
      </c>
      <c r="E356" s="8" t="inlineStr">
        <is>
          <t>Region VI (Western Visayas)</t>
        </is>
      </c>
      <c r="F356" s="7" t="n"/>
      <c r="G356" s="27" t="n">
        <v>45442</v>
      </c>
      <c r="H356" s="7" t="n">
        <v>73</v>
      </c>
      <c r="I356" s="7" t="inlineStr">
        <is>
          <t>F</t>
        </is>
      </c>
      <c r="J356" s="8" t="inlineStr">
        <is>
          <t>Admitted</t>
        </is>
      </c>
      <c r="K356" s="28" t="n"/>
      <c r="L356" s="28" t="n"/>
      <c r="M356" s="28" t="n"/>
      <c r="N356" s="28" t="n">
        <v>23.76</v>
      </c>
      <c r="O356" s="8" t="n"/>
      <c r="P356" s="8" t="n"/>
    </row>
    <row r="357">
      <c r="A357" s="8" t="inlineStr">
        <is>
          <t>PGCV_0081_6881</t>
        </is>
      </c>
      <c r="B357" s="8" t="inlineStr">
        <is>
          <t>WVMC-SC2-24-007575</t>
        </is>
      </c>
      <c r="C357" s="8" t="inlineStr">
        <is>
          <t>WESTERN VISAYAS MEDICAL CENTER</t>
        </is>
      </c>
      <c r="D357" s="7" t="n">
        <v>6</v>
      </c>
      <c r="E357" s="8" t="inlineStr">
        <is>
          <t>Region VI (Western Visayas)</t>
        </is>
      </c>
      <c r="F357" s="7" t="n"/>
      <c r="G357" s="27" t="n">
        <v>45445</v>
      </c>
      <c r="H357" s="7" t="n">
        <v>55</v>
      </c>
      <c r="I357" s="7" t="inlineStr">
        <is>
          <t>M</t>
        </is>
      </c>
      <c r="J357" s="8" t="inlineStr">
        <is>
          <t>Admitted</t>
        </is>
      </c>
      <c r="K357" s="28" t="n"/>
      <c r="L357" s="28" t="n"/>
      <c r="M357" s="28" t="n"/>
      <c r="N357" s="28" t="n">
        <v>25.05</v>
      </c>
      <c r="O357" s="8" t="n"/>
      <c r="P357" s="8" t="n"/>
    </row>
    <row r="358">
      <c r="A358" s="8" t="inlineStr">
        <is>
          <t>PGCV_0081_6887</t>
        </is>
      </c>
      <c r="B358" s="8" t="inlineStr">
        <is>
          <t>WVMC-SC2-24-007637</t>
        </is>
      </c>
      <c r="C358" s="8" t="inlineStr">
        <is>
          <t>REP. PEDRO G. TRONO MEMORIAL HOSPITAL</t>
        </is>
      </c>
      <c r="D358" s="7" t="n">
        <v>6</v>
      </c>
      <c r="E358" s="8" t="inlineStr">
        <is>
          <t>Region VI (Western Visayas)</t>
        </is>
      </c>
      <c r="F358" s="7" t="n"/>
      <c r="G358" s="27" t="n">
        <v>45446</v>
      </c>
      <c r="H358" s="7" t="n">
        <v>7</v>
      </c>
      <c r="I358" s="7" t="inlineStr">
        <is>
          <t>F</t>
        </is>
      </c>
      <c r="J358" s="8" t="inlineStr">
        <is>
          <t>Admitted</t>
        </is>
      </c>
      <c r="K358" s="28" t="n"/>
      <c r="L358" s="28" t="n"/>
      <c r="M358" s="28" t="n"/>
      <c r="N358" s="28" t="n">
        <v>27.91</v>
      </c>
      <c r="O358" s="8" t="n"/>
      <c r="P358" s="8" t="n"/>
    </row>
    <row r="359">
      <c r="A359" s="8" t="inlineStr">
        <is>
          <t>PGCV_0081_6889</t>
        </is>
      </c>
      <c r="B359" s="8" t="inlineStr">
        <is>
          <t>WVMC-SC2-24-007652</t>
        </is>
      </c>
      <c r="C359" s="8" t="inlineStr">
        <is>
          <t>WESTERN VISAYAS MEDICAL CENTER</t>
        </is>
      </c>
      <c r="D359" s="7" t="n">
        <v>6</v>
      </c>
      <c r="E359" s="8" t="inlineStr">
        <is>
          <t>Region VI (Western Visayas)</t>
        </is>
      </c>
      <c r="F359" s="7" t="n"/>
      <c r="G359" s="27" t="n">
        <v>45447</v>
      </c>
      <c r="H359" s="7" t="n">
        <v>28</v>
      </c>
      <c r="I359" s="7" t="inlineStr">
        <is>
          <t>F</t>
        </is>
      </c>
      <c r="J359" s="8" t="inlineStr">
        <is>
          <t>Cluster</t>
        </is>
      </c>
      <c r="K359" s="28" t="n"/>
      <c r="L359" s="28" t="n"/>
      <c r="M359" s="28" t="n"/>
      <c r="N359" s="28" t="n">
        <v>26.69</v>
      </c>
      <c r="O359" s="8" t="n"/>
      <c r="P359" s="8" t="n"/>
    </row>
    <row r="360">
      <c r="A360" s="8" t="inlineStr">
        <is>
          <t>PGCV_0081_6893</t>
        </is>
      </c>
      <c r="B360" s="8" t="inlineStr">
        <is>
          <t>WVMC-SC2-24-007696</t>
        </is>
      </c>
      <c r="C360" s="8" t="inlineStr">
        <is>
          <t>WESTERN VISAYAS MEDICAL CENTER</t>
        </is>
      </c>
      <c r="D360" s="7" t="n">
        <v>6</v>
      </c>
      <c r="E360" s="8" t="inlineStr">
        <is>
          <t>Region VI (Western Visayas)</t>
        </is>
      </c>
      <c r="F360" s="7" t="n"/>
      <c r="G360" s="27" t="n">
        <v>45448</v>
      </c>
      <c r="H360" s="7" t="n">
        <v>55</v>
      </c>
      <c r="I360" s="7" t="inlineStr">
        <is>
          <t>F</t>
        </is>
      </c>
      <c r="J360" s="8" t="inlineStr">
        <is>
          <t>Cluster</t>
        </is>
      </c>
      <c r="K360" s="28" t="n"/>
      <c r="L360" s="28" t="n"/>
      <c r="M360" s="28" t="n"/>
      <c r="N360" s="28" t="n">
        <v>27.92</v>
      </c>
      <c r="O360" s="8" t="n"/>
      <c r="P360" s="8" t="n"/>
    </row>
    <row r="361">
      <c r="A361" s="8" t="inlineStr">
        <is>
          <t>PGCV_0081_6900</t>
        </is>
      </c>
      <c r="B361" s="8" t="inlineStr">
        <is>
          <t>WVMC-SC2-24-007767</t>
        </is>
      </c>
      <c r="C361" s="8" t="inlineStr">
        <is>
          <t>WESTERN VISAYAS SANITARIUM</t>
        </is>
      </c>
      <c r="D361" s="7" t="n">
        <v>6</v>
      </c>
      <c r="E361" s="8" t="inlineStr">
        <is>
          <t>Region VI (Western Visayas)</t>
        </is>
      </c>
      <c r="F361" s="7" t="n"/>
      <c r="G361" s="27" t="n">
        <v>45448</v>
      </c>
      <c r="H361" s="7" t="n">
        <v>0</v>
      </c>
      <c r="I361" s="7" t="inlineStr">
        <is>
          <t>M</t>
        </is>
      </c>
      <c r="J361" s="8" t="inlineStr">
        <is>
          <t>Admitted</t>
        </is>
      </c>
      <c r="K361" s="28" t="n"/>
      <c r="L361" s="28" t="n"/>
      <c r="M361" s="28" t="n"/>
      <c r="N361" s="28" t="n">
        <v>27.43</v>
      </c>
      <c r="O361" s="8" t="n"/>
      <c r="P361" s="8" t="n"/>
    </row>
    <row r="362">
      <c r="A362" s="8" t="inlineStr">
        <is>
          <t>PGCV_0081_6902</t>
        </is>
      </c>
      <c r="B362" s="8" t="inlineStr">
        <is>
          <t>WVMC-SC2-24-007793</t>
        </is>
      </c>
      <c r="C362" s="8" t="inlineStr">
        <is>
          <t>WESTERN VISAYAS MEDICAL CENTER</t>
        </is>
      </c>
      <c r="D362" s="7" t="n">
        <v>6</v>
      </c>
      <c r="E362" s="8" t="inlineStr">
        <is>
          <t>Region VI (Western Visayas)</t>
        </is>
      </c>
      <c r="F362" s="7" t="n"/>
      <c r="G362" s="27" t="n">
        <v>45450</v>
      </c>
      <c r="H362" s="7" t="n">
        <v>82</v>
      </c>
      <c r="I362" s="7" t="inlineStr">
        <is>
          <t>F</t>
        </is>
      </c>
      <c r="J362" s="8" t="inlineStr">
        <is>
          <t>Admitted</t>
        </is>
      </c>
      <c r="K362" s="28" t="n"/>
      <c r="L362" s="28" t="n"/>
      <c r="M362" s="28" t="n"/>
      <c r="N362" s="28" t="n">
        <v>15.87</v>
      </c>
      <c r="O362" s="8" t="n"/>
      <c r="P362" s="8" t="n"/>
    </row>
    <row r="363">
      <c r="A363" s="8" t="inlineStr">
        <is>
          <t>PGCV_0081_6903</t>
        </is>
      </c>
      <c r="B363" s="8" t="inlineStr">
        <is>
          <t>WVMC-SC2-24-007807</t>
        </is>
      </c>
      <c r="C363" s="8" t="inlineStr">
        <is>
          <t>ROXAS MEMORIAL PROVINCIAL HOSPITAL</t>
        </is>
      </c>
      <c r="D363" s="7" t="n">
        <v>6</v>
      </c>
      <c r="E363" s="8" t="inlineStr">
        <is>
          <t>Region VI (Western Visayas)</t>
        </is>
      </c>
      <c r="F363" s="7" t="n"/>
      <c r="G363" s="27" t="n">
        <v>45449</v>
      </c>
      <c r="H363" s="7" t="n">
        <v>36</v>
      </c>
      <c r="I363" s="7" t="inlineStr">
        <is>
          <t>F</t>
        </is>
      </c>
      <c r="J363" s="8" t="inlineStr">
        <is>
          <t>Admitted</t>
        </is>
      </c>
      <c r="K363" s="28" t="n"/>
      <c r="L363" s="28" t="n"/>
      <c r="M363" s="28" t="n"/>
      <c r="N363" s="28" t="n">
        <v>28.75</v>
      </c>
      <c r="O363" s="8" t="n"/>
      <c r="P363" s="8" t="n"/>
    </row>
    <row r="364">
      <c r="A364" s="8" t="inlineStr">
        <is>
          <t>PGCV_0081_6904</t>
        </is>
      </c>
      <c r="B364" s="8" t="inlineStr">
        <is>
          <t>WVMC-SC2-24-007809</t>
        </is>
      </c>
      <c r="C364" s="8" t="inlineStr">
        <is>
          <t>ROXAS MEMORIAL PROVINCIAL HOSPITAL</t>
        </is>
      </c>
      <c r="D364" s="7" t="n">
        <v>6</v>
      </c>
      <c r="E364" s="8" t="inlineStr">
        <is>
          <t>Region VI (Western Visayas)</t>
        </is>
      </c>
      <c r="F364" s="7" t="n"/>
      <c r="G364" s="27" t="n">
        <v>45449</v>
      </c>
      <c r="H364" s="7" t="n">
        <v>32</v>
      </c>
      <c r="I364" s="7" t="inlineStr">
        <is>
          <t>F</t>
        </is>
      </c>
      <c r="J364" s="8" t="inlineStr">
        <is>
          <t>Cluster</t>
        </is>
      </c>
      <c r="K364" s="28" t="n"/>
      <c r="L364" s="28" t="n"/>
      <c r="M364" s="28" t="n"/>
      <c r="N364" s="28" t="n">
        <v>28.73</v>
      </c>
      <c r="O364" s="8" t="n"/>
      <c r="P364" s="8" t="n"/>
    </row>
    <row r="365">
      <c r="A365" s="8" t="inlineStr">
        <is>
          <t>PGCV_0081_6905</t>
        </is>
      </c>
      <c r="B365" s="8" t="inlineStr">
        <is>
          <t>WVMC-SC2-24-007838</t>
        </is>
      </c>
      <c r="C365" s="8" t="inlineStr">
        <is>
          <t>WESTERN VISAYAS MEDICAL CENTER</t>
        </is>
      </c>
      <c r="D365" s="7" t="n">
        <v>6</v>
      </c>
      <c r="E365" s="8" t="inlineStr">
        <is>
          <t>Region VI (Western Visayas)</t>
        </is>
      </c>
      <c r="F365" s="7" t="n"/>
      <c r="G365" s="27" t="n">
        <v>45450</v>
      </c>
      <c r="H365" s="7" t="n">
        <v>27</v>
      </c>
      <c r="I365" s="7" t="inlineStr">
        <is>
          <t>F</t>
        </is>
      </c>
      <c r="J365" s="8" t="inlineStr">
        <is>
          <t>Admitted</t>
        </is>
      </c>
      <c r="K365" s="28" t="n"/>
      <c r="L365" s="28" t="n"/>
      <c r="M365" s="28" t="n"/>
      <c r="N365" s="28" t="n">
        <v>21.45</v>
      </c>
      <c r="O365" s="8" t="n"/>
      <c r="P365" s="8" t="n"/>
    </row>
    <row r="366">
      <c r="A366" s="8" t="inlineStr">
        <is>
          <t>PGCV_0081_6912</t>
        </is>
      </c>
      <c r="B366" s="8" t="inlineStr">
        <is>
          <t>WVMC-SC2-24-007994</t>
        </is>
      </c>
      <c r="C366" s="8" t="inlineStr">
        <is>
          <t>WESTERN VISAYAS MEDICAL CENTER</t>
        </is>
      </c>
      <c r="D366" s="7" t="n">
        <v>6</v>
      </c>
      <c r="E366" s="8" t="inlineStr">
        <is>
          <t>Region VI (Western Visayas)</t>
        </is>
      </c>
      <c r="F366" s="7" t="n"/>
      <c r="G366" s="27" t="n">
        <v>45453</v>
      </c>
      <c r="H366" s="7" t="n">
        <v>50</v>
      </c>
      <c r="I366" s="7" t="inlineStr">
        <is>
          <t>M</t>
        </is>
      </c>
      <c r="J366" s="8" t="inlineStr">
        <is>
          <t>Admitted</t>
        </is>
      </c>
      <c r="K366" s="28" t="n"/>
      <c r="L366" s="28" t="n"/>
      <c r="M366" s="28" t="n"/>
      <c r="N366" s="28" t="n">
        <v>22.82</v>
      </c>
      <c r="O366" s="8" t="n"/>
      <c r="P366" s="8" t="n"/>
    </row>
    <row r="367">
      <c r="A367" s="8" t="inlineStr">
        <is>
          <t>PGCV_0081_6913</t>
        </is>
      </c>
      <c r="B367" s="8" t="inlineStr">
        <is>
          <t>WVMC-SC2-24-008014</t>
        </is>
      </c>
      <c r="C367" s="8" t="inlineStr">
        <is>
          <t>WESTERN VISAYAS MEDICAL CENTER</t>
        </is>
      </c>
      <c r="D367" s="7" t="n">
        <v>6</v>
      </c>
      <c r="E367" s="8" t="inlineStr">
        <is>
          <t>Region VI (Western Visayas)</t>
        </is>
      </c>
      <c r="F367" s="7" t="n"/>
      <c r="G367" s="27" t="n">
        <v>45453</v>
      </c>
      <c r="H367" s="7" t="n">
        <v>5</v>
      </c>
      <c r="I367" s="7" t="inlineStr">
        <is>
          <t>M</t>
        </is>
      </c>
      <c r="J367" s="8" t="inlineStr">
        <is>
          <t>Admitted</t>
        </is>
      </c>
      <c r="K367" s="28" t="n"/>
      <c r="L367" s="28" t="n"/>
      <c r="M367" s="28" t="n"/>
      <c r="N367" s="28" t="n">
        <v>30.52</v>
      </c>
      <c r="O367" s="8" t="n"/>
      <c r="P367" s="8" t="n"/>
    </row>
    <row r="368">
      <c r="A368" s="8" t="inlineStr">
        <is>
          <t>PGCV_0081_6922</t>
        </is>
      </c>
      <c r="B368" s="8" t="inlineStr">
        <is>
          <t>MLAB187514</t>
        </is>
      </c>
      <c r="C368" s="8" t="inlineStr">
        <is>
          <t>METRO ILOILO HOSPITAL AND MEDICAL CENTER</t>
        </is>
      </c>
      <c r="D368" s="7" t="n">
        <v>6</v>
      </c>
      <c r="E368" s="8" t="inlineStr">
        <is>
          <t>Region VI (Western Visayas)</t>
        </is>
      </c>
      <c r="F368" s="7" t="n"/>
      <c r="G368" s="27" t="n">
        <v>45442</v>
      </c>
      <c r="H368" s="7" t="n">
        <v>54</v>
      </c>
      <c r="I368" s="7" t="inlineStr">
        <is>
          <t>M</t>
        </is>
      </c>
      <c r="J368" s="8" t="inlineStr">
        <is>
          <t>Unknown Exposure</t>
        </is>
      </c>
      <c r="K368" s="28" t="n"/>
      <c r="L368" s="28" t="n">
        <v>16.64</v>
      </c>
      <c r="M368" s="28" t="n">
        <v>19.64</v>
      </c>
      <c r="N368" s="28" t="n">
        <v>17.04</v>
      </c>
      <c r="O368" s="8" t="n"/>
      <c r="P368" s="8" t="n"/>
    </row>
    <row r="369">
      <c r="A369" s="8" t="inlineStr">
        <is>
          <t>PGCV_0081_6923</t>
        </is>
      </c>
      <c r="B369" s="8" t="inlineStr">
        <is>
          <t>MLAB187527</t>
        </is>
      </c>
      <c r="C369" s="8" t="inlineStr">
        <is>
          <t>METRO ILOILO HOSPITAL AND MEDICAL CENTER</t>
        </is>
      </c>
      <c r="D369" s="7" t="n">
        <v>6</v>
      </c>
      <c r="E369" s="8" t="inlineStr">
        <is>
          <t>Region VI (Western Visayas)</t>
        </is>
      </c>
      <c r="F369" s="7" t="n"/>
      <c r="G369" s="27" t="n">
        <v>45447</v>
      </c>
      <c r="H369" s="7" t="n">
        <v>39</v>
      </c>
      <c r="I369" s="7" t="inlineStr">
        <is>
          <t>M</t>
        </is>
      </c>
      <c r="J369" s="8" t="inlineStr">
        <is>
          <t>Unknown Exposure</t>
        </is>
      </c>
      <c r="K369" s="28" t="n"/>
      <c r="L369" s="28" t="n">
        <v>20.23</v>
      </c>
      <c r="M369" s="28" t="n">
        <v>23.34</v>
      </c>
      <c r="N369" s="28" t="n">
        <v>20.74</v>
      </c>
      <c r="O369" s="8" t="n"/>
      <c r="P369" s="8" t="n"/>
    </row>
    <row r="370">
      <c r="A370" s="8" t="inlineStr">
        <is>
          <t>PGCV_0081_6944</t>
        </is>
      </c>
      <c r="B370" s="8" t="inlineStr">
        <is>
          <t>1405B154445</t>
        </is>
      </c>
      <c r="C370" s="8" t="inlineStr">
        <is>
          <t>CLMMRH-ML</t>
        </is>
      </c>
      <c r="D370" s="7" t="n">
        <v>6</v>
      </c>
      <c r="E370" s="8" t="inlineStr">
        <is>
          <t>Region VI (Western Visayas)</t>
        </is>
      </c>
      <c r="F370" s="7" t="n"/>
      <c r="G370" s="27" t="n">
        <v>45442</v>
      </c>
      <c r="H370" s="7" t="n">
        <v>28</v>
      </c>
      <c r="I370" s="7" t="inlineStr">
        <is>
          <t>M</t>
        </is>
      </c>
      <c r="J370" s="8" t="inlineStr">
        <is>
          <t>Unknown Exposure</t>
        </is>
      </c>
      <c r="K370" s="28" t="n">
        <v>17.94</v>
      </c>
      <c r="L370" s="28" t="n">
        <v>15.95</v>
      </c>
      <c r="M370" s="28" t="n"/>
      <c r="N370" s="28" t="n"/>
      <c r="O370" s="8" t="n"/>
      <c r="P370" s="8" t="n"/>
    </row>
    <row r="371">
      <c r="A371" s="8" t="inlineStr">
        <is>
          <t>PGCV_0082_6995</t>
        </is>
      </c>
      <c r="B371" s="8" t="inlineStr">
        <is>
          <t>1430B155129</t>
        </is>
      </c>
      <c r="C371" s="8" t="inlineStr">
        <is>
          <t>CLMMRH-ML</t>
        </is>
      </c>
      <c r="D371" s="7" t="n">
        <v>6</v>
      </c>
      <c r="E371" s="8" t="inlineStr">
        <is>
          <t>Region VI (Western Visayas)</t>
        </is>
      </c>
      <c r="F371" s="7" t="n"/>
      <c r="G371" s="27" t="n">
        <v>45467</v>
      </c>
      <c r="H371" s="7" t="n">
        <v>32</v>
      </c>
      <c r="I371" s="7" t="inlineStr">
        <is>
          <t>F</t>
        </is>
      </c>
      <c r="J371" s="8" t="inlineStr">
        <is>
          <t>Unknown Exposure</t>
        </is>
      </c>
      <c r="K371" s="28" t="n">
        <v>26.71</v>
      </c>
      <c r="L371" s="28" t="n">
        <v>22.61</v>
      </c>
      <c r="M371" s="28" t="n"/>
      <c r="N371" s="28" t="n"/>
      <c r="O371" s="8" t="n"/>
      <c r="P371" s="8" t="n"/>
    </row>
    <row r="372">
      <c r="A372" s="8" t="inlineStr">
        <is>
          <t>PGCV_0082_7015</t>
        </is>
      </c>
      <c r="B372" s="8" t="inlineStr">
        <is>
          <t>WVMC-SC2-24-008160</t>
        </is>
      </c>
      <c r="C372" s="8" t="inlineStr">
        <is>
          <t>SANTA BARBARA RURAL HEALTH UNIT</t>
        </is>
      </c>
      <c r="D372" s="7" t="n">
        <v>6</v>
      </c>
      <c r="E372" s="8" t="inlineStr">
        <is>
          <t>Region VI (Western Visayas)</t>
        </is>
      </c>
      <c r="F372" s="7" t="n"/>
      <c r="G372" s="27" t="n">
        <v>45456</v>
      </c>
      <c r="H372" s="7" t="n">
        <v>66</v>
      </c>
      <c r="I372" s="7" t="inlineStr">
        <is>
          <t>M</t>
        </is>
      </c>
      <c r="J372" s="8" t="inlineStr">
        <is>
          <t>Cluster</t>
        </is>
      </c>
      <c r="K372" s="28" t="n"/>
      <c r="L372" s="28" t="n"/>
      <c r="M372" s="28" t="n"/>
      <c r="N372" s="28" t="n">
        <v>29.65</v>
      </c>
      <c r="O372" s="8" t="n"/>
      <c r="P372" s="8" t="n"/>
    </row>
    <row r="373">
      <c r="A373" s="8" t="inlineStr">
        <is>
          <t>PGCV_0082_7019</t>
        </is>
      </c>
      <c r="B373" s="8" t="inlineStr">
        <is>
          <t>WVMC-SC2-24-008165</t>
        </is>
      </c>
      <c r="C373" s="8" t="inlineStr">
        <is>
          <t>WESTERN VISAYAS SANITARIUM</t>
        </is>
      </c>
      <c r="D373" s="7" t="n">
        <v>6</v>
      </c>
      <c r="E373" s="8" t="inlineStr">
        <is>
          <t>Region VI (Western Visayas)</t>
        </is>
      </c>
      <c r="F373" s="7" t="n"/>
      <c r="G373" s="27" t="n">
        <v>45455</v>
      </c>
      <c r="H373" s="7" t="n">
        <v>0</v>
      </c>
      <c r="I373" s="7" t="inlineStr">
        <is>
          <t>M</t>
        </is>
      </c>
      <c r="J373" s="8" t="inlineStr">
        <is>
          <t>Admitted</t>
        </is>
      </c>
      <c r="K373" s="28" t="n"/>
      <c r="L373" s="28" t="n"/>
      <c r="M373" s="28" t="n"/>
      <c r="N373" s="28" t="n">
        <v>23.37</v>
      </c>
      <c r="O373" s="8" t="n"/>
      <c r="P373" s="8" t="n"/>
    </row>
    <row r="374">
      <c r="A374" s="8" t="inlineStr">
        <is>
          <t>PGCV_0082_7024</t>
        </is>
      </c>
      <c r="B374" s="8" t="inlineStr">
        <is>
          <t>WVMC-SC2-24-008200</t>
        </is>
      </c>
      <c r="C374" s="8" t="inlineStr">
        <is>
          <t>WESTERN VISAYAS MEDICAL CENTER</t>
        </is>
      </c>
      <c r="D374" s="7" t="n">
        <v>6</v>
      </c>
      <c r="E374" s="8" t="inlineStr">
        <is>
          <t>Region VI (Western Visayas)</t>
        </is>
      </c>
      <c r="F374" s="7" t="n"/>
      <c r="G374" s="27" t="n">
        <v>45457</v>
      </c>
      <c r="H374" s="7" t="n">
        <v>56</v>
      </c>
      <c r="I374" s="7" t="inlineStr">
        <is>
          <t>M</t>
        </is>
      </c>
      <c r="J374" s="8" t="inlineStr">
        <is>
          <t>Cluster</t>
        </is>
      </c>
      <c r="K374" s="28" t="n"/>
      <c r="L374" s="28" t="n"/>
      <c r="M374" s="28" t="n"/>
      <c r="N374" s="28" t="n">
        <v>27.7</v>
      </c>
      <c r="O374" s="8" t="n"/>
      <c r="P374" s="8" t="n"/>
    </row>
    <row r="375">
      <c r="A375" s="8" t="inlineStr">
        <is>
          <t>PGCV_0082_7027</t>
        </is>
      </c>
      <c r="B375" s="8" t="inlineStr">
        <is>
          <t>WVMC-SC2-24-008220</t>
        </is>
      </c>
      <c r="C375" s="8" t="inlineStr">
        <is>
          <t>WESTERN VISAYAS SANITARIUM</t>
        </is>
      </c>
      <c r="D375" s="7" t="n">
        <v>6</v>
      </c>
      <c r="E375" s="8" t="inlineStr">
        <is>
          <t>Region VI (Western Visayas)</t>
        </is>
      </c>
      <c r="F375" s="7" t="n"/>
      <c r="G375" s="27" t="n">
        <v>45456</v>
      </c>
      <c r="H375" s="7" t="n">
        <v>0</v>
      </c>
      <c r="I375" s="7" t="inlineStr">
        <is>
          <t>M</t>
        </is>
      </c>
      <c r="J375" s="8" t="inlineStr">
        <is>
          <t>Admitted</t>
        </is>
      </c>
      <c r="K375" s="28" t="n"/>
      <c r="L375" s="28" t="n"/>
      <c r="M375" s="28" t="n"/>
      <c r="N375" s="28" t="n">
        <v>24.93</v>
      </c>
      <c r="O375" s="8" t="n"/>
      <c r="P375" s="8" t="n"/>
    </row>
    <row r="376">
      <c r="A376" s="8" t="inlineStr">
        <is>
          <t>PGCV_0082_7030</t>
        </is>
      </c>
      <c r="B376" s="8" t="inlineStr">
        <is>
          <t>WVMC-SC2-24-008274</t>
        </is>
      </c>
      <c r="C376" s="8" t="inlineStr">
        <is>
          <t>WESTERN VISAYAS MEDICAL CENTER</t>
        </is>
      </c>
      <c r="D376" s="7" t="n">
        <v>6</v>
      </c>
      <c r="E376" s="8" t="inlineStr">
        <is>
          <t>Region VI (Western Visayas)</t>
        </is>
      </c>
      <c r="F376" s="7" t="n"/>
      <c r="G376" s="27" t="n">
        <v>45458</v>
      </c>
      <c r="H376" s="7" t="n">
        <v>0</v>
      </c>
      <c r="I376" s="7" t="inlineStr">
        <is>
          <t>M</t>
        </is>
      </c>
      <c r="J376" s="8" t="inlineStr">
        <is>
          <t>Cluster</t>
        </is>
      </c>
      <c r="K376" s="28" t="n"/>
      <c r="L376" s="28" t="n"/>
      <c r="M376" s="28" t="n"/>
      <c r="N376" s="28" t="n">
        <v>27.61</v>
      </c>
      <c r="O376" s="8" t="n"/>
      <c r="P376" s="8" t="n"/>
    </row>
    <row r="377">
      <c r="A377" s="8" t="inlineStr">
        <is>
          <t>PGCV_0082_7036</t>
        </is>
      </c>
      <c r="B377" s="8" t="inlineStr">
        <is>
          <t>WVMC-SC2-24-008398</t>
        </is>
      </c>
      <c r="C377" s="8" t="inlineStr">
        <is>
          <t>WESTERN VISAYAS MEDICAL CENTER</t>
        </is>
      </c>
      <c r="D377" s="7" t="n">
        <v>6</v>
      </c>
      <c r="E377" s="8" t="inlineStr">
        <is>
          <t>Region VI (Western Visayas)</t>
        </is>
      </c>
      <c r="F377" s="7" t="n"/>
      <c r="G377" s="27" t="n">
        <v>45460</v>
      </c>
      <c r="H377" s="7" t="n">
        <v>51</v>
      </c>
      <c r="I377" s="7" t="inlineStr">
        <is>
          <t>M</t>
        </is>
      </c>
      <c r="J377" s="8" t="inlineStr">
        <is>
          <t>Cluster</t>
        </is>
      </c>
      <c r="K377" s="28" t="n"/>
      <c r="L377" s="28" t="n"/>
      <c r="M377" s="28" t="n"/>
      <c r="N377" s="28" t="n">
        <v>28.58</v>
      </c>
      <c r="O377" s="8" t="n"/>
      <c r="P377" s="8" t="n"/>
    </row>
    <row r="378">
      <c r="A378" s="8" t="inlineStr">
        <is>
          <t>PGCV_0082_7041</t>
        </is>
      </c>
      <c r="B378" s="8" t="inlineStr">
        <is>
          <t>WVMC-SC2-24-008441</t>
        </is>
      </c>
      <c r="C378" s="8" t="inlineStr">
        <is>
          <t>WESTERN VISAYAS MEDICAL CENTER</t>
        </is>
      </c>
      <c r="D378" s="7" t="n">
        <v>6</v>
      </c>
      <c r="E378" s="8" t="inlineStr">
        <is>
          <t>Region VI (Western Visayas)</t>
        </is>
      </c>
      <c r="F378" s="7" t="n"/>
      <c r="G378" s="27" t="n">
        <v>45461</v>
      </c>
      <c r="H378" s="7" t="n">
        <v>57</v>
      </c>
      <c r="I378" s="7" t="inlineStr">
        <is>
          <t>F</t>
        </is>
      </c>
      <c r="J378" s="8" t="inlineStr">
        <is>
          <t>Cluster</t>
        </is>
      </c>
      <c r="K378" s="28" t="n"/>
      <c r="L378" s="28" t="n"/>
      <c r="M378" s="28" t="n"/>
      <c r="N378" s="28" t="n">
        <v>22.88</v>
      </c>
      <c r="O378" s="8" t="n"/>
      <c r="P378" s="8" t="n"/>
    </row>
    <row r="379">
      <c r="A379" s="8" t="inlineStr">
        <is>
          <t>PGCV_0082_7046</t>
        </is>
      </c>
      <c r="B379" s="8" t="inlineStr">
        <is>
          <t>WVMC-SC2-24-008527</t>
        </is>
      </c>
      <c r="C379" s="8" t="inlineStr">
        <is>
          <t>SAN JOAQUIN MOTHER AND CHILD HOSPITAL</t>
        </is>
      </c>
      <c r="D379" s="7" t="n">
        <v>6</v>
      </c>
      <c r="E379" s="8" t="inlineStr">
        <is>
          <t>Region VI (Western Visayas)</t>
        </is>
      </c>
      <c r="F379" s="7" t="n"/>
      <c r="G379" s="27" t="n">
        <v>45462</v>
      </c>
      <c r="H379" s="7" t="n">
        <v>46</v>
      </c>
      <c r="I379" s="7" t="inlineStr">
        <is>
          <t>M</t>
        </is>
      </c>
      <c r="J379" s="8" t="inlineStr">
        <is>
          <t>Admitted</t>
        </is>
      </c>
      <c r="K379" s="28" t="n"/>
      <c r="L379" s="28" t="n"/>
      <c r="M379" s="28" t="n"/>
      <c r="N379" s="28" t="n">
        <v>30.49</v>
      </c>
      <c r="O379" s="8" t="n"/>
      <c r="P379" s="8" t="n"/>
    </row>
    <row r="380">
      <c r="A380" s="8" t="inlineStr">
        <is>
          <t>PGCV_0082_7047</t>
        </is>
      </c>
      <c r="B380" s="8" t="inlineStr">
        <is>
          <t>WVMC-SC2-24-008530</t>
        </is>
      </c>
      <c r="C380" s="8" t="inlineStr">
        <is>
          <t>REP. PEDRO G. TRONO MEMORIAL HOSPITAL</t>
        </is>
      </c>
      <c r="D380" s="7" t="n">
        <v>6</v>
      </c>
      <c r="E380" s="8" t="inlineStr">
        <is>
          <t>Region VI (Western Visayas)</t>
        </is>
      </c>
      <c r="F380" s="7" t="n"/>
      <c r="G380" s="27" t="n">
        <v>45461</v>
      </c>
      <c r="H380" s="7" t="n">
        <v>69</v>
      </c>
      <c r="I380" s="7" t="inlineStr">
        <is>
          <t>M</t>
        </is>
      </c>
      <c r="J380" s="8" t="inlineStr">
        <is>
          <t>Admitted</t>
        </is>
      </c>
      <c r="K380" s="28" t="n"/>
      <c r="L380" s="28" t="n"/>
      <c r="M380" s="28" t="n"/>
      <c r="N380" s="28" t="n">
        <v>27.28</v>
      </c>
      <c r="O380" s="8" t="n"/>
      <c r="P380" s="8" t="n"/>
    </row>
    <row r="381">
      <c r="A381" s="8" t="inlineStr">
        <is>
          <t>PGCV_0082_7052</t>
        </is>
      </c>
      <c r="B381" s="8" t="inlineStr">
        <is>
          <t>WVMC-SC2-24-008649</t>
        </is>
      </c>
      <c r="C381" s="8" t="inlineStr">
        <is>
          <t>ROXAS MEMORIAL PROVINCIAL HOSPITAL</t>
        </is>
      </c>
      <c r="D381" s="7" t="n">
        <v>6</v>
      </c>
      <c r="E381" s="8" t="inlineStr">
        <is>
          <t>Region VI (Western Visayas)</t>
        </is>
      </c>
      <c r="F381" s="7" t="n"/>
      <c r="G381" s="27" t="n">
        <v>45462</v>
      </c>
      <c r="H381" s="7" t="n">
        <v>52</v>
      </c>
      <c r="I381" s="7" t="inlineStr">
        <is>
          <t>F</t>
        </is>
      </c>
      <c r="J381" s="8" t="inlineStr">
        <is>
          <t>Admitted</t>
        </is>
      </c>
      <c r="K381" s="28" t="n"/>
      <c r="L381" s="28" t="n"/>
      <c r="M381" s="28" t="n"/>
      <c r="N381" s="28" t="n">
        <v>27.65</v>
      </c>
      <c r="O381" s="8" t="n"/>
      <c r="P381" s="8" t="n"/>
    </row>
    <row r="382">
      <c r="A382" s="8" t="inlineStr">
        <is>
          <t>PGCV_0082_7053</t>
        </is>
      </c>
      <c r="B382" s="8" t="inlineStr">
        <is>
          <t>WVMC-SC2-24-008652</t>
        </is>
      </c>
      <c r="C382" s="8" t="inlineStr">
        <is>
          <t>ROXAS MEMORIAL PROVINCIAL HOSPITAL</t>
        </is>
      </c>
      <c r="D382" s="7" t="n">
        <v>6</v>
      </c>
      <c r="E382" s="8" t="inlineStr">
        <is>
          <t>Region VI (Western Visayas)</t>
        </is>
      </c>
      <c r="F382" s="7" t="n"/>
      <c r="G382" s="27" t="n">
        <v>45462</v>
      </c>
      <c r="H382" s="7" t="n">
        <v>5</v>
      </c>
      <c r="I382" s="7" t="inlineStr">
        <is>
          <t>F</t>
        </is>
      </c>
      <c r="J382" s="8" t="inlineStr">
        <is>
          <t>Admitted</t>
        </is>
      </c>
      <c r="K382" s="28" t="n"/>
      <c r="L382" s="28" t="n"/>
      <c r="M382" s="28" t="n"/>
      <c r="N382" s="28" t="n">
        <v>26.82</v>
      </c>
      <c r="O382" s="8" t="n"/>
      <c r="P382" s="8" t="n"/>
    </row>
    <row r="383">
      <c r="A383" s="8" t="inlineStr">
        <is>
          <t>PGCV_0082_7054</t>
        </is>
      </c>
      <c r="B383" s="8" t="inlineStr">
        <is>
          <t>WVMC-SC2-24-008653</t>
        </is>
      </c>
      <c r="C383" s="8" t="inlineStr">
        <is>
          <t>ROXAS MEMORIAL PROVINCIAL HOSPITAL</t>
        </is>
      </c>
      <c r="D383" s="7" t="n">
        <v>6</v>
      </c>
      <c r="E383" s="8" t="inlineStr">
        <is>
          <t>Region VI (Western Visayas)</t>
        </is>
      </c>
      <c r="F383" s="7" t="n"/>
      <c r="G383" s="27" t="n">
        <v>45462</v>
      </c>
      <c r="H383" s="7" t="n">
        <v>18</v>
      </c>
      <c r="I383" s="7" t="inlineStr">
        <is>
          <t>F</t>
        </is>
      </c>
      <c r="J383" s="8" t="inlineStr">
        <is>
          <t>Admitted</t>
        </is>
      </c>
      <c r="K383" s="28" t="n"/>
      <c r="L383" s="28" t="n"/>
      <c r="M383" s="28" t="n"/>
      <c r="N383" s="28" t="n">
        <v>25.04</v>
      </c>
      <c r="O383" s="8" t="n"/>
      <c r="P383" s="8" t="n"/>
    </row>
    <row r="384">
      <c r="A384" s="8" t="inlineStr">
        <is>
          <t>PGCV_0082_7062</t>
        </is>
      </c>
      <c r="B384" s="8" t="inlineStr">
        <is>
          <t>WVMC-SC2-24-008836</t>
        </is>
      </c>
      <c r="C384" s="8" t="inlineStr">
        <is>
          <t>WESTERN VISAYAS MEDICAL CENTER</t>
        </is>
      </c>
      <c r="D384" s="7" t="n">
        <v>6</v>
      </c>
      <c r="E384" s="8" t="inlineStr">
        <is>
          <t>Region VI (Western Visayas)</t>
        </is>
      </c>
      <c r="F384" s="7" t="n"/>
      <c r="G384" s="27" t="n">
        <v>45467</v>
      </c>
      <c r="H384" s="7" t="n">
        <v>26</v>
      </c>
      <c r="I384" s="7" t="inlineStr">
        <is>
          <t>F</t>
        </is>
      </c>
      <c r="J384" s="8" t="inlineStr">
        <is>
          <t>Cluster</t>
        </is>
      </c>
      <c r="K384" s="28" t="n"/>
      <c r="L384" s="28" t="n"/>
      <c r="M384" s="28" t="n"/>
      <c r="N384" s="28" t="n">
        <v>30.33</v>
      </c>
      <c r="O384" s="8" t="n"/>
      <c r="P384" s="8" t="n"/>
    </row>
    <row r="385">
      <c r="A385" s="8" t="inlineStr">
        <is>
          <t>PGCV_0082_7064</t>
        </is>
      </c>
      <c r="B385" s="8" t="inlineStr">
        <is>
          <t>WVMC-SC2-24-008844</t>
        </is>
      </c>
      <c r="C385" s="8" t="inlineStr">
        <is>
          <t>WESTERN VISAYAS MEDICAL CENTER</t>
        </is>
      </c>
      <c r="D385" s="7" t="n">
        <v>6</v>
      </c>
      <c r="E385" s="8" t="inlineStr">
        <is>
          <t>Region VI (Western Visayas)</t>
        </is>
      </c>
      <c r="F385" s="7" t="n"/>
      <c r="G385" s="27" t="n">
        <v>45467</v>
      </c>
      <c r="H385" s="7" t="n">
        <v>37</v>
      </c>
      <c r="I385" s="7" t="inlineStr">
        <is>
          <t>F</t>
        </is>
      </c>
      <c r="J385" s="8" t="inlineStr">
        <is>
          <t>Cluster</t>
        </is>
      </c>
      <c r="K385" s="28" t="n"/>
      <c r="L385" s="28" t="n"/>
      <c r="M385" s="28" t="n"/>
      <c r="N385" s="28" t="n">
        <v>29.75</v>
      </c>
      <c r="O385" s="8" t="n"/>
      <c r="P385" s="8" t="n"/>
    </row>
    <row r="386">
      <c r="A386" s="8" t="inlineStr">
        <is>
          <t>PGCV_0082_7068</t>
        </is>
      </c>
      <c r="B386" s="8" t="inlineStr">
        <is>
          <t>WVMC-SC2-24-008923</t>
        </is>
      </c>
      <c r="C386" s="8" t="inlineStr">
        <is>
          <t>WESTERN VISAYAS MEDICAL CENTER</t>
        </is>
      </c>
      <c r="D386" s="7" t="n">
        <v>6</v>
      </c>
      <c r="E386" s="8" t="inlineStr">
        <is>
          <t>Region VI (Western Visayas)</t>
        </is>
      </c>
      <c r="F386" s="7" t="n"/>
      <c r="G386" s="27" t="n">
        <v>45469</v>
      </c>
      <c r="H386" s="7" t="n">
        <v>79</v>
      </c>
      <c r="I386" s="7" t="inlineStr">
        <is>
          <t>F</t>
        </is>
      </c>
      <c r="J386" s="8" t="inlineStr">
        <is>
          <t>Cluster</t>
        </is>
      </c>
      <c r="K386" s="28" t="n"/>
      <c r="L386" s="28" t="n"/>
      <c r="M386" s="28" t="n"/>
      <c r="N386" s="28" t="n">
        <v>29.99</v>
      </c>
      <c r="O386" s="8" t="n"/>
      <c r="P386" s="8" t="n"/>
    </row>
    <row r="387">
      <c r="A387" s="8" t="inlineStr">
        <is>
          <t>PGCV_0082_7084</t>
        </is>
      </c>
      <c r="B387" s="8" t="inlineStr">
        <is>
          <t>WVMC-SC2-24-009321</t>
        </is>
      </c>
      <c r="C387" s="8" t="inlineStr">
        <is>
          <t>REP. PEDRO G. TRONO MEMORIAL HOSPITAL</t>
        </is>
      </c>
      <c r="D387" s="7" t="n">
        <v>6</v>
      </c>
      <c r="E387" s="8" t="inlineStr">
        <is>
          <t>Region VI (Western Visayas)</t>
        </is>
      </c>
      <c r="F387" s="7" t="n"/>
      <c r="G387" s="27" t="n">
        <v>45476</v>
      </c>
      <c r="H387" s="7" t="n">
        <v>1</v>
      </c>
      <c r="I387" s="7" t="inlineStr">
        <is>
          <t>M</t>
        </is>
      </c>
      <c r="J387" s="8" t="inlineStr">
        <is>
          <t>Admitted</t>
        </is>
      </c>
      <c r="K387" s="28" t="n"/>
      <c r="L387" s="28" t="n"/>
      <c r="M387" s="28" t="n"/>
      <c r="N387" s="28" t="n">
        <v>28.96</v>
      </c>
      <c r="O387" s="8" t="n"/>
      <c r="P387" s="8" t="n"/>
    </row>
    <row r="388">
      <c r="A388" s="8" t="inlineStr">
        <is>
          <t>PGCV_0082_7085</t>
        </is>
      </c>
      <c r="B388" s="8" t="inlineStr">
        <is>
          <t>WVMC-SC2-24-009327</t>
        </is>
      </c>
      <c r="C388" s="8" t="inlineStr">
        <is>
          <t>WESTERN VISAYAS MEDICAL CENTER</t>
        </is>
      </c>
      <c r="D388" s="7" t="n">
        <v>6</v>
      </c>
      <c r="E388" s="8" t="inlineStr">
        <is>
          <t>Region VI (Western Visayas)</t>
        </is>
      </c>
      <c r="F388" s="7" t="n"/>
      <c r="G388" s="27" t="n">
        <v>45476</v>
      </c>
      <c r="H388" s="7" t="n">
        <v>47</v>
      </c>
      <c r="I388" s="7" t="inlineStr">
        <is>
          <t>F</t>
        </is>
      </c>
      <c r="J388" s="8" t="inlineStr">
        <is>
          <t>Cluster</t>
        </is>
      </c>
      <c r="K388" s="28" t="n"/>
      <c r="L388" s="28" t="n"/>
      <c r="M388" s="28" t="n"/>
      <c r="N388" s="28" t="n">
        <v>27.98</v>
      </c>
      <c r="O388" s="8" t="n"/>
      <c r="P388" s="8" t="n"/>
    </row>
    <row r="389">
      <c r="A389" s="8" t="inlineStr">
        <is>
          <t>PGCV_0084_7124</t>
        </is>
      </c>
      <c r="B389" s="8" t="inlineStr">
        <is>
          <t>WVMC-SC2-24-014146</t>
        </is>
      </c>
      <c r="C389" s="8" t="inlineStr">
        <is>
          <t>WESTERN VISAYAS MEDICAL CENTER</t>
        </is>
      </c>
      <c r="D389" s="7" t="n">
        <v>6</v>
      </c>
      <c r="E389" s="8" t="inlineStr">
        <is>
          <t>Region VI (Western Visayas)</t>
        </is>
      </c>
      <c r="F389" s="7" t="n"/>
      <c r="G389" s="27" t="n">
        <v>45569</v>
      </c>
      <c r="H389" s="7" t="n">
        <v>79</v>
      </c>
      <c r="I389" s="7" t="inlineStr">
        <is>
          <t>M</t>
        </is>
      </c>
      <c r="J389" s="8" t="inlineStr">
        <is>
          <t>Admitted</t>
        </is>
      </c>
      <c r="K389" s="28" t="n"/>
      <c r="L389" s="28" t="n"/>
      <c r="M389" s="28" t="n"/>
      <c r="N389" s="28" t="n">
        <v>18.37</v>
      </c>
      <c r="O389" s="8" t="n"/>
      <c r="P389" s="8" t="n"/>
    </row>
    <row r="390">
      <c r="A390" s="8" t="inlineStr">
        <is>
          <t>PGCV_0085_7133</t>
        </is>
      </c>
      <c r="B390" s="8" t="inlineStr">
        <is>
          <t>WVMC-SC2-24-014646</t>
        </is>
      </c>
      <c r="C390" s="8" t="inlineStr">
        <is>
          <t>WESTERN VISAYAS MEDICAL CENTER</t>
        </is>
      </c>
      <c r="D390" s="7" t="n">
        <v>6</v>
      </c>
      <c r="E390" s="8" t="inlineStr">
        <is>
          <t>Region VI (Western Visayas)</t>
        </is>
      </c>
      <c r="F390" s="7" t="n"/>
      <c r="G390" s="27" t="n">
        <v>45582</v>
      </c>
      <c r="H390" s="7" t="n">
        <v>44</v>
      </c>
      <c r="I390" s="7" t="inlineStr">
        <is>
          <t>M</t>
        </is>
      </c>
      <c r="J390" s="8" t="inlineStr">
        <is>
          <t>Unknown Exposure</t>
        </is>
      </c>
      <c r="K390" s="28" t="n"/>
      <c r="L390" s="28" t="n"/>
      <c r="M390" s="28" t="n"/>
      <c r="N390" s="28" t="n">
        <v>25.99</v>
      </c>
      <c r="O390" s="8" t="n"/>
      <c r="P390" s="8" t="n"/>
    </row>
    <row r="391">
      <c r="A391" s="8" t="inlineStr">
        <is>
          <t>PGCV_0086_7219</t>
        </is>
      </c>
      <c r="B391" s="8" t="inlineStr">
        <is>
          <t>WVMC-SC2-24-016831</t>
        </is>
      </c>
      <c r="C391" s="8" t="inlineStr">
        <is>
          <t>WESTERN VISAYAS MEDICAL CENTER</t>
        </is>
      </c>
      <c r="D391" s="7" t="n">
        <v>6</v>
      </c>
      <c r="E391" s="8" t="inlineStr">
        <is>
          <t>Region VI (Western Visayas)</t>
        </is>
      </c>
      <c r="F391" s="7" t="n"/>
      <c r="G391" s="27" t="n">
        <v>45628</v>
      </c>
      <c r="H391" s="7" t="n">
        <v>0</v>
      </c>
      <c r="I391" s="7" t="inlineStr">
        <is>
          <t>M</t>
        </is>
      </c>
      <c r="J391" s="8" t="inlineStr">
        <is>
          <t>Admitted</t>
        </is>
      </c>
      <c r="K391" s="28" t="n"/>
      <c r="L391" s="28" t="n"/>
      <c r="M391" s="28" t="n"/>
      <c r="N391" s="28" t="n">
        <v>29.52</v>
      </c>
      <c r="O391" s="8" t="n"/>
      <c r="P391" s="8" t="n"/>
    </row>
    <row r="392">
      <c r="A392" s="8" t="inlineStr">
        <is>
          <t>PGCV_0086_7220</t>
        </is>
      </c>
      <c r="B392" s="8" t="inlineStr">
        <is>
          <t>WVMC-SC2-24-016832</t>
        </is>
      </c>
      <c r="C392" s="8" t="inlineStr">
        <is>
          <t>WESTERN VISAYAS MEDICAL CENTER</t>
        </is>
      </c>
      <c r="D392" s="7" t="n">
        <v>6</v>
      </c>
      <c r="E392" s="8" t="inlineStr">
        <is>
          <t>Region VI (Western Visayas)</t>
        </is>
      </c>
      <c r="F392" s="7" t="n"/>
      <c r="G392" s="27" t="n">
        <v>45628</v>
      </c>
      <c r="H392" s="7" t="n">
        <v>61</v>
      </c>
      <c r="I392" s="7" t="inlineStr">
        <is>
          <t>M</t>
        </is>
      </c>
      <c r="J392" s="8" t="inlineStr">
        <is>
          <t>Admitted</t>
        </is>
      </c>
      <c r="K392" s="28" t="n"/>
      <c r="L392" s="28" t="n"/>
      <c r="M392" s="28" t="n"/>
      <c r="N392" s="28" t="n">
        <v>29.79</v>
      </c>
      <c r="O392" s="8" t="n"/>
      <c r="P392" s="8" t="n"/>
    </row>
    <row r="393">
      <c r="A393" s="8" t="inlineStr">
        <is>
          <t>PGCV_0086_7221</t>
        </is>
      </c>
      <c r="B393" s="8" t="inlineStr">
        <is>
          <t>WVMC-SC2-24-016860</t>
        </is>
      </c>
      <c r="C393" s="8" t="inlineStr">
        <is>
          <t>WESTERN VISAYAS MEDICAL CENTER</t>
        </is>
      </c>
      <c r="D393" s="7" t="n">
        <v>6</v>
      </c>
      <c r="E393" s="8" t="inlineStr">
        <is>
          <t>Region VI (Western Visayas)</t>
        </is>
      </c>
      <c r="F393" s="7" t="n"/>
      <c r="G393" s="27" t="n">
        <v>45628</v>
      </c>
      <c r="H393" s="7" t="n">
        <v>43</v>
      </c>
      <c r="I393" s="7" t="inlineStr">
        <is>
          <t>M</t>
        </is>
      </c>
      <c r="J393" s="8" t="inlineStr">
        <is>
          <t>Admitted</t>
        </is>
      </c>
      <c r="K393" s="28" t="n"/>
      <c r="L393" s="28" t="n"/>
      <c r="M393" s="28" t="n"/>
      <c r="N393" s="28" t="n">
        <v>28.75</v>
      </c>
      <c r="O393" s="8" t="n"/>
      <c r="P393" s="8" t="n"/>
    </row>
    <row r="394">
      <c r="A394" s="8" t="inlineStr">
        <is>
          <t>PGCV_0086_7246</t>
        </is>
      </c>
      <c r="B394" s="8" t="inlineStr">
        <is>
          <t>WVMC-SC2-25-000392</t>
        </is>
      </c>
      <c r="C394" s="8" t="inlineStr">
        <is>
          <t>WESTERN VISAYAS MEDICAL CENTER</t>
        </is>
      </c>
      <c r="D394" s="7" t="n">
        <v>6</v>
      </c>
      <c r="E394" s="8" t="inlineStr">
        <is>
          <t>Region VI (Western Visayas)</t>
        </is>
      </c>
      <c r="F394" s="7" t="n"/>
      <c r="G394" s="27" t="n">
        <v>45669</v>
      </c>
      <c r="H394" s="7" t="n">
        <v>41</v>
      </c>
      <c r="I394" s="7" t="inlineStr">
        <is>
          <t>F</t>
        </is>
      </c>
      <c r="J394" s="8" t="inlineStr">
        <is>
          <t>Admitted</t>
        </is>
      </c>
      <c r="K394" s="28" t="n"/>
      <c r="L394" s="28" t="n"/>
      <c r="M394" s="28" t="n"/>
      <c r="N394" s="28" t="n">
        <v>30.05</v>
      </c>
      <c r="O394" s="8" t="n"/>
      <c r="P394" s="8" t="n"/>
    </row>
    <row r="395">
      <c r="A395" s="12" t="n"/>
      <c r="B395" s="12" t="n"/>
      <c r="C395" s="12" t="n"/>
      <c r="D395" s="11" t="n"/>
      <c r="E395" s="12" t="n"/>
      <c r="F395" s="11" t="inlineStr">
        <is>
          <t>9/8</t>
        </is>
      </c>
      <c r="G395" s="29" t="n"/>
      <c r="H395" s="11" t="n"/>
      <c r="I395" s="11" t="n"/>
      <c r="J395" s="12" t="n"/>
      <c r="K395" s="30" t="n"/>
      <c r="L395" s="30" t="n"/>
      <c r="M395" s="30" t="n"/>
      <c r="N395" s="30" t="n"/>
      <c r="O395" s="12" t="n"/>
      <c r="P395" s="12" t="inlineStr">
        <is>
          <t>extraction number auto-converted to the date 2025-09-08 - likely "8/9"; age missing; PGC_Code missing - the record cannot be linked to a sequenced sample</t>
        </is>
      </c>
    </row>
  </sheetData>
  <autoFilter ref="A1:P3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1" customWidth="1" min="4" max="4"/>
    <col width="66" customWidth="1" min="5" max="5"/>
    <col width="62" customWidth="1" min="6" max="6"/>
    <col width="12" customWidth="1" min="7" max="7"/>
  </cols>
  <sheetData>
    <row r="1">
      <c r="A1" s="17" t="inlineStr">
        <is>
          <t>Items needing a decision from the laboratory team</t>
        </is>
      </c>
    </row>
    <row r="3">
      <c r="A3" s="31" t="inlineStr">
        <is>
          <t>#</t>
        </is>
      </c>
      <c r="B3" s="31" t="inlineStr">
        <is>
          <t>Sheet</t>
        </is>
      </c>
      <c r="C3" s="31" t="inlineStr">
        <is>
          <t>Location</t>
        </is>
      </c>
      <c r="D3" s="31" t="inlineStr">
        <is>
          <t>Severity</t>
        </is>
      </c>
      <c r="E3" s="31" t="inlineStr">
        <is>
          <t>Issue</t>
        </is>
      </c>
      <c r="F3" s="31" t="inlineStr">
        <is>
          <t>Action taken</t>
        </is>
      </c>
      <c r="G3" s="31" t="inlineStr">
        <is>
          <t>Resolved?</t>
        </is>
      </c>
    </row>
    <row r="4">
      <c r="A4" s="32" t="n">
        <v>1</v>
      </c>
      <c r="B4" s="32" t="inlineStr">
        <is>
          <t>EB_Report</t>
        </is>
      </c>
      <c r="C4" s="32" t="inlineStr">
        <is>
          <t>original rows 50, 125, 161</t>
        </is>
      </c>
      <c r="D4" s="33" t="inlineStr">
        <is>
          <t>Critical</t>
        </is>
      </c>
      <c r="E4" s="34" t="inlineStr">
        <is>
          <t>Section subtotals used fixed ranges (=SUM(B20:B49), =SUM(B53:B94), =SUM(B128:B131)) that were never extended as lineages were appended. HYBRID-VUM omitted 30 rows and OTHERS omitted 29, understating the grand total by 411 samples (919 reported vs 1,330 actual)</t>
        </is>
      </c>
      <c r="F4" s="34" t="inlineStr">
        <is>
          <t>Section membership is now an explicit Category column and subtotals use SUMIF, so newly added rows are always included</t>
        </is>
      </c>
      <c r="G4" s="32" t="n"/>
    </row>
    <row r="5">
      <c r="A5" s="32" t="n">
        <v>2</v>
      </c>
      <c r="B5" s="32" t="inlineStr">
        <is>
          <t>Lineage_by_Run_v4.1.3</t>
        </is>
      </c>
      <c r="C5" s="32" t="inlineStr">
        <is>
          <t>original column GS (Total Assigned)</t>
        </is>
      </c>
      <c r="D5" s="33" t="inlineStr">
        <is>
          <t>Critical</t>
        </is>
      </c>
      <c r="E5" s="34" t="inlineStr">
        <is>
          <t>The per-run total formula was =SUM(C:FB); it stopped at column FB while lineage data ran on to column GR. 761 sequenced samples across runs 72-83 were excluded from every run total, and therefore from the percentages built on them</t>
        </is>
      </c>
      <c r="F5" s="34" t="inlineStr">
        <is>
          <t>Totals rewritten to span the full lineage range</t>
        </is>
      </c>
      <c r="G5" s="32" t="n"/>
    </row>
    <row r="6">
      <c r="A6" s="32" t="n">
        <v>3</v>
      </c>
      <c r="B6" s="32" t="inlineStr">
        <is>
          <t>Lineage_by_Run_v4.1.3</t>
        </is>
      </c>
      <c r="C6" s="32" t="inlineStr">
        <is>
          <t>original row 82 (column totals)</t>
        </is>
      </c>
      <c r="D6" s="33" t="inlineStr">
        <is>
          <t>Critical</t>
        </is>
      </c>
      <c r="E6" s="34" t="inlineStr">
        <is>
          <t>The column total formula was =SUM(B2:B70) while run data continued to row 81, so the last 11 runs were missing from every per-lineage total</t>
        </is>
      </c>
      <c r="F6" s="34" t="inlineStr">
        <is>
          <t>Column totals rewritten to cover all run rows</t>
        </is>
      </c>
      <c r="G6" s="32" t="n"/>
    </row>
    <row r="7">
      <c r="A7" s="32" t="n">
        <v>4</v>
      </c>
      <c r="B7" s="32" t="inlineStr">
        <is>
          <t>Run_Summary</t>
        </is>
      </c>
      <c r="C7" s="32" t="inlineStr">
        <is>
          <t>original row 87 (TOTAL)</t>
        </is>
      </c>
      <c r="D7" s="33" t="inlineStr">
        <is>
          <t>Critical</t>
        </is>
      </c>
      <c r="E7" s="34" t="inlineStr">
        <is>
          <t>The grand total read =SUM(G2:G83) while runs continued to row 86, so runs 89, 90 and 91 were left out: 7,356 samples reported against 7,412 actually sequenced, and 6,890 lineage assignments against 6,940</t>
        </is>
      </c>
      <c r="F7" s="34" t="inlineStr">
        <is>
          <t>Total rewritten to cover every run row</t>
        </is>
      </c>
      <c r="G7" s="32" t="n"/>
    </row>
    <row r="8">
      <c r="A8" s="32" t="n">
        <v>5</v>
      </c>
      <c r="B8" s="32" t="inlineStr">
        <is>
          <t>EB_Report</t>
        </is>
      </c>
      <c r="C8" s="32" t="inlineStr">
        <is>
          <t>EG.5.1.1</t>
        </is>
      </c>
      <c r="D8" s="35" t="inlineStr">
        <is>
          <t>High</t>
        </is>
      </c>
      <c r="E8" s="34" t="inlineStr">
        <is>
          <t>Classified into more than one category (HYBRID-VOI, HYBRID-VUM), so it is counted under both headings</t>
        </is>
      </c>
      <c r="F8" s="34" t="inlineStr">
        <is>
          <t>Both rows kept - the correct category needs a decision</t>
        </is>
      </c>
      <c r="G8" s="32" t="n"/>
    </row>
    <row r="9">
      <c r="A9" s="32" t="n">
        <v>6</v>
      </c>
      <c r="B9" s="32" t="inlineStr">
        <is>
          <t>Lineage_by_Run_v4.1.3</t>
        </is>
      </c>
      <c r="C9" s="32" t="inlineStr">
        <is>
          <t>columns CX, DL</t>
        </is>
      </c>
      <c r="D9" s="35" t="inlineStr">
        <is>
          <t>High</t>
        </is>
      </c>
      <c r="E9" s="34" t="inlineStr">
        <is>
          <t>Lineage "XBB.1" occupied 2 separate columns, so its counts were split and any per-lineage lookup returned only part of the total</t>
        </is>
      </c>
      <c r="F9" s="34" t="inlineStr">
        <is>
          <t>Columns merged into one and the counts added together</t>
        </is>
      </c>
      <c r="G9" s="32" t="n"/>
    </row>
    <row r="10">
      <c r="A10" s="32" t="n">
        <v>7</v>
      </c>
      <c r="B10" s="32" t="inlineStr">
        <is>
          <t>Lineage_by_Run_v4.1.3</t>
        </is>
      </c>
      <c r="C10" s="32" t="inlineStr">
        <is>
          <t>columns DE, DX</t>
        </is>
      </c>
      <c r="D10" s="35" t="inlineStr">
        <is>
          <t>High</t>
        </is>
      </c>
      <c r="E10" s="34" t="inlineStr">
        <is>
          <t>Lineage "XBB.1.22.1" occupied 2 separate columns, so its counts were split and any per-lineage lookup returned only part of the total</t>
        </is>
      </c>
      <c r="F10" s="34" t="inlineStr">
        <is>
          <t>Columns merged into one and the counts added together</t>
        </is>
      </c>
      <c r="G10" s="32" t="n"/>
    </row>
    <row r="11">
      <c r="A11" s="32" t="n">
        <v>8</v>
      </c>
      <c r="B11" s="32" t="inlineStr">
        <is>
          <t>Lineage_by_Run_v4.1.3</t>
        </is>
      </c>
      <c r="C11" s="32" t="inlineStr">
        <is>
          <t>columns EF, EG</t>
        </is>
      </c>
      <c r="D11" s="35" t="inlineStr">
        <is>
          <t>High</t>
        </is>
      </c>
      <c r="E11" s="34" t="inlineStr">
        <is>
          <t>Lineage "XBB.2.3.2.3" occupied 2 separate columns, so its counts were split and any per-lineage lookup returned only part of the total</t>
        </is>
      </c>
      <c r="F11" s="34" t="inlineStr">
        <is>
          <t>Columns merged into one and the counts added together</t>
        </is>
      </c>
      <c r="G11" s="32" t="n"/>
    </row>
    <row r="12">
      <c r="A12" s="32" t="n">
        <v>9</v>
      </c>
      <c r="B12" s="32" t="inlineStr">
        <is>
          <t>Patient_Metadata</t>
        </is>
      </c>
      <c r="C12" s="32" t="inlineStr">
        <is>
          <t>coverage</t>
        </is>
      </c>
      <c r="D12" s="35" t="inlineStr">
        <is>
          <t>High</t>
        </is>
      </c>
      <c r="E12" s="34" t="inlineStr">
        <is>
          <t>Only 394 specimens carry demographic metadata, against 3510 in the sample registry, so roughly 89% of sequenced samples have no linked patient record</t>
        </is>
      </c>
      <c r="F12" s="34" t="inlineStr">
        <is>
          <t>Structure preserved; back-filling is a collection exercise, not a cleaning one</t>
        </is>
      </c>
      <c r="G12" s="32" t="n"/>
    </row>
    <row r="13">
      <c r="A13" s="32" t="n">
        <v>10</v>
      </c>
      <c r="B13" s="32" t="inlineStr">
        <is>
          <t>Run_Summary</t>
        </is>
      </c>
      <c r="C13" s="32" t="inlineStr">
        <is>
          <t>Run 75 (source row 70)</t>
        </is>
      </c>
      <c r="D13" s="35" t="inlineStr">
        <is>
          <t>High</t>
        </is>
      </c>
      <c r="E13" s="34" t="inlineStr">
        <is>
          <t>The load date (2023-12-01) precedes the receipt date (2024-01-11); one of the two is wrong and it cannot be resolved from the surrounding runs</t>
        </is>
      </c>
      <c r="F13" s="34" t="inlineStr">
        <is>
          <t>Left exactly as recorded - confirm against the run sheet and correct in place</t>
        </is>
      </c>
      <c r="G13" s="32" t="n"/>
    </row>
    <row r="14">
      <c r="A14" s="32" t="n">
        <v>11</v>
      </c>
      <c r="B14" s="32" t="inlineStr">
        <is>
          <t>Run_Summary</t>
        </is>
      </c>
      <c r="C14" s="32" t="inlineStr">
        <is>
          <t>Run 77 (source row 72)</t>
        </is>
      </c>
      <c r="D14" s="35" t="inlineStr">
        <is>
          <t>High</t>
        </is>
      </c>
      <c r="E14" s="34" t="inlineStr">
        <is>
          <t>The load date (2024-03-08) precedes the receipt date (2024-03-09); one of the two is wrong and it cannot be resolved from the surrounding runs</t>
        </is>
      </c>
      <c r="F14" s="34" t="inlineStr">
        <is>
          <t>Left exactly as recorded - confirm against the run sheet and correct in place</t>
        </is>
      </c>
      <c r="G14" s="32" t="n"/>
    </row>
    <row r="15">
      <c r="A15" s="32" t="n">
        <v>12</v>
      </c>
      <c r="B15" s="32" t="inlineStr">
        <is>
          <t>EB_Report</t>
        </is>
      </c>
      <c r="C15" s="32" t="inlineStr">
        <is>
          <t>HYBRID-VUM / XBB.1.22.1</t>
        </is>
      </c>
      <c r="D15" s="36" t="inlineStr">
        <is>
          <t>Medium</t>
        </is>
      </c>
      <c r="E15" s="34" t="inlineStr">
        <is>
          <t>The same lineage was listed on two separate rows in one category, splitting its counts</t>
        </is>
      </c>
      <c r="F15" s="34" t="inlineStr">
        <is>
          <t>Rows merged and the counts added together</t>
        </is>
      </c>
      <c r="G15" s="32" t="n"/>
    </row>
    <row r="16">
      <c r="A16" s="32" t="n">
        <v>13</v>
      </c>
      <c r="B16" s="32" t="inlineStr">
        <is>
          <t>EB_Report</t>
        </is>
      </c>
      <c r="C16" s="32" t="inlineStr">
        <is>
          <t>HYBRID-VUM / KP.3.2.2</t>
        </is>
      </c>
      <c r="D16" s="36" t="inlineStr">
        <is>
          <t>Medium</t>
        </is>
      </c>
      <c r="E16" s="34" t="inlineStr">
        <is>
          <t>The same lineage was listed on two separate rows in one category, splitting its counts</t>
        </is>
      </c>
      <c r="F16" s="34" t="inlineStr">
        <is>
          <t>Rows merged and the counts added together</t>
        </is>
      </c>
      <c r="G16" s="32" t="n"/>
    </row>
    <row r="17">
      <c r="A17" s="32" t="n">
        <v>14</v>
      </c>
      <c r="B17" s="32" t="inlineStr">
        <is>
          <t>EB_Report</t>
        </is>
      </c>
      <c r="C17" s="32" t="inlineStr">
        <is>
          <t>OTHERS / LB.1.3</t>
        </is>
      </c>
      <c r="D17" s="36" t="inlineStr">
        <is>
          <t>Medium</t>
        </is>
      </c>
      <c r="E17" s="34" t="inlineStr">
        <is>
          <t>The same lineage was listed on two separate rows in one category, splitting its counts</t>
        </is>
      </c>
      <c r="F17" s="34" t="inlineStr">
        <is>
          <t>Rows merged and the counts added together</t>
        </is>
      </c>
      <c r="G17" s="32" t="n"/>
    </row>
    <row r="18">
      <c r="A18" s="32" t="n">
        <v>15</v>
      </c>
      <c r="B18" s="32" t="inlineStr">
        <is>
          <t>Patient_Metadata</t>
        </is>
      </c>
      <c r="C18" s="32" t="inlineStr">
        <is>
          <t>336 rows</t>
        </is>
      </c>
      <c r="D18" s="36" t="inlineStr">
        <is>
          <t>Medium</t>
        </is>
      </c>
      <c r="E18" s="34" t="inlineStr">
        <is>
          <t>Selection criteria used mixed spellings and casing (CLUSTER / Cluster, ADMITTED / Admitted / Admitted*, UNKNOWN EXPOSURE / UNKOWN EXPOSURE), which splits any grouping</t>
        </is>
      </c>
      <c r="F18" s="34" t="inlineStr">
        <is>
          <t>Collapsed to a controlled vocabulary: Cluster, Admitted, Unknown Exposure, Returning Overseas Filipino, Reinfection</t>
        </is>
      </c>
      <c r="G18" s="32" t="n"/>
    </row>
    <row r="19">
      <c r="A19" s="32" t="n">
        <v>16</v>
      </c>
      <c r="B19" s="32" t="inlineStr">
        <is>
          <t>Patient_Metadata</t>
        </is>
      </c>
      <c r="C19" s="32" t="inlineStr">
        <is>
          <t>7 rows (shaded, see Review_Flag)</t>
        </is>
      </c>
      <c r="D19" s="36" t="inlineStr">
        <is>
          <t>Medium</t>
        </is>
      </c>
      <c r="E19" s="34" t="inlineStr">
        <is>
          <t>Individual record problems: a collection date of 20-Apr-2001, extraction numbers that Excel silently turned into dates, a record with no PGC_Code, and selection criteria marked "Admitted*" whose asterisk is undefined</t>
        </is>
      </c>
      <c r="F19" s="34" t="inlineStr">
        <is>
          <t>Each row is shaded and the specific problem named in Review_Flag; values left as recorded</t>
        </is>
      </c>
      <c r="G19" s="32" t="n"/>
    </row>
    <row r="20">
      <c r="A20" s="32" t="n">
        <v>17</v>
      </c>
      <c r="B20" s="32" t="inlineStr">
        <is>
          <t>Program_Metrics</t>
        </is>
      </c>
      <c r="C20" s="32" t="inlineStr">
        <is>
          <t>B5</t>
        </is>
      </c>
      <c r="D20" s="36" t="inlineStr">
        <is>
          <t>Medium</t>
        </is>
      </c>
      <c r="E20" s="34" t="inlineStr">
        <is>
          <t>The "samples sequenced" headline (5,128) is a static figure from 2022 and no longer matches the live run total</t>
        </is>
      </c>
      <c r="F20" s="34" t="inlineStr">
        <is>
          <t>Kept the historical figure and added live per-year totals driven by Run_Summary</t>
        </is>
      </c>
      <c r="G20" s="32" t="n"/>
    </row>
    <row r="21">
      <c r="A21" s="32" t="n">
        <v>18</v>
      </c>
      <c r="B21" s="32" t="inlineStr">
        <is>
          <t>Run_Summary</t>
        </is>
      </c>
      <c r="C21" s="32" t="inlineStr">
        <is>
          <t>row 47 / Date_Received</t>
        </is>
      </c>
      <c r="D21" s="36" t="inlineStr">
        <is>
          <t>Medium</t>
        </is>
      </c>
      <c r="E21" s="34" t="inlineStr">
        <is>
          <t>Two dates in one cell: "01/19/2023 and 01/26/2023"</t>
        </is>
      </c>
      <c r="F21" s="34" t="inlineStr">
        <is>
          <t>Kept the earlier date; note the run covered two receipt batches</t>
        </is>
      </c>
      <c r="G21" s="32" t="n"/>
    </row>
    <row r="22">
      <c r="A22" s="32" t="n">
        <v>19</v>
      </c>
      <c r="B22" s="32" t="inlineStr">
        <is>
          <t>Run_Summary</t>
        </is>
      </c>
      <c r="C22" s="32" t="inlineStr">
        <is>
          <t>runs 90, 91</t>
        </is>
      </c>
      <c r="D22" s="36" t="inlineStr">
        <is>
          <t>Medium</t>
        </is>
      </c>
      <c r="E22" s="34" t="inlineStr">
        <is>
          <t>The run ID and instrument were never filled in for the most recent runs, so these runs cannot be traced back to a sequencer output folder</t>
        </is>
      </c>
      <c r="F22" s="34" t="inlineStr">
        <is>
          <t>Rows kept and marked in Review_Flag; the details need adding from the run records</t>
        </is>
      </c>
      <c r="G22" s="32" t="n"/>
    </row>
    <row r="23">
      <c r="A23" s="32" t="n">
        <v>20</v>
      </c>
      <c r="B23" s="32" t="inlineStr">
        <is>
          <t>Sample_Registry</t>
        </is>
      </c>
      <c r="C23" s="32" t="inlineStr">
        <is>
          <t>PGCV_0028_1889, PGCV_0028_1924</t>
        </is>
      </c>
      <c r="D23" s="36" t="inlineStr">
        <is>
          <t>Medium</t>
        </is>
      </c>
      <c r="E23" s="34" t="inlineStr">
        <is>
          <t>Strain IDs that appear on more than one row with identical accession numbers, i.e. the same specimen entered twice rather than re-sequenced</t>
        </is>
      </c>
      <c r="F23" s="34" t="inlineStr">
        <is>
          <t>Both rows kept and marked in Review_Flag; delete the duplicate once confirmed</t>
        </is>
      </c>
      <c r="G23" s="32" t="n"/>
    </row>
    <row r="24">
      <c r="A24" s="32" t="n">
        <v>21</v>
      </c>
      <c r="B24" s="32" t="inlineStr">
        <is>
          <t>Sample_Registry</t>
        </is>
      </c>
      <c r="C24" s="32" t="inlineStr">
        <is>
          <t>964 accession numbers</t>
        </is>
      </c>
      <c r="D24" s="36" t="inlineStr">
        <is>
          <t>Medium</t>
        </is>
      </c>
      <c r="E24" s="34" t="inlineStr">
        <is>
          <t>Accession numbers carried stray internal spaces (e.g. "COVID-SNL-22- 63624") and a few were lower-case, so identical specimens did not match on lookup</t>
        </is>
      </c>
      <c r="F24" s="34" t="inlineStr">
        <is>
          <t>Normalised to upper case with spaces removed</t>
        </is>
      </c>
      <c r="G24" s="32" t="n"/>
    </row>
    <row r="25">
      <c r="A25" s="32" t="n">
        <v>22</v>
      </c>
      <c r="B25" s="32" t="inlineStr">
        <is>
          <t>Sample_Registry</t>
        </is>
      </c>
      <c r="C25" s="32" t="inlineStr">
        <is>
          <t>87 accession numbers</t>
        </is>
      </c>
      <c r="D25" s="36" t="inlineStr">
        <is>
          <t>Medium</t>
        </is>
      </c>
      <c r="E25" s="34" t="inlineStr">
        <is>
          <t>The same accession number appears under two different Strain_IDs, which usually means the specimen was re-sequenced in a later run</t>
        </is>
      </c>
      <c r="F25" s="34" t="inlineStr">
        <is>
          <t>Both rows kept and cross-referenced in Review_Flag; confirm before counting as unique cases</t>
        </is>
      </c>
      <c r="G25" s="32" t="n"/>
    </row>
    <row r="26">
      <c r="A26" s="32" t="n">
        <v>23</v>
      </c>
      <c r="B26" s="32" t="inlineStr">
        <is>
          <t>Sample_Registry</t>
        </is>
      </c>
      <c r="C26" s="32" t="inlineStr">
        <is>
          <t>PGCV_0036_3516, PGCV_0035_3449</t>
        </is>
      </c>
      <c r="D26" s="36" t="inlineStr">
        <is>
          <t>Medium</t>
        </is>
      </c>
      <c r="E26" s="34" t="inlineStr">
        <is>
          <t>Listed as having no lineage assigned but absent from the sample registry</t>
        </is>
      </c>
      <c r="F26" s="34" t="inlineStr">
        <is>
          <t>Left in Samples_No_Lineage; the registry entry appears to be missing</t>
        </is>
      </c>
      <c r="G26" s="32" t="n"/>
    </row>
    <row r="27">
      <c r="A27" s="32" t="n">
        <v>24</v>
      </c>
      <c r="B27" s="32" t="inlineStr">
        <is>
          <t>Lineage_by_Run_v4.3</t>
        </is>
      </c>
      <c r="C27" s="32" t="inlineStr">
        <is>
          <t>row 19</t>
        </is>
      </c>
      <c r="D27" s="37" t="inlineStr">
        <is>
          <t>Low</t>
        </is>
      </c>
      <c r="E27" s="34" t="inlineStr">
        <is>
          <t>Run identifier held free text: "23 (rerun of 22, 80 unassigned)"</t>
        </is>
      </c>
      <c r="F27" s="34" t="inlineStr">
        <is>
          <t>Run number placed in RUN and the wording kept in Run_Note</t>
        </is>
      </c>
      <c r="G27" s="32" t="n"/>
    </row>
    <row r="28">
      <c r="A28" s="32" t="n">
        <v>25</v>
      </c>
      <c r="B28" s="32" t="inlineStr">
        <is>
          <t>Patient_Metadata</t>
        </is>
      </c>
      <c r="C28" s="32" t="inlineStr">
        <is>
          <t>19 rows</t>
        </is>
      </c>
      <c r="D28" s="37" t="inlineStr">
        <is>
          <t>Low</t>
        </is>
      </c>
      <c r="E28" s="34" t="inlineStr">
        <is>
          <t>Institution names differed only by capitalisation, producing duplicate categories (49 distinct strings for 45 institutions)</t>
        </is>
      </c>
      <c r="F28" s="34" t="inlineStr">
        <is>
          <t>Standardised to upper case with collapsed whitespace</t>
        </is>
      </c>
      <c r="G28" s="32" t="n"/>
    </row>
    <row r="29">
      <c r="A29" s="32" t="n">
        <v>26</v>
      </c>
      <c r="B29" s="32" t="inlineStr">
        <is>
          <t>Sample_Registry</t>
        </is>
      </c>
      <c r="C29" s="32" t="inlineStr">
        <is>
          <t>original cells E20:F25</t>
        </is>
      </c>
      <c r="D29" s="37" t="inlineStr">
        <is>
          <t>Low</t>
        </is>
      </c>
      <c r="E29" s="34" t="inlineStr">
        <is>
          <t>A scratch VLOOKUP block sat beside the data (6 UIC codes: DJOEPB6IKP, GQ5Z4IEYZT, URCTREYBSR, 70P5OHOKHJ, 9SBT39RQYC, HGVLOED0OA)</t>
        </is>
      </c>
      <c r="F29" s="34" t="inlineStr">
        <is>
          <t>Removed from the data area; the codes are recorded here</t>
        </is>
      </c>
      <c r="G29" s="32" t="n"/>
    </row>
    <row r="30">
      <c r="A30" s="32" t="n">
        <v>27</v>
      </c>
      <c r="B30" s="32" t="inlineStr">
        <is>
          <t>Sample_Registry</t>
        </is>
      </c>
      <c r="C30" s="32" t="inlineStr">
        <is>
          <t>Strain_ID format</t>
        </is>
      </c>
      <c r="D30" s="37" t="inlineStr">
        <is>
          <t>Low</t>
        </is>
      </c>
      <c r="E30" s="34" t="inlineStr">
        <is>
          <t>The run segment is zero-padded inconsistently ({3: 391, 4: 3117} = digit-count: number of IDs), so IDs do not sort correctly as text</t>
        </is>
      </c>
      <c r="F30" s="34" t="inlineStr">
        <is>
          <t>IDs left untouched because they are external identifiers; a numeric Run_Number column was added for sorting and joins</t>
        </is>
      </c>
      <c r="G30" s="32" t="n"/>
    </row>
  </sheetData>
  <autoFilter ref="A3:G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4" customWidth="1" min="3" max="3"/>
  </cols>
  <sheetData>
    <row r="1">
      <c r="A1" s="17" t="inlineStr">
        <is>
          <t>What this rebuild changed</t>
        </is>
      </c>
    </row>
    <row r="3">
      <c r="A3" s="18" t="inlineStr">
        <is>
          <t>#</t>
        </is>
      </c>
      <c r="B3" s="18" t="inlineStr">
        <is>
          <t>Area</t>
        </is>
      </c>
      <c r="C3" s="18" t="inlineStr">
        <is>
          <t>Change</t>
        </is>
      </c>
    </row>
    <row r="4">
      <c r="A4" s="32" t="n">
        <v>1</v>
      </c>
      <c r="B4" s="32" t="inlineStr">
        <is>
          <t>Run_Summary</t>
        </is>
      </c>
      <c r="C4" s="34" t="inlineStr">
        <is>
          <t>Repaired 47 day/month-transposed dates caused by a dd/mm vs mm/dd locale mismatch; each was resolved against the surrounding run timeline</t>
        </is>
      </c>
    </row>
    <row r="5">
      <c r="A5" s="32" t="n">
        <v>2</v>
      </c>
      <c r="B5" s="32" t="inlineStr">
        <is>
          <t>Run_Summary</t>
        </is>
      </c>
      <c r="C5" s="34" t="inlineStr">
        <is>
          <t>Normalised ISLAP upload flags to lower-case y/n</t>
        </is>
      </c>
    </row>
    <row r="6">
      <c r="A6" s="32" t="n">
        <v>3</v>
      </c>
      <c r="B6" s="32" t="inlineStr">
        <is>
          <t>Run_Summary</t>
        </is>
      </c>
      <c r="C6" s="34" t="inlineStr">
        <is>
          <t>Normalised ISLAP upload flags to lower-case y/n</t>
        </is>
      </c>
    </row>
    <row r="7">
      <c r="A7" s="32" t="n">
        <v>4</v>
      </c>
      <c r="B7" s="32" t="inlineStr">
        <is>
          <t>Run_Summary</t>
        </is>
      </c>
      <c r="C7" s="34" t="inlineStr">
        <is>
          <t>Normalised ISLAP upload flags to lower-case y/n</t>
        </is>
      </c>
    </row>
    <row r="8">
      <c r="A8" s="32" t="n">
        <v>5</v>
      </c>
      <c r="B8" s="32" t="inlineStr">
        <is>
          <t>Run_Summary</t>
        </is>
      </c>
      <c r="C8" s="34" t="inlineStr">
        <is>
          <t>Normalised ISLAP upload flags to lower-case y/n</t>
        </is>
      </c>
    </row>
    <row r="9">
      <c r="A9" s="32" t="n">
        <v>6</v>
      </c>
      <c r="B9" s="32" t="inlineStr">
        <is>
          <t>Run_Summary</t>
        </is>
      </c>
      <c r="C9" s="34" t="inlineStr">
        <is>
          <t>Normalised ISLAP upload flags to lower-case y/n</t>
        </is>
      </c>
    </row>
    <row r="10">
      <c r="A10" s="32" t="n">
        <v>7</v>
      </c>
      <c r="B10" s="32" t="inlineStr">
        <is>
          <t>Run_Summary</t>
        </is>
      </c>
      <c r="C10" s="34" t="inlineStr">
        <is>
          <t>Normalised ISLAP upload flags to lower-case y/n</t>
        </is>
      </c>
    </row>
    <row r="11">
      <c r="A11" s="32" t="n">
        <v>8</v>
      </c>
      <c r="B11" s="32" t="inlineStr">
        <is>
          <t>Run_Summary</t>
        </is>
      </c>
      <c r="C11" s="34" t="inlineStr">
        <is>
          <t>Normalised ISLAP upload flags to lower-case y/n</t>
        </is>
      </c>
    </row>
    <row r="12">
      <c r="A12" s="32" t="n">
        <v>9</v>
      </c>
      <c r="B12" s="32" t="inlineStr">
        <is>
          <t>Run_Summary</t>
        </is>
      </c>
      <c r="C12" s="34" t="inlineStr">
        <is>
          <t>Normalised ISLAP upload flags to lower-case y/n</t>
        </is>
      </c>
    </row>
    <row r="13">
      <c r="A13" s="32" t="n">
        <v>10</v>
      </c>
      <c r="B13" s="32" t="inlineStr">
        <is>
          <t>Run_Summary</t>
        </is>
      </c>
      <c r="C13" s="34" t="inlineStr">
        <is>
          <t>Normalised ISLAP upload flags to lower-case y/n</t>
        </is>
      </c>
    </row>
    <row r="14">
      <c r="A14" s="32" t="n">
        <v>11</v>
      </c>
      <c r="B14" s="32" t="inlineStr">
        <is>
          <t>Run_Summary</t>
        </is>
      </c>
      <c r="C14" s="34" t="inlineStr">
        <is>
          <t>Normalised ISLAP upload flags to lower-case y/n</t>
        </is>
      </c>
    </row>
    <row r="15">
      <c r="A15" s="32" t="n">
        <v>12</v>
      </c>
      <c r="B15" s="32" t="inlineStr">
        <is>
          <t>Run_Summary</t>
        </is>
      </c>
      <c r="C15" s="34" t="inlineStr">
        <is>
          <t>Normalised ISLAP upload flags to lower-case y/n</t>
        </is>
      </c>
    </row>
    <row r="16">
      <c r="A16" s="32" t="n">
        <v>13</v>
      </c>
      <c r="B16" s="32" t="inlineStr">
        <is>
          <t>Run_Summary</t>
        </is>
      </c>
      <c r="C16" s="34" t="inlineStr">
        <is>
          <t>Normalised sequencer name "Iseq100" -&gt; "iSeq100"</t>
        </is>
      </c>
    </row>
    <row r="17">
      <c r="A17" s="32" t="n">
        <v>14</v>
      </c>
      <c r="B17" s="32" t="inlineStr">
        <is>
          <t>Run_Summary</t>
        </is>
      </c>
      <c r="C17" s="34" t="inlineStr">
        <is>
          <t>Normalised sequencer name "Iseq100" -&gt; "iSeq100"</t>
        </is>
      </c>
    </row>
    <row r="18">
      <c r="A18" s="32" t="n">
        <v>15</v>
      </c>
      <c r="B18" s="32" t="inlineStr">
        <is>
          <t>Run_Summary</t>
        </is>
      </c>
      <c r="C18" s="34" t="inlineStr">
        <is>
          <t>Normalised sequencer name "Iseq100" -&gt; "iSeq100"</t>
        </is>
      </c>
    </row>
    <row r="19">
      <c r="A19" s="32" t="n">
        <v>16</v>
      </c>
      <c r="B19" s="32" t="inlineStr">
        <is>
          <t>Run_Summary</t>
        </is>
      </c>
      <c r="C19" s="34" t="inlineStr">
        <is>
          <t>Normalised sequencer name "Iseq100" -&gt; "iSeq100"</t>
        </is>
      </c>
    </row>
    <row r="20">
      <c r="A20" s="32" t="n">
        <v>17</v>
      </c>
      <c r="B20" s="32" t="inlineStr">
        <is>
          <t>Run_Summary</t>
        </is>
      </c>
      <c r="C20" s="34" t="inlineStr">
        <is>
          <t>Rebuilt as a single tidy table (one row per run) with a TOTAL row; the free-floating statistics that sat in columns P:Q of the data grid were moved to Program_Metrics</t>
        </is>
      </c>
    </row>
    <row r="21">
      <c r="A21" s="32" t="n">
        <v>18</v>
      </c>
      <c r="B21" s="32" t="inlineStr">
        <is>
          <t>Run_Summary</t>
        </is>
      </c>
      <c r="C21" s="34" t="inlineStr">
        <is>
          <t>Dates converted from mixed text/serial values to real Excel dates in a single dd-mmm-yyyy format, which removes the mm/dd vs dd/mm ambiguity</t>
        </is>
      </c>
    </row>
    <row r="22">
      <c r="A22" s="32" t="n">
        <v>19</v>
      </c>
      <c r="B22" s="32" t="inlineStr">
        <is>
          <t>Run_Summary</t>
        </is>
      </c>
      <c r="C22" s="34" t="inlineStr">
        <is>
          <t>Added Turnaround_Days; Lineage_Unassigned and the percentages are now formulas rather than a mix of typed numbers and formulas</t>
        </is>
      </c>
    </row>
    <row r="23">
      <c r="A23" s="32" t="n">
        <v>20</v>
      </c>
      <c r="B23" s="32" t="inlineStr">
        <is>
          <t>Program_Metrics</t>
        </is>
      </c>
      <c r="C23" s="34" t="inlineStr">
        <is>
          <t>New sheet holding the coverage statistics that were previously loose cells inside the run table; yearly totals now use SUMIFS on the run dates instead of hard-coded row ranges that break when rows are added</t>
        </is>
      </c>
    </row>
    <row r="24">
      <c r="A24" s="32" t="n">
        <v>21</v>
      </c>
      <c r="B24" s="32" t="inlineStr">
        <is>
          <t>Lineage_by_Run_v4.1.3</t>
        </is>
      </c>
      <c r="C24" s="34" t="inlineStr">
        <is>
          <t>Trimmed stray whitespace from lineage header "CM.5 "</t>
        </is>
      </c>
    </row>
    <row r="25">
      <c r="A25" s="32" t="n">
        <v>22</v>
      </c>
      <c r="B25" s="32" t="inlineStr">
        <is>
          <t>Lineage_by_Run_v4.1.3</t>
        </is>
      </c>
      <c r="C25" s="34" t="inlineStr">
        <is>
          <t>Corrected malformed lineage name "HK3" -&gt; "HK.3"</t>
        </is>
      </c>
    </row>
    <row r="26">
      <c r="A26" s="32" t="n">
        <v>23</v>
      </c>
      <c r="B26" s="32" t="inlineStr">
        <is>
          <t>Lineage_by_Run_v4.1.3</t>
        </is>
      </c>
      <c r="C26" s="34" t="inlineStr">
        <is>
          <t>Trimmed stray whitespace from lineage header "FL.1.1 "</t>
        </is>
      </c>
    </row>
    <row r="27">
      <c r="A27" s="32" t="n">
        <v>24</v>
      </c>
      <c r="B27" s="32" t="inlineStr">
        <is>
          <t>Lineage_by_Run_v4.1.3</t>
        </is>
      </c>
      <c r="C27" s="34" t="inlineStr">
        <is>
          <t>Corrected malformed lineage name "JN1.1.1.5" -&gt; "JN.1.1.1.5"</t>
        </is>
      </c>
    </row>
    <row r="28">
      <c r="A28" s="32" t="n">
        <v>25</v>
      </c>
      <c r="B28" s="32" t="inlineStr">
        <is>
          <t>Lineage_by_Run_v4.1.3</t>
        </is>
      </c>
      <c r="C28" s="34" t="inlineStr">
        <is>
          <t>Lineage columns sorted into Pango order so a given lineage is findable; totals and both percentage rows rebuilt as formulas that span the whole table</t>
        </is>
      </c>
    </row>
    <row r="29">
      <c r="A29" s="32" t="n">
        <v>26</v>
      </c>
      <c r="B29" s="32" t="inlineStr">
        <is>
          <t>Lineage_by_Run_v4.3</t>
        </is>
      </c>
      <c r="C29" s="34" t="inlineStr">
        <is>
          <t>Kept as a superseded record and labelled as such, so it is not mistaken for the current lineage table</t>
        </is>
      </c>
    </row>
    <row r="30">
      <c r="A30" s="32" t="n">
        <v>27</v>
      </c>
      <c r="B30" s="32" t="inlineStr">
        <is>
          <t>EB_Report</t>
        </is>
      </c>
      <c r="C30" s="34" t="inlineStr">
        <is>
          <t>Converted from interleaved section blocks into one filterable table with a Category column, per-lineage row totals, SUMIF subtotals and a cross-check row that must read zero</t>
        </is>
      </c>
    </row>
    <row r="31">
      <c r="A31" s="32" t="n">
        <v>28</v>
      </c>
      <c r="B31" s="32" t="inlineStr">
        <is>
          <t>Sample_Registry</t>
        </is>
      </c>
      <c r="C31" s="34" t="inlineStr">
        <is>
          <t>Removed 1000 empty rows, named the unlabelled accession column, dropped the entirely empty VUI column and added Run_Number / Sample_Number parsed from the strain ID</t>
        </is>
      </c>
    </row>
    <row r="32">
      <c r="A32" s="32" t="n">
        <v>29</v>
      </c>
      <c r="B32" s="32" t="inlineStr">
        <is>
          <t>Sample_Registry</t>
        </is>
      </c>
      <c r="C32" s="34" t="inlineStr">
        <is>
          <t>Merged in the no-lineage list as a Lineage_Assigned flag so both facts live on one row</t>
        </is>
      </c>
    </row>
    <row r="33">
      <c r="A33" s="32" t="n">
        <v>30</v>
      </c>
      <c r="B33" s="32" t="inlineStr">
        <is>
          <t>Patient_Metadata</t>
        </is>
      </c>
      <c r="C33" s="34" t="inlineStr">
        <is>
          <t>Unmerged 10 merged Selection Criteria / Ct cells that prevented sorting and filtering</t>
        </is>
      </c>
    </row>
    <row r="34">
      <c r="A34" s="32" t="n">
        <v>31</v>
      </c>
      <c r="B34" s="32" t="inlineStr">
        <is>
          <t>Patient_Metadata</t>
        </is>
      </c>
      <c r="C34" s="34" t="inlineStr">
        <is>
          <t>Removed 607 empty rows below the data and added an explicit Region_Name for the numeric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2026-08-12T03:31:57Z</dcterms:created>
  <dcterms:modified xmlns:dcterms="http://purl.org/dc/terms/" xmlns:xsi="http://www.w3.org/2001/XMLSchema-instance" xsi:type="dcterms:W3CDTF">2026-08-12T03:31:58Z</dcterms:modified>
</cp:coreProperties>
</file>